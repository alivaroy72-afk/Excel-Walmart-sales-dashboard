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4b1f894806886550/Desktop/DATA ANALYSIS MAP/PROJECTS/Walmart Sales Performance Dashboard/"/>
    </mc:Choice>
  </mc:AlternateContent>
  <xr:revisionPtr revIDLastSave="526" documentId="8_{C96AE235-16AC-4AC5-AC5A-91C509E24B2E}" xr6:coauthVersionLast="47" xr6:coauthVersionMax="47" xr10:uidLastSave="{5E472448-0717-44B7-B027-EE394AEC25F1}"/>
  <bookViews>
    <workbookView xWindow="-108" yWindow="-108" windowWidth="23256" windowHeight="12456" firstSheet="3" activeTab="8" xr2:uid="{FFA0152A-3E55-40E3-B6FD-BE2AFCBA2980}"/>
  </bookViews>
  <sheets>
    <sheet name="Walmart Sales Report" sheetId="27" r:id="rId1"/>
    <sheet name="Orders vs Sales" sheetId="26" r:id="rId2"/>
    <sheet name="Top 5 States" sheetId="28" r:id="rId3"/>
    <sheet name="Category Sales" sheetId="29" r:id="rId4"/>
    <sheet name="Delivery progress" sheetId="30" r:id="rId5"/>
    <sheet name="Order Value" sheetId="31" r:id="rId6"/>
    <sheet name="Order Type" sheetId="32" r:id="rId7"/>
    <sheet name="Top 10 Customers" sheetId="33" r:id="rId8"/>
    <sheet name="Walmart Raw Data" sheetId="2" r:id="rId9"/>
  </sheets>
  <definedNames>
    <definedName name="ExternalData_1" localSheetId="8" hidden="1">'Walmart Raw Data'!$A$1:$O$1612</definedName>
    <definedName name="NativeTimeline_Order_Date">#N/A</definedName>
    <definedName name="Slicer_City">#N/A</definedName>
  </definedNames>
  <calcPr calcId="191029"/>
  <pivotCaches>
    <pivotCache cacheId="39"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421" i="2"/>
  <c r="C1079" i="2"/>
  <c r="C16" i="2"/>
  <c r="C17" i="2"/>
  <c r="C432" i="2"/>
  <c r="C19" i="2"/>
  <c r="C20" i="2"/>
  <c r="C704" i="2"/>
  <c r="C22" i="2"/>
  <c r="C23" i="2"/>
  <c r="C24" i="2"/>
  <c r="C25" i="2"/>
  <c r="C26" i="2"/>
  <c r="C27" i="2"/>
  <c r="C28" i="2"/>
  <c r="C29" i="2"/>
  <c r="C30" i="2"/>
  <c r="C31" i="2"/>
  <c r="C32" i="2"/>
  <c r="C33" i="2"/>
  <c r="C179" i="2"/>
  <c r="C35" i="2"/>
  <c r="C369" i="2"/>
  <c r="C37" i="2"/>
  <c r="C38" i="2"/>
  <c r="C39" i="2"/>
  <c r="C36" i="2"/>
  <c r="C41" i="2"/>
  <c r="C713" i="2"/>
  <c r="C43" i="2"/>
  <c r="C44" i="2"/>
  <c r="C45" i="2"/>
  <c r="C46" i="2"/>
  <c r="C47" i="2"/>
  <c r="C48" i="2"/>
  <c r="C49" i="2"/>
  <c r="C50" i="2"/>
  <c r="C51" i="2"/>
  <c r="C1093" i="2"/>
  <c r="C53" i="2"/>
  <c r="C54" i="2"/>
  <c r="C55" i="2"/>
  <c r="C56" i="2"/>
  <c r="C1031" i="2"/>
  <c r="C191" i="2"/>
  <c r="C452" i="2"/>
  <c r="C1062" i="2"/>
  <c r="C61" i="2"/>
  <c r="C1465" i="2"/>
  <c r="C63" i="2"/>
  <c r="C64" i="2"/>
  <c r="C65" i="2"/>
  <c r="C66" i="2"/>
  <c r="C67" i="2"/>
  <c r="C68" i="2"/>
  <c r="C69" i="2"/>
  <c r="C1118" i="2"/>
  <c r="C71" i="2"/>
  <c r="C72" i="2"/>
  <c r="C73" i="2"/>
  <c r="C86" i="2"/>
  <c r="C1571" i="2"/>
  <c r="C76" i="2"/>
  <c r="C77" i="2"/>
  <c r="C767" i="2"/>
  <c r="C79" i="2"/>
  <c r="C80" i="2"/>
  <c r="C81" i="2"/>
  <c r="C1034" i="2"/>
  <c r="C83" i="2"/>
  <c r="C320" i="2"/>
  <c r="C85" i="2"/>
  <c r="C201" i="2"/>
  <c r="C626" i="2"/>
  <c r="C88" i="2"/>
  <c r="C89" i="2"/>
  <c r="C90" i="2"/>
  <c r="C249" i="2"/>
  <c r="C92" i="2"/>
  <c r="C93" i="2"/>
  <c r="C1178" i="2"/>
  <c r="C119" i="2"/>
  <c r="C96" i="2"/>
  <c r="C97" i="2"/>
  <c r="C98" i="2"/>
  <c r="C947" i="2"/>
  <c r="C100" i="2"/>
  <c r="C101" i="2"/>
  <c r="C102" i="2"/>
  <c r="C103" i="2"/>
  <c r="C104" i="2"/>
  <c r="C105" i="2"/>
  <c r="C106" i="2"/>
  <c r="C107" i="2"/>
  <c r="C1572" i="2"/>
  <c r="C109" i="2"/>
  <c r="C110" i="2"/>
  <c r="C111" i="2"/>
  <c r="C112" i="2"/>
  <c r="C113" i="2"/>
  <c r="C114" i="2"/>
  <c r="C1413" i="2"/>
  <c r="C116" i="2"/>
  <c r="C117" i="2"/>
  <c r="C118" i="2"/>
  <c r="C1491" i="2"/>
  <c r="C1314" i="2"/>
  <c r="C121" i="2"/>
  <c r="C122" i="2"/>
  <c r="C1199" i="2"/>
  <c r="C124" i="2"/>
  <c r="C125" i="2"/>
  <c r="C126" i="2"/>
  <c r="C127" i="2"/>
  <c r="C75" i="2"/>
  <c r="C129" i="2"/>
  <c r="C1040" i="2"/>
  <c r="C131" i="2"/>
  <c r="C132" i="2"/>
  <c r="C133" i="2"/>
  <c r="C441" i="2"/>
  <c r="C135" i="2"/>
  <c r="C136" i="2"/>
  <c r="C137" i="2"/>
  <c r="C138" i="2"/>
  <c r="C139" i="2"/>
  <c r="C1188" i="2"/>
  <c r="C141" i="2"/>
  <c r="C363" i="2"/>
  <c r="C143" i="2"/>
  <c r="C995" i="2"/>
  <c r="C145" i="2"/>
  <c r="C146" i="2"/>
  <c r="C147" i="2"/>
  <c r="C148" i="2"/>
  <c r="C149" i="2"/>
  <c r="C150" i="2"/>
  <c r="C1082" i="2"/>
  <c r="C152" i="2"/>
  <c r="C153" i="2"/>
  <c r="C120" i="2"/>
  <c r="C155" i="2"/>
  <c r="C156" i="2"/>
  <c r="C157" i="2"/>
  <c r="C158" i="2"/>
  <c r="C159" i="2"/>
  <c r="C160" i="2"/>
  <c r="C161" i="2"/>
  <c r="C663" i="2"/>
  <c r="C163" i="2"/>
  <c r="C164" i="2"/>
  <c r="C165" i="2"/>
  <c r="C166" i="2"/>
  <c r="C167" i="2"/>
  <c r="C99" i="2"/>
  <c r="C169" i="2"/>
  <c r="C170" i="2"/>
  <c r="C171" i="2"/>
  <c r="C1608" i="2"/>
  <c r="C173" i="2"/>
  <c r="C174" i="2"/>
  <c r="C175" i="2"/>
  <c r="C176" i="2"/>
  <c r="C177" i="2"/>
  <c r="C178" i="2"/>
  <c r="C1476" i="2"/>
  <c r="C180" i="2"/>
  <c r="C181" i="2"/>
  <c r="C423" i="2"/>
  <c r="C183" i="2"/>
  <c r="C184" i="2"/>
  <c r="C817" i="2"/>
  <c r="C186" i="2"/>
  <c r="C666" i="2"/>
  <c r="C188" i="2"/>
  <c r="C189" i="2"/>
  <c r="C190" i="2"/>
  <c r="C14" i="2"/>
  <c r="C192" i="2"/>
  <c r="C193" i="2"/>
  <c r="C194" i="2"/>
  <c r="C540" i="2"/>
  <c r="C196" i="2"/>
  <c r="C197" i="2"/>
  <c r="C1349" i="2"/>
  <c r="C1240" i="2"/>
  <c r="C200" i="2"/>
  <c r="C385" i="2"/>
  <c r="C996" i="2"/>
  <c r="C203" i="2"/>
  <c r="C204" i="2"/>
  <c r="C205" i="2"/>
  <c r="C206" i="2"/>
  <c r="C207" i="2"/>
  <c r="C1562" i="2"/>
  <c r="C209" i="2"/>
  <c r="C210" i="2"/>
  <c r="C211" i="2"/>
  <c r="C94" i="2"/>
  <c r="C213" i="2"/>
  <c r="C214" i="2"/>
  <c r="C215" i="2"/>
  <c r="C216" i="2"/>
  <c r="C217" i="2"/>
  <c r="C987" i="2"/>
  <c r="C325" i="2"/>
  <c r="C220" i="2"/>
  <c r="C221" i="2"/>
  <c r="C222" i="2"/>
  <c r="C476" i="2"/>
  <c r="C224" i="2"/>
  <c r="C225" i="2"/>
  <c r="C226" i="2"/>
  <c r="C726" i="2"/>
  <c r="C1066" i="2"/>
  <c r="C162" i="2"/>
  <c r="C230" i="2"/>
  <c r="C1510" i="2"/>
  <c r="C232" i="2"/>
  <c r="C832" i="2"/>
  <c r="C1514" i="2"/>
  <c r="C235" i="2"/>
  <c r="C236" i="2"/>
  <c r="C237" i="2"/>
  <c r="C238" i="2"/>
  <c r="C239" i="2"/>
  <c r="C240" i="2"/>
  <c r="C790" i="2"/>
  <c r="C242" i="2"/>
  <c r="C1101" i="2"/>
  <c r="C244" i="2"/>
  <c r="C245" i="2"/>
  <c r="C246" i="2"/>
  <c r="C247" i="2"/>
  <c r="C248" i="2"/>
  <c r="C87" i="2"/>
  <c r="C998" i="2"/>
  <c r="C251" i="2"/>
  <c r="C252" i="2"/>
  <c r="C253" i="2"/>
  <c r="C254" i="2"/>
  <c r="C333" i="2"/>
  <c r="C1573" i="2"/>
  <c r="C477" i="2"/>
  <c r="C258" i="2"/>
  <c r="C259" i="2"/>
  <c r="C260" i="2"/>
  <c r="C261" i="2"/>
  <c r="C262" i="2"/>
  <c r="C263" i="2"/>
  <c r="C264" i="2"/>
  <c r="C265" i="2"/>
  <c r="C484" i="2"/>
  <c r="C580" i="2"/>
  <c r="C268" i="2"/>
  <c r="C269" i="2"/>
  <c r="C559" i="2"/>
  <c r="C231" i="2"/>
  <c r="C272" i="2"/>
  <c r="C273" i="2"/>
  <c r="C274" i="2"/>
  <c r="C275" i="2"/>
  <c r="C276" i="2"/>
  <c r="C277" i="2"/>
  <c r="C278" i="2"/>
  <c r="C279" i="2"/>
  <c r="C280" i="2"/>
  <c r="C949" i="2"/>
  <c r="C748" i="2"/>
  <c r="C283" i="2"/>
  <c r="C284" i="2"/>
  <c r="C1331" i="2"/>
  <c r="C286" i="2"/>
  <c r="C287" i="2"/>
  <c r="C303" i="2"/>
  <c r="C18" i="2"/>
  <c r="C290" i="2"/>
  <c r="C291" i="2"/>
  <c r="C292" i="2"/>
  <c r="C293" i="2"/>
  <c r="C501" i="2"/>
  <c r="C295" i="2"/>
  <c r="C296" i="2"/>
  <c r="C212" i="2"/>
  <c r="C1441" i="2"/>
  <c r="C299" i="2"/>
  <c r="C267" i="2"/>
  <c r="C1416" i="2"/>
  <c r="C302" i="2"/>
  <c r="C271" i="2"/>
  <c r="C304" i="2"/>
  <c r="C305" i="2"/>
  <c r="C306" i="2"/>
  <c r="C307" i="2"/>
  <c r="C308" i="2"/>
  <c r="C1055" i="2"/>
  <c r="C1343" i="2"/>
  <c r="C311" i="2"/>
  <c r="C865" i="2"/>
  <c r="C313" i="2"/>
  <c r="C314" i="2"/>
  <c r="C315" i="2"/>
  <c r="C316" i="2"/>
  <c r="C317" i="2"/>
  <c r="C318" i="2"/>
  <c r="C319" i="2"/>
  <c r="C322" i="2"/>
  <c r="C321" i="2"/>
  <c r="C414" i="2"/>
  <c r="C323" i="2"/>
  <c r="C324" i="2"/>
  <c r="C1485" i="2"/>
  <c r="C326" i="2"/>
  <c r="C327" i="2"/>
  <c r="C775" i="2"/>
  <c r="C329" i="2"/>
  <c r="C330" i="2"/>
  <c r="C331" i="2"/>
  <c r="C332" i="2"/>
  <c r="C1334" i="2"/>
  <c r="C404" i="2"/>
  <c r="C335" i="2"/>
  <c r="C336" i="2"/>
  <c r="C337" i="2"/>
  <c r="C1422" i="2"/>
  <c r="C339" i="2"/>
  <c r="C340" i="2"/>
  <c r="C940" i="2"/>
  <c r="C342" i="2"/>
  <c r="C343" i="2"/>
  <c r="C344" i="2"/>
  <c r="C628" i="2"/>
  <c r="C955" i="2"/>
  <c r="C347" i="2"/>
  <c r="C348" i="2"/>
  <c r="C349" i="2"/>
  <c r="C350" i="2"/>
  <c r="C351" i="2"/>
  <c r="C309" i="2"/>
  <c r="C353" i="2"/>
  <c r="C354" i="2"/>
  <c r="C355" i="2"/>
  <c r="C1088" i="2"/>
  <c r="C357" i="2"/>
  <c r="C709" i="2"/>
  <c r="C359" i="2"/>
  <c r="C360" i="2"/>
  <c r="C361" i="2"/>
  <c r="C489" i="2"/>
  <c r="C1120" i="2"/>
  <c r="C1588" i="2"/>
  <c r="C1110" i="2"/>
  <c r="C1391" i="2"/>
  <c r="C667" i="2"/>
  <c r="C368" i="2"/>
  <c r="C233" i="2"/>
  <c r="C370" i="2"/>
  <c r="C371" i="2"/>
  <c r="C372" i="2"/>
  <c r="C1370" i="2"/>
  <c r="C374" i="2"/>
  <c r="C894" i="2"/>
  <c r="C590" i="2"/>
  <c r="C1575" i="2"/>
  <c r="C1376" i="2"/>
  <c r="C379" i="2"/>
  <c r="C380" i="2"/>
  <c r="C562" i="2"/>
  <c r="C382" i="2"/>
  <c r="C407" i="2"/>
  <c r="C1204" i="2"/>
  <c r="C40" i="2"/>
  <c r="C1023" i="2"/>
  <c r="C387" i="2"/>
  <c r="C388" i="2"/>
  <c r="C389" i="2"/>
  <c r="C390" i="2"/>
  <c r="C391" i="2"/>
  <c r="C791" i="2"/>
  <c r="C60" i="2"/>
  <c r="C846" i="2"/>
  <c r="C395" i="2"/>
  <c r="C396" i="2"/>
  <c r="C397" i="2"/>
  <c r="C398" i="2"/>
  <c r="C399" i="2"/>
  <c r="C1470" i="2"/>
  <c r="C401" i="2"/>
  <c r="C402" i="2"/>
  <c r="C403" i="2"/>
  <c r="C1327" i="2"/>
  <c r="C405" i="2"/>
  <c r="C406" i="2"/>
  <c r="C474" i="2"/>
  <c r="C408" i="2"/>
  <c r="C409" i="2"/>
  <c r="C410" i="2"/>
  <c r="C411" i="2"/>
  <c r="C1352" i="2"/>
  <c r="C78" i="2"/>
  <c r="C1193" i="2"/>
  <c r="C415" i="2"/>
  <c r="C416" i="2"/>
  <c r="C710" i="2"/>
  <c r="C418" i="2"/>
  <c r="C419" i="2"/>
  <c r="C420" i="2"/>
  <c r="C227" i="2"/>
  <c r="C422" i="2"/>
  <c r="C1035" i="2"/>
  <c r="C424" i="2"/>
  <c r="C425" i="2"/>
  <c r="C426" i="2"/>
  <c r="C1092" i="2"/>
  <c r="C428" i="2"/>
  <c r="C429" i="2"/>
  <c r="C91" i="2"/>
  <c r="C431" i="2"/>
  <c r="C1505" i="2"/>
  <c r="C433" i="2"/>
  <c r="C434" i="2"/>
  <c r="C435" i="2"/>
  <c r="C436" i="2"/>
  <c r="C437" i="2"/>
  <c r="C438" i="2"/>
  <c r="C439" i="2"/>
  <c r="C440" i="2"/>
  <c r="C564" i="2"/>
  <c r="C442" i="2"/>
  <c r="C443" i="2"/>
  <c r="C444" i="2"/>
  <c r="C445" i="2"/>
  <c r="C446" i="2"/>
  <c r="C447" i="2"/>
  <c r="C454" i="2"/>
  <c r="C449" i="2"/>
  <c r="C450" i="2"/>
  <c r="C451" i="2"/>
  <c r="C1611" i="2"/>
  <c r="C453" i="2"/>
  <c r="C383" i="2"/>
  <c r="C455" i="2"/>
  <c r="C897" i="2"/>
  <c r="C457" i="2"/>
  <c r="C1094" i="2"/>
  <c r="C341" i="2"/>
  <c r="C460" i="2"/>
  <c r="C461" i="2"/>
  <c r="C462" i="2"/>
  <c r="C463" i="2"/>
  <c r="C108" i="2"/>
  <c r="C467" i="2"/>
  <c r="C466" i="2"/>
  <c r="C1497" i="2"/>
  <c r="C1547" i="2"/>
  <c r="C469" i="2"/>
  <c r="C470" i="2"/>
  <c r="C328" i="2"/>
  <c r="C472" i="2"/>
  <c r="C144" i="2"/>
  <c r="C373" i="2"/>
  <c r="C475" i="2"/>
  <c r="C1287" i="2"/>
  <c r="C128" i="2"/>
  <c r="C478" i="2"/>
  <c r="C479" i="2"/>
  <c r="C480" i="2"/>
  <c r="C481" i="2"/>
  <c r="C482" i="2"/>
  <c r="C483" i="2"/>
  <c r="C1323" i="2"/>
  <c r="C485" i="2"/>
  <c r="C486" i="2"/>
  <c r="C487" i="2"/>
  <c r="C488" i="2"/>
  <c r="C608" i="2"/>
  <c r="C733" i="2"/>
  <c r="C491" i="2"/>
  <c r="C592" i="2"/>
  <c r="C511" i="2"/>
  <c r="C1423" i="2"/>
  <c r="C495" i="2"/>
  <c r="C496" i="2"/>
  <c r="C497" i="2"/>
  <c r="C792" i="2"/>
  <c r="C499" i="2"/>
  <c r="C500" i="2"/>
  <c r="C1511" i="2"/>
  <c r="C502" i="2"/>
  <c r="C503" i="2"/>
  <c r="C504" i="2"/>
  <c r="C505" i="2"/>
  <c r="C668" i="2"/>
  <c r="C507" i="2"/>
  <c r="C508" i="2"/>
  <c r="C509" i="2"/>
  <c r="C510" i="2"/>
  <c r="C1000" i="2"/>
  <c r="C512" i="2"/>
  <c r="C513" i="2"/>
  <c r="C514" i="2"/>
  <c r="C168" i="2"/>
  <c r="C516" i="2"/>
  <c r="C517" i="2"/>
  <c r="C518" i="2"/>
  <c r="C519" i="2"/>
  <c r="C520" i="2"/>
  <c r="C1213" i="2"/>
  <c r="C522" i="2"/>
  <c r="C523" i="2"/>
  <c r="C524" i="2"/>
  <c r="C345" i="2"/>
  <c r="C526" i="2"/>
  <c r="C527" i="2"/>
  <c r="C859" i="2"/>
  <c r="C529" i="2"/>
  <c r="C530" i="2"/>
  <c r="C531" i="2"/>
  <c r="C532" i="2"/>
  <c r="C533" i="2"/>
  <c r="C676" i="2"/>
  <c r="C535" i="2"/>
  <c r="C536" i="2"/>
  <c r="C537" i="2"/>
  <c r="C538" i="2"/>
  <c r="C539" i="2"/>
  <c r="C195" i="2"/>
  <c r="C218" i="2"/>
  <c r="C542" i="2"/>
  <c r="C543" i="2"/>
  <c r="C544" i="2"/>
  <c r="C545" i="2"/>
  <c r="C546" i="2"/>
  <c r="C547" i="2"/>
  <c r="C548" i="2"/>
  <c r="C549" i="2"/>
  <c r="C550" i="2"/>
  <c r="C551" i="2"/>
  <c r="C552" i="2"/>
  <c r="C553" i="2"/>
  <c r="C250" i="2"/>
  <c r="C417" i="2"/>
  <c r="C556" i="2"/>
  <c r="C1024" i="2"/>
  <c r="C558" i="2"/>
  <c r="C813" i="2"/>
  <c r="C1045" i="2"/>
  <c r="C795" i="2"/>
  <c r="C1181" i="2"/>
  <c r="C563" i="2"/>
  <c r="C1242" i="2"/>
  <c r="C565" i="2"/>
  <c r="C566" i="2"/>
  <c r="C567" i="2"/>
  <c r="C568" i="2"/>
  <c r="C569" i="2"/>
  <c r="C570" i="2"/>
  <c r="C1144" i="2"/>
  <c r="C572" i="2"/>
  <c r="C573" i="2"/>
  <c r="C574" i="2"/>
  <c r="C541" i="2"/>
  <c r="C1316" i="2"/>
  <c r="C577" i="2"/>
  <c r="C578" i="2"/>
  <c r="C579" i="2"/>
  <c r="C851" i="2"/>
  <c r="C581" i="2"/>
  <c r="C582" i="2"/>
  <c r="C583" i="2"/>
  <c r="C584" i="2"/>
  <c r="C585" i="2"/>
  <c r="C586" i="2"/>
  <c r="C587" i="2"/>
  <c r="C588" i="2"/>
  <c r="C589" i="2"/>
  <c r="C1136" i="2"/>
  <c r="C591" i="2"/>
  <c r="C521" i="2"/>
  <c r="C593" i="2"/>
  <c r="C594" i="2"/>
  <c r="C595" i="2"/>
  <c r="C596" i="2"/>
  <c r="C597" i="2"/>
  <c r="C975" i="2"/>
  <c r="C599" i="2"/>
  <c r="C821" i="2"/>
  <c r="C601" i="2"/>
  <c r="C602" i="2"/>
  <c r="C603" i="2"/>
  <c r="C1501" i="2"/>
  <c r="C605" i="2"/>
  <c r="C606" i="2"/>
  <c r="C613" i="2"/>
  <c r="C140" i="2"/>
  <c r="C609" i="2"/>
  <c r="C610" i="2"/>
  <c r="C611" i="2"/>
  <c r="C612" i="2"/>
  <c r="C1604" i="2"/>
  <c r="C490" i="2"/>
  <c r="C615" i="2"/>
  <c r="C616" i="2"/>
  <c r="C617" i="2"/>
  <c r="C618" i="2"/>
  <c r="C619" i="2"/>
  <c r="C620" i="2"/>
  <c r="C777" i="2"/>
  <c r="C622" i="2"/>
  <c r="C913" i="2"/>
  <c r="C624" i="2"/>
  <c r="C625" i="2"/>
  <c r="C1208" i="2"/>
  <c r="C627" i="2"/>
  <c r="C614" i="2"/>
  <c r="C1555" i="2"/>
  <c r="C1581" i="2"/>
  <c r="C631" i="2"/>
  <c r="C632" i="2"/>
  <c r="C346" i="2"/>
  <c r="C634" i="2"/>
  <c r="C635" i="2"/>
  <c r="C1452" i="2"/>
  <c r="C637" i="2"/>
  <c r="C638" i="2"/>
  <c r="C639" i="2"/>
  <c r="C640" i="2"/>
  <c r="C1358" i="2"/>
  <c r="C1112" i="2"/>
  <c r="C643" i="2"/>
  <c r="C1368" i="2"/>
  <c r="C645" i="2"/>
  <c r="C646" i="2"/>
  <c r="C647" i="2"/>
  <c r="C648" i="2"/>
  <c r="C1061" i="2"/>
  <c r="C968" i="2"/>
  <c r="C651" i="2"/>
  <c r="C878" i="2"/>
  <c r="C182" i="2"/>
  <c r="C494" i="2"/>
  <c r="C1027" i="2"/>
  <c r="C799" i="2"/>
  <c r="C657" i="2"/>
  <c r="C658" i="2"/>
  <c r="C659" i="2"/>
  <c r="C660" i="2"/>
  <c r="C661" i="2"/>
  <c r="C662" i="2"/>
  <c r="C827" i="2"/>
  <c r="C664" i="2"/>
  <c r="C665" i="2"/>
  <c r="C1395" i="2"/>
  <c r="C294" i="2"/>
  <c r="C172" i="2"/>
  <c r="C669" i="2"/>
  <c r="C670" i="2"/>
  <c r="C671" i="2"/>
  <c r="C672" i="2"/>
  <c r="C673" i="2"/>
  <c r="C674" i="2"/>
  <c r="C675" i="2"/>
  <c r="C681" i="2"/>
  <c r="C677" i="2"/>
  <c r="C678" i="2"/>
  <c r="C679" i="2"/>
  <c r="C916" i="2"/>
  <c r="C1425" i="2"/>
  <c r="C644" i="2"/>
  <c r="C683" i="2"/>
  <c r="C684" i="2"/>
  <c r="C896" i="2"/>
  <c r="C1077" i="2"/>
  <c r="C687" i="2"/>
  <c r="C688" i="2"/>
  <c r="C689" i="2"/>
  <c r="C1167" i="2"/>
  <c r="C691" i="2"/>
  <c r="C692" i="2"/>
  <c r="C693" i="2"/>
  <c r="C1492" i="2"/>
  <c r="C695" i="2"/>
  <c r="C696" i="2"/>
  <c r="C1006" i="2"/>
  <c r="C698" i="2"/>
  <c r="C699" i="2"/>
  <c r="C506" i="2"/>
  <c r="C701" i="2"/>
  <c r="C702" i="2"/>
  <c r="C703" i="2"/>
  <c r="C977" i="2"/>
  <c r="C705" i="2"/>
  <c r="C706" i="2"/>
  <c r="C468" i="2"/>
  <c r="C708" i="2"/>
  <c r="C412" i="2"/>
  <c r="C62" i="2"/>
  <c r="C929" i="2"/>
  <c r="C712" i="2"/>
  <c r="C1428" i="2"/>
  <c r="C1276" i="2"/>
  <c r="C498" i="2"/>
  <c r="C716" i="2"/>
  <c r="C1202" i="2"/>
  <c r="C1347" i="2"/>
  <c r="C1070" i="2"/>
  <c r="C720" i="2"/>
  <c r="C721" i="2"/>
  <c r="C722" i="2"/>
  <c r="C1036" i="2"/>
  <c r="C1184" i="2"/>
  <c r="C725" i="2"/>
  <c r="C228" i="2"/>
  <c r="C727" i="2"/>
  <c r="C728" i="2"/>
  <c r="C829" i="2"/>
  <c r="C730" i="2"/>
  <c r="C731" i="2"/>
  <c r="C732" i="2"/>
  <c r="C375" i="2"/>
  <c r="C734" i="2"/>
  <c r="C735" i="2"/>
  <c r="C736" i="2"/>
  <c r="C737" i="2"/>
  <c r="C297" i="2"/>
  <c r="C739" i="2"/>
  <c r="C740" i="2"/>
  <c r="C352" i="2"/>
  <c r="C742" i="2"/>
  <c r="C743" i="2"/>
  <c r="C744" i="2"/>
  <c r="C745" i="2"/>
  <c r="C746" i="2"/>
  <c r="C376" i="2"/>
  <c r="C600" i="2"/>
  <c r="C749" i="2"/>
  <c r="C750" i="2"/>
  <c r="C751" i="2"/>
  <c r="C752" i="2"/>
  <c r="C753" i="2"/>
  <c r="C365" i="2"/>
  <c r="C1448" i="2"/>
  <c r="C756" i="2"/>
  <c r="C757" i="2"/>
  <c r="C123" i="2"/>
  <c r="C759" i="2"/>
  <c r="C1375" i="2"/>
  <c r="C761" i="2"/>
  <c r="C762" i="2"/>
  <c r="C763" i="2"/>
  <c r="C764" i="2"/>
  <c r="C765" i="2"/>
  <c r="C281" i="2"/>
  <c r="C198" i="2"/>
  <c r="C768" i="2"/>
  <c r="C769" i="2"/>
  <c r="C770" i="2"/>
  <c r="C771" i="2"/>
  <c r="C772" i="2"/>
  <c r="C773" i="2"/>
  <c r="C774" i="2"/>
  <c r="C836" i="2"/>
  <c r="C776" i="2"/>
  <c r="C1221" i="2"/>
  <c r="C778" i="2"/>
  <c r="C1210" i="2"/>
  <c r="C780" i="2"/>
  <c r="C781" i="2"/>
  <c r="C1559" i="2"/>
  <c r="C783" i="2"/>
  <c r="C784" i="2"/>
  <c r="C785" i="2"/>
  <c r="C786" i="2"/>
  <c r="C1580" i="2"/>
  <c r="C788" i="2"/>
  <c r="C1288" i="2"/>
  <c r="C285" i="2"/>
  <c r="C926" i="2"/>
  <c r="C15" i="2"/>
  <c r="C793" i="2"/>
  <c r="C794" i="2"/>
  <c r="C21" i="2"/>
  <c r="C796" i="2"/>
  <c r="C797" i="2"/>
  <c r="C798" i="2"/>
  <c r="C1538" i="2"/>
  <c r="C70" i="2"/>
  <c r="C1455" i="2"/>
  <c r="C653" i="2"/>
  <c r="C803" i="2"/>
  <c r="C804" i="2"/>
  <c r="C805" i="2"/>
  <c r="C806" i="2"/>
  <c r="C807" i="2"/>
  <c r="C808" i="2"/>
  <c r="C1235" i="2"/>
  <c r="C810" i="2"/>
  <c r="C811" i="2"/>
  <c r="C812" i="2"/>
  <c r="C1332" i="2"/>
  <c r="C729" i="2"/>
  <c r="C815" i="2"/>
  <c r="C1399" i="2"/>
  <c r="C854" i="2"/>
  <c r="C818" i="2"/>
  <c r="C819" i="2"/>
  <c r="C820" i="2"/>
  <c r="C456" i="2"/>
  <c r="C822" i="2"/>
  <c r="C1593" i="2"/>
  <c r="C575" i="2"/>
  <c r="C630" i="2"/>
  <c r="C738" i="2"/>
  <c r="C1578" i="2"/>
  <c r="C828" i="2"/>
  <c r="C1239" i="2"/>
  <c r="C1256" i="2"/>
  <c r="C831" i="2"/>
  <c r="C1267" i="2"/>
  <c r="C833" i="2"/>
  <c r="C834" i="2"/>
  <c r="C835" i="2"/>
  <c r="C528" i="2"/>
  <c r="C1387" i="2"/>
  <c r="C838" i="2"/>
  <c r="C839" i="2"/>
  <c r="C840" i="2"/>
  <c r="C841" i="2"/>
  <c r="C1126" i="2"/>
  <c r="C1159" i="2"/>
  <c r="C844" i="2"/>
  <c r="C1502" i="2"/>
  <c r="C386" i="2"/>
  <c r="C847" i="2"/>
  <c r="C848" i="2"/>
  <c r="C849" i="2"/>
  <c r="C850" i="2"/>
  <c r="C685" i="2"/>
  <c r="C852" i="2"/>
  <c r="C199" i="2"/>
  <c r="C707" i="2"/>
  <c r="C855" i="2"/>
  <c r="C856" i="2"/>
  <c r="C857" i="2"/>
  <c r="C858" i="2"/>
  <c r="C1289" i="2"/>
  <c r="C860" i="2"/>
  <c r="C754" i="2"/>
  <c r="C862" i="2"/>
  <c r="C34" i="2"/>
  <c r="C800" i="2"/>
  <c r="C649" i="2"/>
  <c r="C866" i="2"/>
  <c r="C867" i="2"/>
  <c r="C868" i="2"/>
  <c r="C95" i="2"/>
  <c r="C576" i="2"/>
  <c r="C871" i="2"/>
  <c r="C872" i="2"/>
  <c r="C873" i="2"/>
  <c r="C874" i="2"/>
  <c r="C875" i="2"/>
  <c r="C876" i="2"/>
  <c r="C1268" i="2"/>
  <c r="C1302" i="2"/>
  <c r="C879" i="2"/>
  <c r="C779" i="2"/>
  <c r="C881" i="2"/>
  <c r="C882" i="2"/>
  <c r="C883" i="2"/>
  <c r="C755" i="2"/>
  <c r="C885" i="2"/>
  <c r="C886" i="2"/>
  <c r="C887" i="2"/>
  <c r="C888" i="2"/>
  <c r="C889" i="2"/>
  <c r="C880" i="2"/>
  <c r="C891" i="2"/>
  <c r="C892" i="2"/>
  <c r="C893" i="2"/>
  <c r="C814" i="2"/>
  <c r="C895" i="2"/>
  <c r="C1380" i="2"/>
  <c r="C471" i="2"/>
  <c r="C978" i="2"/>
  <c r="C899" i="2"/>
  <c r="C900" i="2"/>
  <c r="C901" i="2"/>
  <c r="C902" i="2"/>
  <c r="C903" i="2"/>
  <c r="C904" i="2"/>
  <c r="C905" i="2"/>
  <c r="C906" i="2"/>
  <c r="C907" i="2"/>
  <c r="C458" i="2"/>
  <c r="C909" i="2"/>
  <c r="C910" i="2"/>
  <c r="C911" i="2"/>
  <c r="C1612" i="2"/>
  <c r="C1363" i="2"/>
  <c r="C914" i="2"/>
  <c r="C915" i="2"/>
  <c r="C908" i="2"/>
  <c r="C917" i="2"/>
  <c r="C918" i="2"/>
  <c r="C919" i="2"/>
  <c r="C920" i="2"/>
  <c r="C921" i="2"/>
  <c r="C922" i="2"/>
  <c r="C923" i="2"/>
  <c r="C924" i="2"/>
  <c r="C621" i="2"/>
  <c r="C636" i="2"/>
  <c r="C927" i="2"/>
  <c r="C928" i="2"/>
  <c r="C1205" i="2"/>
  <c r="C930" i="2"/>
  <c r="C282" i="2"/>
  <c r="C932" i="2"/>
  <c r="C933" i="2"/>
  <c r="C816" i="2"/>
  <c r="C935" i="2"/>
  <c r="C936" i="2"/>
  <c r="C937" i="2"/>
  <c r="C938" i="2"/>
  <c r="C939" i="2"/>
  <c r="C758" i="2"/>
  <c r="C941" i="2"/>
  <c r="C1583" i="2"/>
  <c r="C943" i="2"/>
  <c r="C427" i="2"/>
  <c r="C945" i="2"/>
  <c r="C946" i="2"/>
  <c r="C1139" i="2"/>
  <c r="C948" i="2"/>
  <c r="C571" i="2"/>
  <c r="C950" i="2"/>
  <c r="C951" i="2"/>
  <c r="C952" i="2"/>
  <c r="C1523" i="2"/>
  <c r="C954" i="2"/>
  <c r="C869" i="2"/>
  <c r="C956" i="2"/>
  <c r="C1303" i="2"/>
  <c r="C715" i="2"/>
  <c r="C959" i="2"/>
  <c r="C960" i="2"/>
  <c r="C782" i="2"/>
  <c r="C962" i="2"/>
  <c r="C963" i="2"/>
  <c r="C964" i="2"/>
  <c r="C1487" i="2"/>
  <c r="C966" i="2"/>
  <c r="C967" i="2"/>
  <c r="C654" i="2"/>
  <c r="C969" i="2"/>
  <c r="C970" i="2"/>
  <c r="C971" i="2"/>
  <c r="C1176" i="2"/>
  <c r="C58" i="2"/>
  <c r="C974" i="2"/>
  <c r="C42" i="2"/>
  <c r="C976" i="2"/>
  <c r="C694" i="2"/>
  <c r="C1140" i="2"/>
  <c r="C979" i="2"/>
  <c r="C980" i="2"/>
  <c r="C981" i="2"/>
  <c r="C982" i="2"/>
  <c r="C983" i="2"/>
  <c r="C984" i="2"/>
  <c r="C310" i="2"/>
  <c r="C986" i="2"/>
  <c r="C52" i="2"/>
  <c r="C988" i="2"/>
  <c r="C1028" i="2"/>
  <c r="C990" i="2"/>
  <c r="C991" i="2"/>
  <c r="C992" i="2"/>
  <c r="C151" i="2"/>
  <c r="C994" i="2"/>
  <c r="C884" i="2"/>
  <c r="C377" i="2"/>
  <c r="C997" i="2"/>
  <c r="C724" i="2"/>
  <c r="C999" i="2"/>
  <c r="C741" i="2"/>
  <c r="C1001" i="2"/>
  <c r="C1002" i="2"/>
  <c r="C1003" i="2"/>
  <c r="C1004" i="2"/>
  <c r="C1005" i="2"/>
  <c r="C234" i="2"/>
  <c r="C1007" i="2"/>
  <c r="C1008" i="2"/>
  <c r="C1009" i="2"/>
  <c r="C1010" i="2"/>
  <c r="C1011" i="2"/>
  <c r="C1012" i="2"/>
  <c r="C266" i="2"/>
  <c r="C1014" i="2"/>
  <c r="C1015" i="2"/>
  <c r="C288" i="2"/>
  <c r="C1017" i="2"/>
  <c r="C1018" i="2"/>
  <c r="C1019" i="2"/>
  <c r="C1569" i="2"/>
  <c r="C1021" i="2"/>
  <c r="C1022" i="2"/>
  <c r="C312" i="2"/>
  <c r="C1182" i="2"/>
  <c r="C1025" i="2"/>
  <c r="C1026" i="2"/>
  <c r="C837" i="2"/>
  <c r="C861" i="2"/>
  <c r="C1029" i="2"/>
  <c r="C1030" i="2"/>
  <c r="C1160" i="2"/>
  <c r="C944" i="2"/>
  <c r="C1168" i="2"/>
  <c r="C1461" i="2"/>
  <c r="C717" i="2"/>
  <c r="C356" i="2"/>
  <c r="C130" i="2"/>
  <c r="C1038" i="2"/>
  <c r="C1039" i="2"/>
  <c r="C1466" i="2"/>
  <c r="C1041" i="2"/>
  <c r="C1042" i="2"/>
  <c r="C1043" i="2"/>
  <c r="C1044" i="2"/>
  <c r="C1083" i="2"/>
  <c r="C1046" i="2"/>
  <c r="C1047" i="2"/>
  <c r="C1048" i="2"/>
  <c r="C1049" i="2"/>
  <c r="C1050" i="2"/>
  <c r="C1051" i="2"/>
  <c r="C1052" i="2"/>
  <c r="C1053" i="2"/>
  <c r="C1054" i="2"/>
  <c r="C1493" i="2"/>
  <c r="C1056" i="2"/>
  <c r="C1057" i="2"/>
  <c r="C1058" i="2"/>
  <c r="C1059" i="2"/>
  <c r="C1060" i="2"/>
  <c r="C1440" i="2"/>
  <c r="C972" i="2"/>
  <c r="C1063" i="2"/>
  <c r="C1064" i="2"/>
  <c r="C1065" i="2"/>
  <c r="C697" i="2"/>
  <c r="C1067" i="2"/>
  <c r="C1068" i="2"/>
  <c r="C1069" i="2"/>
  <c r="C1020" i="2"/>
  <c r="C185" i="2"/>
  <c r="C1072" i="2"/>
  <c r="C1073" i="2"/>
  <c r="C1074" i="2"/>
  <c r="C1075" i="2"/>
  <c r="C1076" i="2"/>
  <c r="C59" i="2"/>
  <c r="C1078" i="2"/>
  <c r="C473" i="2"/>
  <c r="C1080" i="2"/>
  <c r="C1081" i="2"/>
  <c r="C554" i="2"/>
  <c r="C1536" i="2"/>
  <c r="C1084" i="2"/>
  <c r="C1085" i="2"/>
  <c r="C1086" i="2"/>
  <c r="C1087" i="2"/>
  <c r="C1325" i="2"/>
  <c r="C1089" i="2"/>
  <c r="C1090" i="2"/>
  <c r="C1091" i="2"/>
  <c r="C1290" i="2"/>
  <c r="C961" i="2"/>
  <c r="C208" i="2"/>
  <c r="C1095" i="2"/>
  <c r="C953" i="2"/>
  <c r="C942" i="2"/>
  <c r="C1247" i="2"/>
  <c r="C1099" i="2"/>
  <c r="C1100" i="2"/>
  <c r="C1477" i="2"/>
  <c r="C1102" i="2"/>
  <c r="C1103" i="2"/>
  <c r="C1104" i="2"/>
  <c r="C1105" i="2"/>
  <c r="C1106" i="2"/>
  <c r="C1107" i="2"/>
  <c r="C1108" i="2"/>
  <c r="C1109" i="2"/>
  <c r="C392" i="2"/>
  <c r="C1111" i="2"/>
  <c r="C700" i="2"/>
  <c r="C1113" i="2"/>
  <c r="C1582" i="2"/>
  <c r="C1115" i="2"/>
  <c r="C1116" i="2"/>
  <c r="C1117" i="2"/>
  <c r="C187" i="2"/>
  <c r="C1119" i="2"/>
  <c r="C413" i="2"/>
  <c r="C1121" i="2"/>
  <c r="C1122" i="2"/>
  <c r="C1123" i="2"/>
  <c r="C1124" i="2"/>
  <c r="C1125" i="2"/>
  <c r="C842" i="2"/>
  <c r="C1127" i="2"/>
  <c r="C1128" i="2"/>
  <c r="C1129" i="2"/>
  <c r="C1130" i="2"/>
  <c r="C973" i="2"/>
  <c r="C931" i="2"/>
  <c r="C1133" i="2"/>
  <c r="C1096" i="2"/>
  <c r="C1135" i="2"/>
  <c r="C801" i="2"/>
  <c r="C1137" i="2"/>
  <c r="C1138" i="2"/>
  <c r="C334" i="2"/>
  <c r="C255" i="2"/>
  <c r="C82" i="2"/>
  <c r="C1142" i="2"/>
  <c r="C1143" i="2"/>
  <c r="C1298" i="2"/>
  <c r="C1274" i="2"/>
  <c r="C1146" i="2"/>
  <c r="C1147" i="2"/>
  <c r="C1148" i="2"/>
  <c r="C623" i="2"/>
  <c r="C1150" i="2"/>
  <c r="C1151" i="2"/>
  <c r="C555" i="2"/>
  <c r="C1153" i="2"/>
  <c r="C1154" i="2"/>
  <c r="C1155" i="2"/>
  <c r="C1156" i="2"/>
  <c r="C1157" i="2"/>
  <c r="C1305" i="2"/>
  <c r="C1173" i="2"/>
  <c r="C1526" i="2"/>
  <c r="C1161" i="2"/>
  <c r="C1131" i="2"/>
  <c r="C1163" i="2"/>
  <c r="C1164" i="2"/>
  <c r="C1165" i="2"/>
  <c r="C1166" i="2"/>
  <c r="C534" i="2"/>
  <c r="C560" i="2"/>
  <c r="C1169" i="2"/>
  <c r="C1170" i="2"/>
  <c r="C1171" i="2"/>
  <c r="C1172" i="2"/>
  <c r="C338" i="2"/>
  <c r="C393" i="2"/>
  <c r="C1175" i="2"/>
  <c r="C686" i="2"/>
  <c r="C394" i="2"/>
  <c r="C1533" i="2"/>
  <c r="C1179" i="2"/>
  <c r="C1180" i="2"/>
  <c r="C1589" i="2"/>
  <c r="C898" i="2"/>
  <c r="C1183" i="2"/>
  <c r="C1254" i="2"/>
  <c r="C1185" i="2"/>
  <c r="C1186" i="2"/>
  <c r="C1187" i="2"/>
  <c r="C1145" i="2"/>
  <c r="C1189" i="2"/>
  <c r="C1190" i="2"/>
  <c r="C1191" i="2"/>
  <c r="C1192" i="2"/>
  <c r="C823" i="2"/>
  <c r="C1194" i="2"/>
  <c r="C1195" i="2"/>
  <c r="C1196" i="2"/>
  <c r="C1197" i="2"/>
  <c r="C1198" i="2"/>
  <c r="C384" i="2"/>
  <c r="C1200" i="2"/>
  <c r="C1201" i="2"/>
  <c r="C448" i="2"/>
  <c r="C1203" i="2"/>
  <c r="C985" i="2"/>
  <c r="C1361" i="2"/>
  <c r="C1206" i="2"/>
  <c r="C1207" i="2"/>
  <c r="C650" i="2"/>
  <c r="C1209" i="2"/>
  <c r="C1359" i="2"/>
  <c r="C1211" i="2"/>
  <c r="C241" i="2"/>
  <c r="C604" i="2"/>
  <c r="C1214" i="2"/>
  <c r="C1215" i="2"/>
  <c r="C1216" i="2"/>
  <c r="C1217" i="2"/>
  <c r="C358" i="2"/>
  <c r="C1219" i="2"/>
  <c r="C1220" i="2"/>
  <c r="C1246" i="2"/>
  <c r="C1222" i="2"/>
  <c r="C492" i="2"/>
  <c r="C1224" i="2"/>
  <c r="C1225" i="2"/>
  <c r="C1226" i="2"/>
  <c r="C1227" i="2"/>
  <c r="C1228" i="2"/>
  <c r="C1229" i="2"/>
  <c r="C1230" i="2"/>
  <c r="C641" i="2"/>
  <c r="C1231" i="2"/>
  <c r="C1233" i="2"/>
  <c r="C1234" i="2"/>
  <c r="C557" i="2"/>
  <c r="C1236" i="2"/>
  <c r="C1237" i="2"/>
  <c r="C1238" i="2"/>
  <c r="C760" i="2"/>
  <c r="C1329" i="2"/>
  <c r="C1097" i="2"/>
  <c r="C718" i="2"/>
  <c r="C1243" i="2"/>
  <c r="C1244" i="2"/>
  <c r="C1245" i="2"/>
  <c r="C870" i="2"/>
  <c r="C652" i="2"/>
  <c r="C1248" i="2"/>
  <c r="C1249" i="2"/>
  <c r="C1250" i="2"/>
  <c r="C1251" i="2"/>
  <c r="C1252" i="2"/>
  <c r="C1253" i="2"/>
  <c r="C1132" i="2"/>
  <c r="C1255" i="2"/>
  <c r="C1564" i="2"/>
  <c r="C1257" i="2"/>
  <c r="C1258" i="2"/>
  <c r="C1259" i="2"/>
  <c r="C1260" i="2"/>
  <c r="C1261" i="2"/>
  <c r="C1262" i="2"/>
  <c r="C1263" i="2"/>
  <c r="C1264" i="2"/>
  <c r="C1265" i="2"/>
  <c r="C1266" i="2"/>
  <c r="C766" i="2"/>
  <c r="C229" i="2"/>
  <c r="C1269" i="2"/>
  <c r="C1270" i="2"/>
  <c r="C1271" i="2"/>
  <c r="C1272" i="2"/>
  <c r="C1273" i="2"/>
  <c r="C890" i="2"/>
  <c r="C1275" i="2"/>
  <c r="C607" i="2"/>
  <c r="C1277" i="2"/>
  <c r="C1278" i="2"/>
  <c r="C1279" i="2"/>
  <c r="C1280" i="2"/>
  <c r="C1281" i="2"/>
  <c r="C459" i="2"/>
  <c r="C1283" i="2"/>
  <c r="C1284" i="2"/>
  <c r="C1285" i="2"/>
  <c r="C1286" i="2"/>
  <c r="C525" i="2"/>
  <c r="C1032" i="2"/>
  <c r="C863" i="2"/>
  <c r="C719" i="2"/>
  <c r="C1291" i="2"/>
  <c r="C1292" i="2"/>
  <c r="C1293" i="2"/>
  <c r="C1294" i="2"/>
  <c r="C1295" i="2"/>
  <c r="C1296" i="2"/>
  <c r="C1297" i="2"/>
  <c r="C957" i="2"/>
  <c r="C57" i="2"/>
  <c r="C1300" i="2"/>
  <c r="C1301" i="2"/>
  <c r="C845" i="2"/>
  <c r="C1033" i="2"/>
  <c r="C1304" i="2"/>
  <c r="C787" i="2"/>
  <c r="C1306" i="2"/>
  <c r="C1307" i="2"/>
  <c r="C1308" i="2"/>
  <c r="C1309" i="2"/>
  <c r="C1384" i="2"/>
  <c r="C1311" i="2"/>
  <c r="C1312" i="2"/>
  <c r="C1313" i="2"/>
  <c r="C430" i="2"/>
  <c r="C1315" i="2"/>
  <c r="C84" i="2"/>
  <c r="C1317" i="2"/>
  <c r="C1318" i="2"/>
  <c r="C1319" i="2"/>
  <c r="C1320" i="2"/>
  <c r="C1321" i="2"/>
  <c r="C1322" i="2"/>
  <c r="C912" i="2"/>
  <c r="C1324" i="2"/>
  <c r="C464" i="2"/>
  <c r="C1326" i="2"/>
  <c r="C958" i="2"/>
  <c r="C1328" i="2"/>
  <c r="C465" i="2"/>
  <c r="C1330" i="2"/>
  <c r="C1342" i="2"/>
  <c r="C1114" i="2"/>
  <c r="C1333" i="2"/>
  <c r="C1557" i="2"/>
  <c r="C1335" i="2"/>
  <c r="C1336" i="2"/>
  <c r="C1337" i="2"/>
  <c r="C1338" i="2"/>
  <c r="C1339" i="2"/>
  <c r="C1340" i="2"/>
  <c r="C1341" i="2"/>
  <c r="C802" i="2"/>
  <c r="C223" i="2"/>
  <c r="C1344" i="2"/>
  <c r="C1345" i="2"/>
  <c r="C1346" i="2"/>
  <c r="C1212" i="2"/>
  <c r="C1348" i="2"/>
  <c r="C378" i="2"/>
  <c r="C1350" i="2"/>
  <c r="C1351" i="2"/>
  <c r="C1232" i="2"/>
  <c r="C1353" i="2"/>
  <c r="C1354" i="2"/>
  <c r="C1355" i="2"/>
  <c r="C1356" i="2"/>
  <c r="C1357" i="2"/>
  <c r="C493" i="2"/>
  <c r="C115" i="2"/>
  <c r="C1360" i="2"/>
  <c r="C655" i="2"/>
  <c r="C1367" i="2"/>
  <c r="C1016" i="2"/>
  <c r="C1364" i="2"/>
  <c r="C1365" i="2"/>
  <c r="C1366" i="2"/>
  <c r="C690" i="2"/>
  <c r="C400" i="2"/>
  <c r="C1369" i="2"/>
  <c r="C1444" i="2"/>
  <c r="C1371" i="2"/>
  <c r="C1372" i="2"/>
  <c r="C1373" i="2"/>
  <c r="C1374" i="2"/>
  <c r="C989" i="2"/>
  <c r="C1310" i="2"/>
  <c r="C1377" i="2"/>
  <c r="C1378" i="2"/>
  <c r="C1379" i="2"/>
  <c r="C366" i="2"/>
  <c r="C1381" i="2"/>
  <c r="C1382" i="2"/>
  <c r="C1383" i="2"/>
  <c r="C1468" i="2"/>
  <c r="C1385" i="2"/>
  <c r="C1386" i="2"/>
  <c r="C1282" i="2"/>
  <c r="C243" i="2"/>
  <c r="C1389" i="2"/>
  <c r="C1390" i="2"/>
  <c r="C1362" i="2"/>
  <c r="C1392" i="2"/>
  <c r="C1393" i="2"/>
  <c r="C1394" i="2"/>
  <c r="C289" i="2"/>
  <c r="C1396" i="2"/>
  <c r="C1397" i="2"/>
  <c r="C1398" i="2"/>
  <c r="C723" i="2"/>
  <c r="C1400" i="2"/>
  <c r="C1401" i="2"/>
  <c r="C1402" i="2"/>
  <c r="C1403" i="2"/>
  <c r="C993" i="2"/>
  <c r="C1405" i="2"/>
  <c r="C1037" i="2"/>
  <c r="C1407" i="2"/>
  <c r="C1539" i="2"/>
  <c r="C1409" i="2"/>
  <c r="C1410" i="2"/>
  <c r="C1411" i="2"/>
  <c r="C1412" i="2"/>
  <c r="C1158" i="2"/>
  <c r="C1414" i="2"/>
  <c r="C1415" i="2"/>
  <c r="C877" i="2"/>
  <c r="C1149" i="2"/>
  <c r="C1418" i="2"/>
  <c r="C1419" i="2"/>
  <c r="C1420" i="2"/>
  <c r="C1421" i="2"/>
  <c r="C74" i="2"/>
  <c r="C561" i="2"/>
  <c r="C1424" i="2"/>
  <c r="C256" i="2"/>
  <c r="C1426" i="2"/>
  <c r="C1427" i="2"/>
  <c r="C257" i="2"/>
  <c r="C1429" i="2"/>
  <c r="C1430" i="2"/>
  <c r="C1431" i="2"/>
  <c r="C1432" i="2"/>
  <c r="C1433" i="2"/>
  <c r="C1434" i="2"/>
  <c r="C1435" i="2"/>
  <c r="C1436" i="2"/>
  <c r="C1437" i="2"/>
  <c r="C1438" i="2"/>
  <c r="C1439" i="2"/>
  <c r="C1299" i="2"/>
  <c r="C629" i="2"/>
  <c r="C1442" i="2"/>
  <c r="C1443" i="2"/>
  <c r="C1406" i="2"/>
  <c r="C1445" i="2"/>
  <c r="C1446" i="2"/>
  <c r="C1447" i="2"/>
  <c r="C830" i="2"/>
  <c r="C1449" i="2"/>
  <c r="C1450" i="2"/>
  <c r="C1451" i="2"/>
  <c r="C134" i="2"/>
  <c r="C1453" i="2"/>
  <c r="C1454" i="2"/>
  <c r="C682" i="2"/>
  <c r="C1456" i="2"/>
  <c r="C1457" i="2"/>
  <c r="C1458" i="2"/>
  <c r="C1459" i="2"/>
  <c r="C1460" i="2"/>
  <c r="C747" i="2"/>
  <c r="C1462" i="2"/>
  <c r="C1463" i="2"/>
  <c r="C1464" i="2"/>
  <c r="C1408" i="2"/>
  <c r="C298" i="2"/>
  <c r="C1467" i="2"/>
  <c r="C809" i="2"/>
  <c r="C1469" i="2"/>
  <c r="C633" i="2"/>
  <c r="C1177" i="2"/>
  <c r="C1472" i="2"/>
  <c r="C1473" i="2"/>
  <c r="C1474" i="2"/>
  <c r="C1475" i="2"/>
  <c r="C1098" i="2"/>
  <c r="C925" i="2"/>
  <c r="C1478" i="2"/>
  <c r="C1479" i="2"/>
  <c r="C1480" i="2"/>
  <c r="C934" i="2"/>
  <c r="C1482" i="2"/>
  <c r="C1483" i="2"/>
  <c r="C1484" i="2"/>
  <c r="C1404" i="2"/>
  <c r="C1486" i="2"/>
  <c r="C965" i="2"/>
  <c r="C1488" i="2"/>
  <c r="C1489" i="2"/>
  <c r="C1490" i="2"/>
  <c r="C1174" i="2"/>
  <c r="C1471" i="2"/>
  <c r="C824" i="2"/>
  <c r="C1494" i="2"/>
  <c r="C1495" i="2"/>
  <c r="C1496" i="2"/>
  <c r="C825" i="2"/>
  <c r="C1498" i="2"/>
  <c r="C1499" i="2"/>
  <c r="C1500" i="2"/>
  <c r="C680" i="2"/>
  <c r="C789" i="2"/>
  <c r="C1503" i="2"/>
  <c r="C1504" i="2"/>
  <c r="C714" i="2"/>
  <c r="C1506" i="2"/>
  <c r="C1507" i="2"/>
  <c r="C1508" i="2"/>
  <c r="C1509" i="2"/>
  <c r="C1388" i="2"/>
  <c r="C1223" i="2"/>
  <c r="C1512" i="2"/>
  <c r="C1513" i="2"/>
  <c r="C853" i="2"/>
  <c r="C1515" i="2"/>
  <c r="C1516" i="2"/>
  <c r="C1517" i="2"/>
  <c r="C1518" i="2"/>
  <c r="C1519" i="2"/>
  <c r="C1520" i="2"/>
  <c r="C1521" i="2"/>
  <c r="C1522" i="2"/>
  <c r="C1162" i="2"/>
  <c r="C1524" i="2"/>
  <c r="C1525" i="2"/>
  <c r="C1141" i="2"/>
  <c r="C1527" i="2"/>
  <c r="C1528" i="2"/>
  <c r="C1529" i="2"/>
  <c r="C1530" i="2"/>
  <c r="C1531" i="2"/>
  <c r="C1532" i="2"/>
  <c r="C1595" i="2"/>
  <c r="C1534" i="2"/>
  <c r="C1535" i="2"/>
  <c r="C1218" i="2"/>
  <c r="C1537" i="2"/>
  <c r="C219" i="2"/>
  <c r="C1013" i="2"/>
  <c r="C1540" i="2"/>
  <c r="C1541" i="2"/>
  <c r="C1542" i="2"/>
  <c r="C1543" i="2"/>
  <c r="C1544" i="2"/>
  <c r="C1545" i="2"/>
  <c r="C1546" i="2"/>
  <c r="C1566" i="2"/>
  <c r="C1548" i="2"/>
  <c r="C1549" i="2"/>
  <c r="C1550" i="2"/>
  <c r="C1551" i="2"/>
  <c r="C1552" i="2"/>
  <c r="C1553" i="2"/>
  <c r="C1554" i="2"/>
  <c r="C381" i="2"/>
  <c r="C1556" i="2"/>
  <c r="C1134" i="2"/>
  <c r="C1558" i="2"/>
  <c r="C1570" i="2"/>
  <c r="C1560" i="2"/>
  <c r="C1561" i="2"/>
  <c r="C843" i="2"/>
  <c r="C1563" i="2"/>
  <c r="C362" i="2"/>
  <c r="C1565" i="2"/>
  <c r="C367" i="2"/>
  <c r="C1567" i="2"/>
  <c r="C1568" i="2"/>
  <c r="C154" i="2"/>
  <c r="C1598" i="2"/>
  <c r="C1152" i="2"/>
  <c r="C656" i="2"/>
  <c r="C142" i="2"/>
  <c r="C1574" i="2"/>
  <c r="C515" i="2"/>
  <c r="C1576" i="2"/>
  <c r="C1577" i="2"/>
  <c r="C711" i="2"/>
  <c r="C1579" i="2"/>
  <c r="C364" i="2"/>
  <c r="C1417" i="2"/>
  <c r="C270" i="2"/>
  <c r="C300" i="2"/>
  <c r="C1584" i="2"/>
  <c r="C1585" i="2"/>
  <c r="C1586" i="2"/>
  <c r="C1587" i="2"/>
  <c r="C202" i="2"/>
  <c r="C642" i="2"/>
  <c r="C1590" i="2"/>
  <c r="C1591" i="2"/>
  <c r="C1592" i="2"/>
  <c r="C826" i="2"/>
  <c r="C1594" i="2"/>
  <c r="C1071" i="2"/>
  <c r="C1596" i="2"/>
  <c r="C1597" i="2"/>
  <c r="C864" i="2"/>
  <c r="C1599" i="2"/>
  <c r="C1600" i="2"/>
  <c r="C1601" i="2"/>
  <c r="C1602" i="2"/>
  <c r="C1603" i="2"/>
  <c r="C301" i="2"/>
  <c r="C1605" i="2"/>
  <c r="C1606" i="2"/>
  <c r="C1607" i="2"/>
  <c r="C598" i="2"/>
  <c r="C1609" i="2"/>
  <c r="C1610" i="2"/>
  <c r="C1481" i="2"/>
  <c r="C1241" i="2"/>
  <c r="E2" i="2"/>
  <c r="E3" i="2"/>
  <c r="E4" i="2"/>
  <c r="E5" i="2"/>
  <c r="E6" i="2"/>
  <c r="E7" i="2"/>
  <c r="E8" i="2"/>
  <c r="E9" i="2"/>
  <c r="E10" i="2"/>
  <c r="E11" i="2"/>
  <c r="E12" i="2"/>
  <c r="E13" i="2"/>
  <c r="E421" i="2"/>
  <c r="E1079" i="2"/>
  <c r="E16" i="2"/>
  <c r="E17" i="2"/>
  <c r="E432" i="2"/>
  <c r="E19" i="2"/>
  <c r="E20" i="2"/>
  <c r="E704" i="2"/>
  <c r="E22" i="2"/>
  <c r="E23" i="2"/>
  <c r="E24" i="2"/>
  <c r="E25" i="2"/>
  <c r="E26" i="2"/>
  <c r="E27" i="2"/>
  <c r="E28" i="2"/>
  <c r="E29" i="2"/>
  <c r="E30" i="2"/>
  <c r="E31" i="2"/>
  <c r="E32" i="2"/>
  <c r="E33" i="2"/>
  <c r="E179" i="2"/>
  <c r="E35" i="2"/>
  <c r="E369" i="2"/>
  <c r="E37" i="2"/>
  <c r="E38" i="2"/>
  <c r="E39" i="2"/>
  <c r="E36" i="2"/>
  <c r="E41" i="2"/>
  <c r="E713" i="2"/>
  <c r="E43" i="2"/>
  <c r="E44" i="2"/>
  <c r="E45" i="2"/>
  <c r="E46" i="2"/>
  <c r="E47" i="2"/>
  <c r="E48" i="2"/>
  <c r="E49" i="2"/>
  <c r="E50" i="2"/>
  <c r="E51" i="2"/>
  <c r="E1093" i="2"/>
  <c r="E53" i="2"/>
  <c r="E54" i="2"/>
  <c r="E55" i="2"/>
  <c r="E56" i="2"/>
  <c r="E1031" i="2"/>
  <c r="E191" i="2"/>
  <c r="E452" i="2"/>
  <c r="E1062" i="2"/>
  <c r="E61" i="2"/>
  <c r="E1465" i="2"/>
  <c r="E63" i="2"/>
  <c r="E64" i="2"/>
  <c r="E65" i="2"/>
  <c r="E66" i="2"/>
  <c r="E67" i="2"/>
  <c r="E68" i="2"/>
  <c r="E69" i="2"/>
  <c r="E1118" i="2"/>
  <c r="E71" i="2"/>
  <c r="E72" i="2"/>
  <c r="E73" i="2"/>
  <c r="E86" i="2"/>
  <c r="E1571" i="2"/>
  <c r="E76" i="2"/>
  <c r="E77" i="2"/>
  <c r="E767" i="2"/>
  <c r="E79" i="2"/>
  <c r="E80" i="2"/>
  <c r="E81" i="2"/>
  <c r="E1034" i="2"/>
  <c r="E83" i="2"/>
  <c r="E320" i="2"/>
  <c r="E85" i="2"/>
  <c r="E201" i="2"/>
  <c r="E626" i="2"/>
  <c r="E88" i="2"/>
  <c r="E89" i="2"/>
  <c r="E90" i="2"/>
  <c r="E249" i="2"/>
  <c r="E92" i="2"/>
  <c r="E93" i="2"/>
  <c r="E1178" i="2"/>
  <c r="E119" i="2"/>
  <c r="E96" i="2"/>
  <c r="E97" i="2"/>
  <c r="E98" i="2"/>
  <c r="E947" i="2"/>
  <c r="E100" i="2"/>
  <c r="E101" i="2"/>
  <c r="E102" i="2"/>
  <c r="E103" i="2"/>
  <c r="E104" i="2"/>
  <c r="E105" i="2"/>
  <c r="E106" i="2"/>
  <c r="E107" i="2"/>
  <c r="E1572" i="2"/>
  <c r="E109" i="2"/>
  <c r="E110" i="2"/>
  <c r="E111" i="2"/>
  <c r="E112" i="2"/>
  <c r="E113" i="2"/>
  <c r="E114" i="2"/>
  <c r="E1413" i="2"/>
  <c r="E116" i="2"/>
  <c r="E117" i="2"/>
  <c r="E118" i="2"/>
  <c r="E1491" i="2"/>
  <c r="E1314" i="2"/>
  <c r="E121" i="2"/>
  <c r="E122" i="2"/>
  <c r="E1199" i="2"/>
  <c r="E124" i="2"/>
  <c r="E125" i="2"/>
  <c r="E126" i="2"/>
  <c r="E127" i="2"/>
  <c r="E75" i="2"/>
  <c r="E129" i="2"/>
  <c r="E1040" i="2"/>
  <c r="E131" i="2"/>
  <c r="E132" i="2"/>
  <c r="E133" i="2"/>
  <c r="E441" i="2"/>
  <c r="E135" i="2"/>
  <c r="E136" i="2"/>
  <c r="E137" i="2"/>
  <c r="E138" i="2"/>
  <c r="E139" i="2"/>
  <c r="E1188" i="2"/>
  <c r="E141" i="2"/>
  <c r="E363" i="2"/>
  <c r="E143" i="2"/>
  <c r="E995" i="2"/>
  <c r="E145" i="2"/>
  <c r="E146" i="2"/>
  <c r="E147" i="2"/>
  <c r="E148" i="2"/>
  <c r="E149" i="2"/>
  <c r="E150" i="2"/>
  <c r="E1082" i="2"/>
  <c r="E152" i="2"/>
  <c r="E153" i="2"/>
  <c r="E120" i="2"/>
  <c r="E155" i="2"/>
  <c r="E156" i="2"/>
  <c r="E157" i="2"/>
  <c r="E158" i="2"/>
  <c r="E159" i="2"/>
  <c r="E160" i="2"/>
  <c r="E161" i="2"/>
  <c r="E663" i="2"/>
  <c r="E163" i="2"/>
  <c r="E164" i="2"/>
  <c r="E165" i="2"/>
  <c r="E166" i="2"/>
  <c r="E167" i="2"/>
  <c r="E99" i="2"/>
  <c r="E169" i="2"/>
  <c r="E170" i="2"/>
  <c r="E171" i="2"/>
  <c r="E1608" i="2"/>
  <c r="E173" i="2"/>
  <c r="E174" i="2"/>
  <c r="E175" i="2"/>
  <c r="E176" i="2"/>
  <c r="E177" i="2"/>
  <c r="E178" i="2"/>
  <c r="E1476" i="2"/>
  <c r="E180" i="2"/>
  <c r="E181" i="2"/>
  <c r="E423" i="2"/>
  <c r="E183" i="2"/>
  <c r="E184" i="2"/>
  <c r="E817" i="2"/>
  <c r="E186" i="2"/>
  <c r="E666" i="2"/>
  <c r="E188" i="2"/>
  <c r="E189" i="2"/>
  <c r="E190" i="2"/>
  <c r="E14" i="2"/>
  <c r="E192" i="2"/>
  <c r="E193" i="2"/>
  <c r="E194" i="2"/>
  <c r="E540" i="2"/>
  <c r="E196" i="2"/>
  <c r="E197" i="2"/>
  <c r="E1349" i="2"/>
  <c r="E1240" i="2"/>
  <c r="E200" i="2"/>
  <c r="E385" i="2"/>
  <c r="E996" i="2"/>
  <c r="E203" i="2"/>
  <c r="E204" i="2"/>
  <c r="E205" i="2"/>
  <c r="E206" i="2"/>
  <c r="E207" i="2"/>
  <c r="E1562" i="2"/>
  <c r="E209" i="2"/>
  <c r="E210" i="2"/>
  <c r="E211" i="2"/>
  <c r="E94" i="2"/>
  <c r="E213" i="2"/>
  <c r="E214" i="2"/>
  <c r="E215" i="2"/>
  <c r="E216" i="2"/>
  <c r="E217" i="2"/>
  <c r="E987" i="2"/>
  <c r="E325" i="2"/>
  <c r="E220" i="2"/>
  <c r="E221" i="2"/>
  <c r="E222" i="2"/>
  <c r="E476" i="2"/>
  <c r="E224" i="2"/>
  <c r="E225" i="2"/>
  <c r="E226" i="2"/>
  <c r="E726" i="2"/>
  <c r="E1066" i="2"/>
  <c r="E162" i="2"/>
  <c r="E230" i="2"/>
  <c r="E1510" i="2"/>
  <c r="E232" i="2"/>
  <c r="E832" i="2"/>
  <c r="E1514" i="2"/>
  <c r="E235" i="2"/>
  <c r="E236" i="2"/>
  <c r="E237" i="2"/>
  <c r="E238" i="2"/>
  <c r="E239" i="2"/>
  <c r="E240" i="2"/>
  <c r="E790" i="2"/>
  <c r="E242" i="2"/>
  <c r="E1101" i="2"/>
  <c r="E244" i="2"/>
  <c r="E245" i="2"/>
  <c r="E246" i="2"/>
  <c r="E247" i="2"/>
  <c r="E248" i="2"/>
  <c r="E87" i="2"/>
  <c r="E998" i="2"/>
  <c r="E251" i="2"/>
  <c r="E252" i="2"/>
  <c r="E253" i="2"/>
  <c r="E254" i="2"/>
  <c r="E333" i="2"/>
  <c r="E1573" i="2"/>
  <c r="E477" i="2"/>
  <c r="E258" i="2"/>
  <c r="E259" i="2"/>
  <c r="E260" i="2"/>
  <c r="E261" i="2"/>
  <c r="E262" i="2"/>
  <c r="E263" i="2"/>
  <c r="E264" i="2"/>
  <c r="E265" i="2"/>
  <c r="E484" i="2"/>
  <c r="E580" i="2"/>
  <c r="E268" i="2"/>
  <c r="E269" i="2"/>
  <c r="E559" i="2"/>
  <c r="E231" i="2"/>
  <c r="E272" i="2"/>
  <c r="E273" i="2"/>
  <c r="E274" i="2"/>
  <c r="E275" i="2"/>
  <c r="E276" i="2"/>
  <c r="E277" i="2"/>
  <c r="E278" i="2"/>
  <c r="E279" i="2"/>
  <c r="E280" i="2"/>
  <c r="E949" i="2"/>
  <c r="E748" i="2"/>
  <c r="E283" i="2"/>
  <c r="E284" i="2"/>
  <c r="E1331" i="2"/>
  <c r="E286" i="2"/>
  <c r="E287" i="2"/>
  <c r="E303" i="2"/>
  <c r="E18" i="2"/>
  <c r="E290" i="2"/>
  <c r="E291" i="2"/>
  <c r="E292" i="2"/>
  <c r="E293" i="2"/>
  <c r="E501" i="2"/>
  <c r="E295" i="2"/>
  <c r="E296" i="2"/>
  <c r="E212" i="2"/>
  <c r="E1441" i="2"/>
  <c r="E299" i="2"/>
  <c r="E267" i="2"/>
  <c r="E1416" i="2"/>
  <c r="E302" i="2"/>
  <c r="E271" i="2"/>
  <c r="E304" i="2"/>
  <c r="E305" i="2"/>
  <c r="E306" i="2"/>
  <c r="E307" i="2"/>
  <c r="E308" i="2"/>
  <c r="E1055" i="2"/>
  <c r="E1343" i="2"/>
  <c r="E311" i="2"/>
  <c r="E865" i="2"/>
  <c r="E313" i="2"/>
  <c r="E314" i="2"/>
  <c r="E315" i="2"/>
  <c r="E316" i="2"/>
  <c r="E317" i="2"/>
  <c r="E318" i="2"/>
  <c r="E319" i="2"/>
  <c r="E322" i="2"/>
  <c r="E321" i="2"/>
  <c r="E414" i="2"/>
  <c r="E323" i="2"/>
  <c r="E324" i="2"/>
  <c r="E1485" i="2"/>
  <c r="E326" i="2"/>
  <c r="E327" i="2"/>
  <c r="E775" i="2"/>
  <c r="E329" i="2"/>
  <c r="E330" i="2"/>
  <c r="E331" i="2"/>
  <c r="E332" i="2"/>
  <c r="E1334" i="2"/>
  <c r="E404" i="2"/>
  <c r="E335" i="2"/>
  <c r="E336" i="2"/>
  <c r="E337" i="2"/>
  <c r="E1422" i="2"/>
  <c r="E339" i="2"/>
  <c r="E340" i="2"/>
  <c r="E940" i="2"/>
  <c r="E342" i="2"/>
  <c r="E343" i="2"/>
  <c r="E344" i="2"/>
  <c r="E628" i="2"/>
  <c r="E955" i="2"/>
  <c r="E347" i="2"/>
  <c r="E348" i="2"/>
  <c r="E349" i="2"/>
  <c r="E350" i="2"/>
  <c r="E351" i="2"/>
  <c r="E309" i="2"/>
  <c r="E353" i="2"/>
  <c r="E354" i="2"/>
  <c r="E355" i="2"/>
  <c r="E1088" i="2"/>
  <c r="E357" i="2"/>
  <c r="E709" i="2"/>
  <c r="E359" i="2"/>
  <c r="E360" i="2"/>
  <c r="E361" i="2"/>
  <c r="E489" i="2"/>
  <c r="E1120" i="2"/>
  <c r="E1588" i="2"/>
  <c r="E1110" i="2"/>
  <c r="E1391" i="2"/>
  <c r="E667" i="2"/>
  <c r="E368" i="2"/>
  <c r="E233" i="2"/>
  <c r="E370" i="2"/>
  <c r="E371" i="2"/>
  <c r="E372" i="2"/>
  <c r="E1370" i="2"/>
  <c r="E374" i="2"/>
  <c r="E894" i="2"/>
  <c r="E590" i="2"/>
  <c r="E1575" i="2"/>
  <c r="E1376" i="2"/>
  <c r="E379" i="2"/>
  <c r="E380" i="2"/>
  <c r="E562" i="2"/>
  <c r="E382" i="2"/>
  <c r="E407" i="2"/>
  <c r="E1204" i="2"/>
  <c r="E40" i="2"/>
  <c r="E1023" i="2"/>
  <c r="E387" i="2"/>
  <c r="E388" i="2"/>
  <c r="E389" i="2"/>
  <c r="E390" i="2"/>
  <c r="E391" i="2"/>
  <c r="E791" i="2"/>
  <c r="E60" i="2"/>
  <c r="E846" i="2"/>
  <c r="E395" i="2"/>
  <c r="E396" i="2"/>
  <c r="E397" i="2"/>
  <c r="E398" i="2"/>
  <c r="E399" i="2"/>
  <c r="E1470" i="2"/>
  <c r="E401" i="2"/>
  <c r="E402" i="2"/>
  <c r="E403" i="2"/>
  <c r="E1327" i="2"/>
  <c r="E405" i="2"/>
  <c r="E406" i="2"/>
  <c r="E474" i="2"/>
  <c r="E408" i="2"/>
  <c r="E409" i="2"/>
  <c r="E410" i="2"/>
  <c r="E411" i="2"/>
  <c r="E1352" i="2"/>
  <c r="E78" i="2"/>
  <c r="E1193" i="2"/>
  <c r="E415" i="2"/>
  <c r="E416" i="2"/>
  <c r="E710" i="2"/>
  <c r="E418" i="2"/>
  <c r="E419" i="2"/>
  <c r="E420" i="2"/>
  <c r="E227" i="2"/>
  <c r="E422" i="2"/>
  <c r="E1035" i="2"/>
  <c r="E424" i="2"/>
  <c r="E425" i="2"/>
  <c r="E426" i="2"/>
  <c r="E1092" i="2"/>
  <c r="E428" i="2"/>
  <c r="E429" i="2"/>
  <c r="E91" i="2"/>
  <c r="E431" i="2"/>
  <c r="E1505" i="2"/>
  <c r="E433" i="2"/>
  <c r="E434" i="2"/>
  <c r="E435" i="2"/>
  <c r="E436" i="2"/>
  <c r="E437" i="2"/>
  <c r="E438" i="2"/>
  <c r="E439" i="2"/>
  <c r="E440" i="2"/>
  <c r="E564" i="2"/>
  <c r="E442" i="2"/>
  <c r="E443" i="2"/>
  <c r="E444" i="2"/>
  <c r="E445" i="2"/>
  <c r="E446" i="2"/>
  <c r="E447" i="2"/>
  <c r="E454" i="2"/>
  <c r="E449" i="2"/>
  <c r="E450" i="2"/>
  <c r="E451" i="2"/>
  <c r="E1611" i="2"/>
  <c r="E453" i="2"/>
  <c r="E383" i="2"/>
  <c r="E455" i="2"/>
  <c r="E897" i="2"/>
  <c r="E457" i="2"/>
  <c r="E1094" i="2"/>
  <c r="E341" i="2"/>
  <c r="E460" i="2"/>
  <c r="E461" i="2"/>
  <c r="E462" i="2"/>
  <c r="E463" i="2"/>
  <c r="E108" i="2"/>
  <c r="E467" i="2"/>
  <c r="E466" i="2"/>
  <c r="E1497" i="2"/>
  <c r="E1547" i="2"/>
  <c r="E469" i="2"/>
  <c r="E470" i="2"/>
  <c r="E328" i="2"/>
  <c r="E472" i="2"/>
  <c r="E144" i="2"/>
  <c r="E373" i="2"/>
  <c r="E475" i="2"/>
  <c r="E1287" i="2"/>
  <c r="E128" i="2"/>
  <c r="E478" i="2"/>
  <c r="E479" i="2"/>
  <c r="E480" i="2"/>
  <c r="E481" i="2"/>
  <c r="E482" i="2"/>
  <c r="E483" i="2"/>
  <c r="E1323" i="2"/>
  <c r="E485" i="2"/>
  <c r="E486" i="2"/>
  <c r="E487" i="2"/>
  <c r="E488" i="2"/>
  <c r="E608" i="2"/>
  <c r="E733" i="2"/>
  <c r="E491" i="2"/>
  <c r="E592" i="2"/>
  <c r="E511" i="2"/>
  <c r="E1423" i="2"/>
  <c r="E495" i="2"/>
  <c r="E496" i="2"/>
  <c r="E497" i="2"/>
  <c r="E792" i="2"/>
  <c r="E499" i="2"/>
  <c r="E500" i="2"/>
  <c r="E1511" i="2"/>
  <c r="E502" i="2"/>
  <c r="E503" i="2"/>
  <c r="E504" i="2"/>
  <c r="E505" i="2"/>
  <c r="E668" i="2"/>
  <c r="E507" i="2"/>
  <c r="E508" i="2"/>
  <c r="E509" i="2"/>
  <c r="E510" i="2"/>
  <c r="E1000" i="2"/>
  <c r="E512" i="2"/>
  <c r="E513" i="2"/>
  <c r="E514" i="2"/>
  <c r="E168" i="2"/>
  <c r="E516" i="2"/>
  <c r="E517" i="2"/>
  <c r="E518" i="2"/>
  <c r="E519" i="2"/>
  <c r="E520" i="2"/>
  <c r="E1213" i="2"/>
  <c r="E522" i="2"/>
  <c r="E523" i="2"/>
  <c r="E524" i="2"/>
  <c r="E345" i="2"/>
  <c r="E526" i="2"/>
  <c r="E527" i="2"/>
  <c r="E859" i="2"/>
  <c r="E529" i="2"/>
  <c r="E530" i="2"/>
  <c r="E531" i="2"/>
  <c r="E532" i="2"/>
  <c r="E533" i="2"/>
  <c r="E676" i="2"/>
  <c r="E535" i="2"/>
  <c r="E536" i="2"/>
  <c r="E537" i="2"/>
  <c r="E538" i="2"/>
  <c r="E539" i="2"/>
  <c r="E195" i="2"/>
  <c r="E218" i="2"/>
  <c r="E542" i="2"/>
  <c r="E543" i="2"/>
  <c r="E544" i="2"/>
  <c r="E545" i="2"/>
  <c r="E546" i="2"/>
  <c r="E547" i="2"/>
  <c r="E548" i="2"/>
  <c r="E549" i="2"/>
  <c r="E550" i="2"/>
  <c r="E551" i="2"/>
  <c r="E552" i="2"/>
  <c r="E553" i="2"/>
  <c r="E250" i="2"/>
  <c r="E417" i="2"/>
  <c r="E556" i="2"/>
  <c r="E1024" i="2"/>
  <c r="E558" i="2"/>
  <c r="E813" i="2"/>
  <c r="E1045" i="2"/>
  <c r="E795" i="2"/>
  <c r="E1181" i="2"/>
  <c r="E563" i="2"/>
  <c r="E1242" i="2"/>
  <c r="E565" i="2"/>
  <c r="E566" i="2"/>
  <c r="E567" i="2"/>
  <c r="E568" i="2"/>
  <c r="E569" i="2"/>
  <c r="E570" i="2"/>
  <c r="E1144" i="2"/>
  <c r="E572" i="2"/>
  <c r="E573" i="2"/>
  <c r="E574" i="2"/>
  <c r="E541" i="2"/>
  <c r="E1316" i="2"/>
  <c r="E577" i="2"/>
  <c r="E578" i="2"/>
  <c r="E579" i="2"/>
  <c r="E851" i="2"/>
  <c r="E581" i="2"/>
  <c r="E582" i="2"/>
  <c r="E583" i="2"/>
  <c r="E584" i="2"/>
  <c r="E585" i="2"/>
  <c r="E586" i="2"/>
  <c r="E587" i="2"/>
  <c r="E588" i="2"/>
  <c r="E589" i="2"/>
  <c r="E1136" i="2"/>
  <c r="E591" i="2"/>
  <c r="E521" i="2"/>
  <c r="E593" i="2"/>
  <c r="E594" i="2"/>
  <c r="E595" i="2"/>
  <c r="E596" i="2"/>
  <c r="E597" i="2"/>
  <c r="E975" i="2"/>
  <c r="E599" i="2"/>
  <c r="E821" i="2"/>
  <c r="E601" i="2"/>
  <c r="E602" i="2"/>
  <c r="E603" i="2"/>
  <c r="E1501" i="2"/>
  <c r="E605" i="2"/>
  <c r="E606" i="2"/>
  <c r="E613" i="2"/>
  <c r="E140" i="2"/>
  <c r="E609" i="2"/>
  <c r="E610" i="2"/>
  <c r="E611" i="2"/>
  <c r="E612" i="2"/>
  <c r="E1604" i="2"/>
  <c r="E490" i="2"/>
  <c r="E615" i="2"/>
  <c r="E616" i="2"/>
  <c r="E617" i="2"/>
  <c r="E618" i="2"/>
  <c r="E619" i="2"/>
  <c r="E620" i="2"/>
  <c r="E777" i="2"/>
  <c r="E622" i="2"/>
  <c r="E913" i="2"/>
  <c r="E624" i="2"/>
  <c r="E625" i="2"/>
  <c r="E1208" i="2"/>
  <c r="E627" i="2"/>
  <c r="E614" i="2"/>
  <c r="E1555" i="2"/>
  <c r="E1581" i="2"/>
  <c r="E631" i="2"/>
  <c r="E632" i="2"/>
  <c r="E346" i="2"/>
  <c r="E634" i="2"/>
  <c r="E635" i="2"/>
  <c r="E1452" i="2"/>
  <c r="E637" i="2"/>
  <c r="E638" i="2"/>
  <c r="E639" i="2"/>
  <c r="E640" i="2"/>
  <c r="E1358" i="2"/>
  <c r="E1112" i="2"/>
  <c r="E643" i="2"/>
  <c r="E1368" i="2"/>
  <c r="E645" i="2"/>
  <c r="E646" i="2"/>
  <c r="E647" i="2"/>
  <c r="E648" i="2"/>
  <c r="E1061" i="2"/>
  <c r="E968" i="2"/>
  <c r="E651" i="2"/>
  <c r="E878" i="2"/>
  <c r="E182" i="2"/>
  <c r="E494" i="2"/>
  <c r="E1027" i="2"/>
  <c r="E799" i="2"/>
  <c r="E657" i="2"/>
  <c r="E658" i="2"/>
  <c r="E659" i="2"/>
  <c r="E660" i="2"/>
  <c r="E661" i="2"/>
  <c r="E662" i="2"/>
  <c r="E827" i="2"/>
  <c r="E664" i="2"/>
  <c r="E665" i="2"/>
  <c r="E1395" i="2"/>
  <c r="E294" i="2"/>
  <c r="E172" i="2"/>
  <c r="E669" i="2"/>
  <c r="E670" i="2"/>
  <c r="E671" i="2"/>
  <c r="E672" i="2"/>
  <c r="E673" i="2"/>
  <c r="E674" i="2"/>
  <c r="E675" i="2"/>
  <c r="E681" i="2"/>
  <c r="E677" i="2"/>
  <c r="E678" i="2"/>
  <c r="E679" i="2"/>
  <c r="E916" i="2"/>
  <c r="E1425" i="2"/>
  <c r="E644" i="2"/>
  <c r="E683" i="2"/>
  <c r="E684" i="2"/>
  <c r="E896" i="2"/>
  <c r="E1077" i="2"/>
  <c r="E687" i="2"/>
  <c r="E688" i="2"/>
  <c r="E689" i="2"/>
  <c r="E1167" i="2"/>
  <c r="E691" i="2"/>
  <c r="E692" i="2"/>
  <c r="E693" i="2"/>
  <c r="E1492" i="2"/>
  <c r="E695" i="2"/>
  <c r="E696" i="2"/>
  <c r="E1006" i="2"/>
  <c r="E698" i="2"/>
  <c r="E699" i="2"/>
  <c r="E506" i="2"/>
  <c r="E701" i="2"/>
  <c r="E702" i="2"/>
  <c r="E703" i="2"/>
  <c r="E977" i="2"/>
  <c r="E705" i="2"/>
  <c r="E706" i="2"/>
  <c r="E468" i="2"/>
  <c r="E708" i="2"/>
  <c r="E412" i="2"/>
  <c r="E62" i="2"/>
  <c r="E929" i="2"/>
  <c r="E712" i="2"/>
  <c r="E1428" i="2"/>
  <c r="E1276" i="2"/>
  <c r="E498" i="2"/>
  <c r="E716" i="2"/>
  <c r="E1202" i="2"/>
  <c r="E1347" i="2"/>
  <c r="E1070" i="2"/>
  <c r="E720" i="2"/>
  <c r="E721" i="2"/>
  <c r="E722" i="2"/>
  <c r="E1036" i="2"/>
  <c r="E1184" i="2"/>
  <c r="E725" i="2"/>
  <c r="E228" i="2"/>
  <c r="E727" i="2"/>
  <c r="E728" i="2"/>
  <c r="E829" i="2"/>
  <c r="E730" i="2"/>
  <c r="E731" i="2"/>
  <c r="E732" i="2"/>
  <c r="E375" i="2"/>
  <c r="E734" i="2"/>
  <c r="E735" i="2"/>
  <c r="E736" i="2"/>
  <c r="E737" i="2"/>
  <c r="E297" i="2"/>
  <c r="E739" i="2"/>
  <c r="E740" i="2"/>
  <c r="E352" i="2"/>
  <c r="E742" i="2"/>
  <c r="E743" i="2"/>
  <c r="E744" i="2"/>
  <c r="E745" i="2"/>
  <c r="E746" i="2"/>
  <c r="E376" i="2"/>
  <c r="E600" i="2"/>
  <c r="E749" i="2"/>
  <c r="E750" i="2"/>
  <c r="E751" i="2"/>
  <c r="E752" i="2"/>
  <c r="E753" i="2"/>
  <c r="E365" i="2"/>
  <c r="E1448" i="2"/>
  <c r="E756" i="2"/>
  <c r="E757" i="2"/>
  <c r="E123" i="2"/>
  <c r="E759" i="2"/>
  <c r="E1375" i="2"/>
  <c r="E761" i="2"/>
  <c r="E762" i="2"/>
  <c r="E763" i="2"/>
  <c r="E764" i="2"/>
  <c r="E765" i="2"/>
  <c r="E281" i="2"/>
  <c r="E198" i="2"/>
  <c r="E768" i="2"/>
  <c r="E769" i="2"/>
  <c r="E770" i="2"/>
  <c r="E771" i="2"/>
  <c r="E772" i="2"/>
  <c r="E773" i="2"/>
  <c r="E774" i="2"/>
  <c r="E836" i="2"/>
  <c r="E776" i="2"/>
  <c r="E1221" i="2"/>
  <c r="E778" i="2"/>
  <c r="E1210" i="2"/>
  <c r="E780" i="2"/>
  <c r="E781" i="2"/>
  <c r="E1559" i="2"/>
  <c r="E783" i="2"/>
  <c r="E784" i="2"/>
  <c r="E785" i="2"/>
  <c r="E786" i="2"/>
  <c r="E1580" i="2"/>
  <c r="E788" i="2"/>
  <c r="E1288" i="2"/>
  <c r="E285" i="2"/>
  <c r="E926" i="2"/>
  <c r="E15" i="2"/>
  <c r="E793" i="2"/>
  <c r="E794" i="2"/>
  <c r="E21" i="2"/>
  <c r="E796" i="2"/>
  <c r="E797" i="2"/>
  <c r="E798" i="2"/>
  <c r="E1538" i="2"/>
  <c r="E70" i="2"/>
  <c r="E1455" i="2"/>
  <c r="E653" i="2"/>
  <c r="E803" i="2"/>
  <c r="E804" i="2"/>
  <c r="E805" i="2"/>
  <c r="E806" i="2"/>
  <c r="E807" i="2"/>
  <c r="E808" i="2"/>
  <c r="E1235" i="2"/>
  <c r="E810" i="2"/>
  <c r="E811" i="2"/>
  <c r="E812" i="2"/>
  <c r="E1332" i="2"/>
  <c r="E729" i="2"/>
  <c r="E815" i="2"/>
  <c r="E1399" i="2"/>
  <c r="E854" i="2"/>
  <c r="E818" i="2"/>
  <c r="E819" i="2"/>
  <c r="E820" i="2"/>
  <c r="E456" i="2"/>
  <c r="E822" i="2"/>
  <c r="E1593" i="2"/>
  <c r="E575" i="2"/>
  <c r="E630" i="2"/>
  <c r="E738" i="2"/>
  <c r="E1578" i="2"/>
  <c r="E828" i="2"/>
  <c r="E1239" i="2"/>
  <c r="E1256" i="2"/>
  <c r="E831" i="2"/>
  <c r="E1267" i="2"/>
  <c r="E833" i="2"/>
  <c r="E834" i="2"/>
  <c r="E835" i="2"/>
  <c r="E528" i="2"/>
  <c r="E1387" i="2"/>
  <c r="E838" i="2"/>
  <c r="E839" i="2"/>
  <c r="E840" i="2"/>
  <c r="E841" i="2"/>
  <c r="E1126" i="2"/>
  <c r="E1159" i="2"/>
  <c r="E844" i="2"/>
  <c r="E1502" i="2"/>
  <c r="E386" i="2"/>
  <c r="E847" i="2"/>
  <c r="E848" i="2"/>
  <c r="E849" i="2"/>
  <c r="E850" i="2"/>
  <c r="E685" i="2"/>
  <c r="E852" i="2"/>
  <c r="E199" i="2"/>
  <c r="E707" i="2"/>
  <c r="E855" i="2"/>
  <c r="E856" i="2"/>
  <c r="E857" i="2"/>
  <c r="E858" i="2"/>
  <c r="E1289" i="2"/>
  <c r="E860" i="2"/>
  <c r="E754" i="2"/>
  <c r="E862" i="2"/>
  <c r="E34" i="2"/>
  <c r="E800" i="2"/>
  <c r="E649" i="2"/>
  <c r="E866" i="2"/>
  <c r="E867" i="2"/>
  <c r="E868" i="2"/>
  <c r="E95" i="2"/>
  <c r="E576" i="2"/>
  <c r="E871" i="2"/>
  <c r="E872" i="2"/>
  <c r="E873" i="2"/>
  <c r="E874" i="2"/>
  <c r="E875" i="2"/>
  <c r="E876" i="2"/>
  <c r="E1268" i="2"/>
  <c r="E1302" i="2"/>
  <c r="E879" i="2"/>
  <c r="E779" i="2"/>
  <c r="E881" i="2"/>
  <c r="E882" i="2"/>
  <c r="E883" i="2"/>
  <c r="E755" i="2"/>
  <c r="E885" i="2"/>
  <c r="E886" i="2"/>
  <c r="E887" i="2"/>
  <c r="E888" i="2"/>
  <c r="E889" i="2"/>
  <c r="E880" i="2"/>
  <c r="E891" i="2"/>
  <c r="E892" i="2"/>
  <c r="E893" i="2"/>
  <c r="E814" i="2"/>
  <c r="E895" i="2"/>
  <c r="E1380" i="2"/>
  <c r="E471" i="2"/>
  <c r="E978" i="2"/>
  <c r="E899" i="2"/>
  <c r="E900" i="2"/>
  <c r="E901" i="2"/>
  <c r="E902" i="2"/>
  <c r="E903" i="2"/>
  <c r="E904" i="2"/>
  <c r="E905" i="2"/>
  <c r="E906" i="2"/>
  <c r="E907" i="2"/>
  <c r="E458" i="2"/>
  <c r="E909" i="2"/>
  <c r="E910" i="2"/>
  <c r="E911" i="2"/>
  <c r="E1612" i="2"/>
  <c r="E1363" i="2"/>
  <c r="E914" i="2"/>
  <c r="E915" i="2"/>
  <c r="E908" i="2"/>
  <c r="E917" i="2"/>
  <c r="E918" i="2"/>
  <c r="E919" i="2"/>
  <c r="E920" i="2"/>
  <c r="E921" i="2"/>
  <c r="E922" i="2"/>
  <c r="E923" i="2"/>
  <c r="E924" i="2"/>
  <c r="E621" i="2"/>
  <c r="E636" i="2"/>
  <c r="E927" i="2"/>
  <c r="E928" i="2"/>
  <c r="E1205" i="2"/>
  <c r="E930" i="2"/>
  <c r="E282" i="2"/>
  <c r="E932" i="2"/>
  <c r="E933" i="2"/>
  <c r="E816" i="2"/>
  <c r="E935" i="2"/>
  <c r="E936" i="2"/>
  <c r="E937" i="2"/>
  <c r="E938" i="2"/>
  <c r="E939" i="2"/>
  <c r="E758" i="2"/>
  <c r="E941" i="2"/>
  <c r="E1583" i="2"/>
  <c r="E943" i="2"/>
  <c r="E427" i="2"/>
  <c r="E945" i="2"/>
  <c r="E946" i="2"/>
  <c r="E1139" i="2"/>
  <c r="E948" i="2"/>
  <c r="E571" i="2"/>
  <c r="E950" i="2"/>
  <c r="E951" i="2"/>
  <c r="E952" i="2"/>
  <c r="E1523" i="2"/>
  <c r="E954" i="2"/>
  <c r="E869" i="2"/>
  <c r="E956" i="2"/>
  <c r="E1303" i="2"/>
  <c r="E715" i="2"/>
  <c r="E959" i="2"/>
  <c r="E960" i="2"/>
  <c r="E782" i="2"/>
  <c r="E962" i="2"/>
  <c r="E963" i="2"/>
  <c r="E964" i="2"/>
  <c r="E1487" i="2"/>
  <c r="E966" i="2"/>
  <c r="E967" i="2"/>
  <c r="E654" i="2"/>
  <c r="E969" i="2"/>
  <c r="E970" i="2"/>
  <c r="E971" i="2"/>
  <c r="E1176" i="2"/>
  <c r="E58" i="2"/>
  <c r="E974" i="2"/>
  <c r="E42" i="2"/>
  <c r="E976" i="2"/>
  <c r="E694" i="2"/>
  <c r="E1140" i="2"/>
  <c r="E979" i="2"/>
  <c r="E980" i="2"/>
  <c r="E981" i="2"/>
  <c r="E982" i="2"/>
  <c r="E983" i="2"/>
  <c r="E984" i="2"/>
  <c r="E310" i="2"/>
  <c r="E986" i="2"/>
  <c r="E52" i="2"/>
  <c r="E988" i="2"/>
  <c r="E1028" i="2"/>
  <c r="E990" i="2"/>
  <c r="E991" i="2"/>
  <c r="E992" i="2"/>
  <c r="E151" i="2"/>
  <c r="E994" i="2"/>
  <c r="E884" i="2"/>
  <c r="E377" i="2"/>
  <c r="E997" i="2"/>
  <c r="E724" i="2"/>
  <c r="E999" i="2"/>
  <c r="E741" i="2"/>
  <c r="E1001" i="2"/>
  <c r="E1002" i="2"/>
  <c r="E1003" i="2"/>
  <c r="E1004" i="2"/>
  <c r="E1005" i="2"/>
  <c r="E234" i="2"/>
  <c r="E1007" i="2"/>
  <c r="E1008" i="2"/>
  <c r="E1009" i="2"/>
  <c r="E1010" i="2"/>
  <c r="E1011" i="2"/>
  <c r="E1012" i="2"/>
  <c r="E266" i="2"/>
  <c r="E1014" i="2"/>
  <c r="E1015" i="2"/>
  <c r="E288" i="2"/>
  <c r="E1017" i="2"/>
  <c r="E1018" i="2"/>
  <c r="E1019" i="2"/>
  <c r="E1569" i="2"/>
  <c r="E1021" i="2"/>
  <c r="E1022" i="2"/>
  <c r="E312" i="2"/>
  <c r="E1182" i="2"/>
  <c r="E1025" i="2"/>
  <c r="E1026" i="2"/>
  <c r="E837" i="2"/>
  <c r="E861" i="2"/>
  <c r="E1029" i="2"/>
  <c r="E1030" i="2"/>
  <c r="E1160" i="2"/>
  <c r="E944" i="2"/>
  <c r="E1168" i="2"/>
  <c r="E1461" i="2"/>
  <c r="E717" i="2"/>
  <c r="E356" i="2"/>
  <c r="E130" i="2"/>
  <c r="E1038" i="2"/>
  <c r="E1039" i="2"/>
  <c r="E1466" i="2"/>
  <c r="E1041" i="2"/>
  <c r="E1042" i="2"/>
  <c r="E1043" i="2"/>
  <c r="E1044" i="2"/>
  <c r="E1083" i="2"/>
  <c r="E1046" i="2"/>
  <c r="E1047" i="2"/>
  <c r="E1048" i="2"/>
  <c r="E1049" i="2"/>
  <c r="E1050" i="2"/>
  <c r="E1051" i="2"/>
  <c r="E1052" i="2"/>
  <c r="E1053" i="2"/>
  <c r="E1054" i="2"/>
  <c r="E1493" i="2"/>
  <c r="E1056" i="2"/>
  <c r="E1057" i="2"/>
  <c r="E1058" i="2"/>
  <c r="E1059" i="2"/>
  <c r="E1060" i="2"/>
  <c r="E1440" i="2"/>
  <c r="E972" i="2"/>
  <c r="E1063" i="2"/>
  <c r="E1064" i="2"/>
  <c r="E1065" i="2"/>
  <c r="E697" i="2"/>
  <c r="E1067" i="2"/>
  <c r="E1068" i="2"/>
  <c r="E1069" i="2"/>
  <c r="E1020" i="2"/>
  <c r="E185" i="2"/>
  <c r="E1072" i="2"/>
  <c r="E1073" i="2"/>
  <c r="E1074" i="2"/>
  <c r="E1075" i="2"/>
  <c r="E1076" i="2"/>
  <c r="E59" i="2"/>
  <c r="E1078" i="2"/>
  <c r="E473" i="2"/>
  <c r="E1080" i="2"/>
  <c r="E1081" i="2"/>
  <c r="E554" i="2"/>
  <c r="E1536" i="2"/>
  <c r="E1084" i="2"/>
  <c r="E1085" i="2"/>
  <c r="E1086" i="2"/>
  <c r="E1087" i="2"/>
  <c r="E1325" i="2"/>
  <c r="E1089" i="2"/>
  <c r="E1090" i="2"/>
  <c r="E1091" i="2"/>
  <c r="E1290" i="2"/>
  <c r="E961" i="2"/>
  <c r="E208" i="2"/>
  <c r="E1095" i="2"/>
  <c r="E953" i="2"/>
  <c r="E942" i="2"/>
  <c r="E1247" i="2"/>
  <c r="E1099" i="2"/>
  <c r="E1100" i="2"/>
  <c r="E1477" i="2"/>
  <c r="E1102" i="2"/>
  <c r="E1103" i="2"/>
  <c r="E1104" i="2"/>
  <c r="E1105" i="2"/>
  <c r="E1106" i="2"/>
  <c r="E1107" i="2"/>
  <c r="E1108" i="2"/>
  <c r="E1109" i="2"/>
  <c r="E392" i="2"/>
  <c r="E1111" i="2"/>
  <c r="E700" i="2"/>
  <c r="E1113" i="2"/>
  <c r="E1582" i="2"/>
  <c r="E1115" i="2"/>
  <c r="E1116" i="2"/>
  <c r="E1117" i="2"/>
  <c r="E187" i="2"/>
  <c r="E1119" i="2"/>
  <c r="E413" i="2"/>
  <c r="E1121" i="2"/>
  <c r="E1122" i="2"/>
  <c r="E1123" i="2"/>
  <c r="E1124" i="2"/>
  <c r="E1125" i="2"/>
  <c r="E842" i="2"/>
  <c r="E1127" i="2"/>
  <c r="E1128" i="2"/>
  <c r="E1129" i="2"/>
  <c r="E1130" i="2"/>
  <c r="E973" i="2"/>
  <c r="E931" i="2"/>
  <c r="E1133" i="2"/>
  <c r="E1096" i="2"/>
  <c r="E1135" i="2"/>
  <c r="E801" i="2"/>
  <c r="E1137" i="2"/>
  <c r="E1138" i="2"/>
  <c r="E334" i="2"/>
  <c r="E255" i="2"/>
  <c r="E82" i="2"/>
  <c r="E1142" i="2"/>
  <c r="E1143" i="2"/>
  <c r="E1298" i="2"/>
  <c r="E1274" i="2"/>
  <c r="E1146" i="2"/>
  <c r="E1147" i="2"/>
  <c r="E1148" i="2"/>
  <c r="E623" i="2"/>
  <c r="E1150" i="2"/>
  <c r="E1151" i="2"/>
  <c r="E555" i="2"/>
  <c r="E1153" i="2"/>
  <c r="E1154" i="2"/>
  <c r="E1155" i="2"/>
  <c r="E1156" i="2"/>
  <c r="E1157" i="2"/>
  <c r="E1305" i="2"/>
  <c r="E1173" i="2"/>
  <c r="E1526" i="2"/>
  <c r="E1161" i="2"/>
  <c r="E1131" i="2"/>
  <c r="E1163" i="2"/>
  <c r="E1164" i="2"/>
  <c r="E1165" i="2"/>
  <c r="E1166" i="2"/>
  <c r="E534" i="2"/>
  <c r="E560" i="2"/>
  <c r="E1169" i="2"/>
  <c r="E1170" i="2"/>
  <c r="E1171" i="2"/>
  <c r="E1172" i="2"/>
  <c r="E338" i="2"/>
  <c r="E393" i="2"/>
  <c r="E1175" i="2"/>
  <c r="E686" i="2"/>
  <c r="E394" i="2"/>
  <c r="E1533" i="2"/>
  <c r="E1179" i="2"/>
  <c r="E1180" i="2"/>
  <c r="E1589" i="2"/>
  <c r="E898" i="2"/>
  <c r="E1183" i="2"/>
  <c r="E1254" i="2"/>
  <c r="E1185" i="2"/>
  <c r="E1186" i="2"/>
  <c r="E1187" i="2"/>
  <c r="E1145" i="2"/>
  <c r="E1189" i="2"/>
  <c r="E1190" i="2"/>
  <c r="E1191" i="2"/>
  <c r="E1192" i="2"/>
  <c r="E823" i="2"/>
  <c r="E1194" i="2"/>
  <c r="E1195" i="2"/>
  <c r="E1196" i="2"/>
  <c r="E1197" i="2"/>
  <c r="E1198" i="2"/>
  <c r="E384" i="2"/>
  <c r="E1200" i="2"/>
  <c r="E1201" i="2"/>
  <c r="E448" i="2"/>
  <c r="E1203" i="2"/>
  <c r="E985" i="2"/>
  <c r="E1361" i="2"/>
  <c r="E1206" i="2"/>
  <c r="E1207" i="2"/>
  <c r="E650" i="2"/>
  <c r="E1209" i="2"/>
  <c r="E1359" i="2"/>
  <c r="E1211" i="2"/>
  <c r="E241" i="2"/>
  <c r="E604" i="2"/>
  <c r="E1214" i="2"/>
  <c r="E1215" i="2"/>
  <c r="E1216" i="2"/>
  <c r="E1217" i="2"/>
  <c r="E358" i="2"/>
  <c r="E1219" i="2"/>
  <c r="E1220" i="2"/>
  <c r="E1246" i="2"/>
  <c r="E1222" i="2"/>
  <c r="E492" i="2"/>
  <c r="E1224" i="2"/>
  <c r="E1225" i="2"/>
  <c r="E1226" i="2"/>
  <c r="E1227" i="2"/>
  <c r="E1228" i="2"/>
  <c r="E1229" i="2"/>
  <c r="E1230" i="2"/>
  <c r="E641" i="2"/>
  <c r="E1231" i="2"/>
  <c r="E1233" i="2"/>
  <c r="E1234" i="2"/>
  <c r="E557" i="2"/>
  <c r="E1236" i="2"/>
  <c r="E1237" i="2"/>
  <c r="E1238" i="2"/>
  <c r="E760" i="2"/>
  <c r="E1329" i="2"/>
  <c r="E1097" i="2"/>
  <c r="E718" i="2"/>
  <c r="E1243" i="2"/>
  <c r="E1244" i="2"/>
  <c r="E1245" i="2"/>
  <c r="E870" i="2"/>
  <c r="E652" i="2"/>
  <c r="E1248" i="2"/>
  <c r="E1249" i="2"/>
  <c r="E1250" i="2"/>
  <c r="E1251" i="2"/>
  <c r="E1252" i="2"/>
  <c r="E1253" i="2"/>
  <c r="E1132" i="2"/>
  <c r="E1255" i="2"/>
  <c r="E1564" i="2"/>
  <c r="E1257" i="2"/>
  <c r="E1258" i="2"/>
  <c r="E1259" i="2"/>
  <c r="E1260" i="2"/>
  <c r="E1261" i="2"/>
  <c r="E1262" i="2"/>
  <c r="E1263" i="2"/>
  <c r="E1264" i="2"/>
  <c r="E1265" i="2"/>
  <c r="E1266" i="2"/>
  <c r="E766" i="2"/>
  <c r="E229" i="2"/>
  <c r="E1269" i="2"/>
  <c r="E1270" i="2"/>
  <c r="E1271" i="2"/>
  <c r="E1272" i="2"/>
  <c r="E1273" i="2"/>
  <c r="E890" i="2"/>
  <c r="E1275" i="2"/>
  <c r="E607" i="2"/>
  <c r="E1277" i="2"/>
  <c r="E1278" i="2"/>
  <c r="E1279" i="2"/>
  <c r="E1280" i="2"/>
  <c r="E1281" i="2"/>
  <c r="E459" i="2"/>
  <c r="E1283" i="2"/>
  <c r="E1284" i="2"/>
  <c r="E1285" i="2"/>
  <c r="E1286" i="2"/>
  <c r="E525" i="2"/>
  <c r="E1032" i="2"/>
  <c r="E863" i="2"/>
  <c r="E719" i="2"/>
  <c r="E1291" i="2"/>
  <c r="E1292" i="2"/>
  <c r="E1293" i="2"/>
  <c r="E1294" i="2"/>
  <c r="E1295" i="2"/>
  <c r="E1296" i="2"/>
  <c r="E1297" i="2"/>
  <c r="E957" i="2"/>
  <c r="E57" i="2"/>
  <c r="E1300" i="2"/>
  <c r="E1301" i="2"/>
  <c r="E845" i="2"/>
  <c r="E1033" i="2"/>
  <c r="E1304" i="2"/>
  <c r="E787" i="2"/>
  <c r="E1306" i="2"/>
  <c r="E1307" i="2"/>
  <c r="E1308" i="2"/>
  <c r="E1309" i="2"/>
  <c r="E1384" i="2"/>
  <c r="E1311" i="2"/>
  <c r="E1312" i="2"/>
  <c r="E1313" i="2"/>
  <c r="E430" i="2"/>
  <c r="E1315" i="2"/>
  <c r="E84" i="2"/>
  <c r="E1317" i="2"/>
  <c r="E1318" i="2"/>
  <c r="E1319" i="2"/>
  <c r="E1320" i="2"/>
  <c r="E1321" i="2"/>
  <c r="E1322" i="2"/>
  <c r="E912" i="2"/>
  <c r="E1324" i="2"/>
  <c r="E464" i="2"/>
  <c r="E1326" i="2"/>
  <c r="E958" i="2"/>
  <c r="E1328" i="2"/>
  <c r="E465" i="2"/>
  <c r="E1330" i="2"/>
  <c r="E1342" i="2"/>
  <c r="E1114" i="2"/>
  <c r="E1333" i="2"/>
  <c r="E1557" i="2"/>
  <c r="E1335" i="2"/>
  <c r="E1336" i="2"/>
  <c r="E1337" i="2"/>
  <c r="E1338" i="2"/>
  <c r="E1339" i="2"/>
  <c r="E1340" i="2"/>
  <c r="E1341" i="2"/>
  <c r="E802" i="2"/>
  <c r="E223" i="2"/>
  <c r="E1344" i="2"/>
  <c r="E1345" i="2"/>
  <c r="E1346" i="2"/>
  <c r="E1212" i="2"/>
  <c r="E1348" i="2"/>
  <c r="E378" i="2"/>
  <c r="E1350" i="2"/>
  <c r="E1351" i="2"/>
  <c r="E1232" i="2"/>
  <c r="E1353" i="2"/>
  <c r="E1354" i="2"/>
  <c r="E1355" i="2"/>
  <c r="E1356" i="2"/>
  <c r="E1357" i="2"/>
  <c r="E493" i="2"/>
  <c r="E115" i="2"/>
  <c r="E1360" i="2"/>
  <c r="E655" i="2"/>
  <c r="E1367" i="2"/>
  <c r="E1016" i="2"/>
  <c r="E1364" i="2"/>
  <c r="E1365" i="2"/>
  <c r="E1366" i="2"/>
  <c r="E690" i="2"/>
  <c r="E400" i="2"/>
  <c r="E1369" i="2"/>
  <c r="E1444" i="2"/>
  <c r="E1371" i="2"/>
  <c r="E1372" i="2"/>
  <c r="E1373" i="2"/>
  <c r="E1374" i="2"/>
  <c r="E989" i="2"/>
  <c r="E1310" i="2"/>
  <c r="E1377" i="2"/>
  <c r="E1378" i="2"/>
  <c r="E1379" i="2"/>
  <c r="E366" i="2"/>
  <c r="E1381" i="2"/>
  <c r="E1382" i="2"/>
  <c r="E1383" i="2"/>
  <c r="E1468" i="2"/>
  <c r="E1385" i="2"/>
  <c r="E1386" i="2"/>
  <c r="E1282" i="2"/>
  <c r="E243" i="2"/>
  <c r="E1389" i="2"/>
  <c r="E1390" i="2"/>
  <c r="E1362" i="2"/>
  <c r="E1392" i="2"/>
  <c r="E1393" i="2"/>
  <c r="E1394" i="2"/>
  <c r="E289" i="2"/>
  <c r="E1396" i="2"/>
  <c r="E1397" i="2"/>
  <c r="E1398" i="2"/>
  <c r="E723" i="2"/>
  <c r="E1400" i="2"/>
  <c r="E1401" i="2"/>
  <c r="E1402" i="2"/>
  <c r="E1403" i="2"/>
  <c r="E993" i="2"/>
  <c r="E1405" i="2"/>
  <c r="E1037" i="2"/>
  <c r="E1407" i="2"/>
  <c r="E1539" i="2"/>
  <c r="E1409" i="2"/>
  <c r="E1410" i="2"/>
  <c r="E1411" i="2"/>
  <c r="E1412" i="2"/>
  <c r="E1158" i="2"/>
  <c r="E1414" i="2"/>
  <c r="E1415" i="2"/>
  <c r="E877" i="2"/>
  <c r="E1149" i="2"/>
  <c r="E1418" i="2"/>
  <c r="E1419" i="2"/>
  <c r="E1420" i="2"/>
  <c r="E1421" i="2"/>
  <c r="E74" i="2"/>
  <c r="E561" i="2"/>
  <c r="E1424" i="2"/>
  <c r="E256" i="2"/>
  <c r="E1426" i="2"/>
  <c r="E1427" i="2"/>
  <c r="E257" i="2"/>
  <c r="E1429" i="2"/>
  <c r="E1430" i="2"/>
  <c r="E1431" i="2"/>
  <c r="E1432" i="2"/>
  <c r="E1433" i="2"/>
  <c r="E1434" i="2"/>
  <c r="E1435" i="2"/>
  <c r="E1436" i="2"/>
  <c r="E1437" i="2"/>
  <c r="E1438" i="2"/>
  <c r="E1439" i="2"/>
  <c r="E1299" i="2"/>
  <c r="E629" i="2"/>
  <c r="E1442" i="2"/>
  <c r="E1443" i="2"/>
  <c r="E1406" i="2"/>
  <c r="E1445" i="2"/>
  <c r="E1446" i="2"/>
  <c r="E1447" i="2"/>
  <c r="E830" i="2"/>
  <c r="E1449" i="2"/>
  <c r="E1450" i="2"/>
  <c r="E1451" i="2"/>
  <c r="E134" i="2"/>
  <c r="E1453" i="2"/>
  <c r="E1454" i="2"/>
  <c r="E682" i="2"/>
  <c r="E1456" i="2"/>
  <c r="E1457" i="2"/>
  <c r="E1458" i="2"/>
  <c r="E1459" i="2"/>
  <c r="E1460" i="2"/>
  <c r="E747" i="2"/>
  <c r="E1462" i="2"/>
  <c r="E1463" i="2"/>
  <c r="E1464" i="2"/>
  <c r="E1408" i="2"/>
  <c r="E298" i="2"/>
  <c r="E1467" i="2"/>
  <c r="E809" i="2"/>
  <c r="E1469" i="2"/>
  <c r="E633" i="2"/>
  <c r="E1177" i="2"/>
  <c r="E1472" i="2"/>
  <c r="E1473" i="2"/>
  <c r="E1474" i="2"/>
  <c r="E1475" i="2"/>
  <c r="E1098" i="2"/>
  <c r="E925" i="2"/>
  <c r="E1478" i="2"/>
  <c r="E1479" i="2"/>
  <c r="E1480" i="2"/>
  <c r="E934" i="2"/>
  <c r="E1482" i="2"/>
  <c r="E1483" i="2"/>
  <c r="E1484" i="2"/>
  <c r="E1404" i="2"/>
  <c r="E1486" i="2"/>
  <c r="E965" i="2"/>
  <c r="E1488" i="2"/>
  <c r="E1489" i="2"/>
  <c r="E1490" i="2"/>
  <c r="E1174" i="2"/>
  <c r="E1471" i="2"/>
  <c r="E824" i="2"/>
  <c r="E1494" i="2"/>
  <c r="E1495" i="2"/>
  <c r="E1496" i="2"/>
  <c r="E825" i="2"/>
  <c r="E1498" i="2"/>
  <c r="E1499" i="2"/>
  <c r="E1500" i="2"/>
  <c r="E680" i="2"/>
  <c r="E789" i="2"/>
  <c r="E1503" i="2"/>
  <c r="E1504" i="2"/>
  <c r="E714" i="2"/>
  <c r="E1506" i="2"/>
  <c r="E1507" i="2"/>
  <c r="E1508" i="2"/>
  <c r="E1509" i="2"/>
  <c r="E1388" i="2"/>
  <c r="E1223" i="2"/>
  <c r="E1512" i="2"/>
  <c r="E1513" i="2"/>
  <c r="E853" i="2"/>
  <c r="E1515" i="2"/>
  <c r="E1516" i="2"/>
  <c r="E1517" i="2"/>
  <c r="E1518" i="2"/>
  <c r="E1519" i="2"/>
  <c r="E1520" i="2"/>
  <c r="E1521" i="2"/>
  <c r="E1522" i="2"/>
  <c r="E1162" i="2"/>
  <c r="E1524" i="2"/>
  <c r="E1525" i="2"/>
  <c r="E1141" i="2"/>
  <c r="E1527" i="2"/>
  <c r="E1528" i="2"/>
  <c r="E1529" i="2"/>
  <c r="E1530" i="2"/>
  <c r="E1531" i="2"/>
  <c r="E1532" i="2"/>
  <c r="E1595" i="2"/>
  <c r="E1534" i="2"/>
  <c r="E1535" i="2"/>
  <c r="E1218" i="2"/>
  <c r="E1537" i="2"/>
  <c r="E219" i="2"/>
  <c r="E1013" i="2"/>
  <c r="E1540" i="2"/>
  <c r="E1541" i="2"/>
  <c r="E1542" i="2"/>
  <c r="E1543" i="2"/>
  <c r="E1544" i="2"/>
  <c r="E1545" i="2"/>
  <c r="E1546" i="2"/>
  <c r="E1566" i="2"/>
  <c r="E1548" i="2"/>
  <c r="E1549" i="2"/>
  <c r="E1550" i="2"/>
  <c r="E1551" i="2"/>
  <c r="E1552" i="2"/>
  <c r="E1553" i="2"/>
  <c r="E1554" i="2"/>
  <c r="E381" i="2"/>
  <c r="E1556" i="2"/>
  <c r="E1134" i="2"/>
  <c r="E1558" i="2"/>
  <c r="E1570" i="2"/>
  <c r="E1560" i="2"/>
  <c r="E1561" i="2"/>
  <c r="E843" i="2"/>
  <c r="E1563" i="2"/>
  <c r="E362" i="2"/>
  <c r="E1565" i="2"/>
  <c r="E367" i="2"/>
  <c r="E1567" i="2"/>
  <c r="E1568" i="2"/>
  <c r="E154" i="2"/>
  <c r="E1598" i="2"/>
  <c r="E1152" i="2"/>
  <c r="E656" i="2"/>
  <c r="E142" i="2"/>
  <c r="E1574" i="2"/>
  <c r="E515" i="2"/>
  <c r="E1576" i="2"/>
  <c r="E1577" i="2"/>
  <c r="E711" i="2"/>
  <c r="E1579" i="2"/>
  <c r="E364" i="2"/>
  <c r="E1417" i="2"/>
  <c r="E270" i="2"/>
  <c r="E300" i="2"/>
  <c r="E1584" i="2"/>
  <c r="E1585" i="2"/>
  <c r="E1586" i="2"/>
  <c r="E1587" i="2"/>
  <c r="E202" i="2"/>
  <c r="E642" i="2"/>
  <c r="E1590" i="2"/>
  <c r="E1591" i="2"/>
  <c r="E1592" i="2"/>
  <c r="E826" i="2"/>
  <c r="E1594" i="2"/>
  <c r="E1071" i="2"/>
  <c r="E1596" i="2"/>
  <c r="E1597" i="2"/>
  <c r="E864" i="2"/>
  <c r="E1599" i="2"/>
  <c r="E1600" i="2"/>
  <c r="E1601" i="2"/>
  <c r="E1602" i="2"/>
  <c r="E1603" i="2"/>
  <c r="E301" i="2"/>
  <c r="E1605" i="2"/>
  <c r="E1606" i="2"/>
  <c r="E1607" i="2"/>
  <c r="E598" i="2"/>
  <c r="E1609" i="2"/>
  <c r="E1610" i="2"/>
  <c r="E1481" i="2"/>
  <c r="E1241" i="2"/>
  <c r="N2" i="2"/>
  <c r="N3" i="2"/>
  <c r="N4" i="2"/>
  <c r="N5" i="2"/>
  <c r="N6" i="2"/>
  <c r="N7" i="2"/>
  <c r="N8" i="2"/>
  <c r="N9" i="2"/>
  <c r="N10" i="2"/>
  <c r="N11" i="2"/>
  <c r="N12" i="2"/>
  <c r="N13" i="2"/>
  <c r="N421" i="2"/>
  <c r="N1079" i="2"/>
  <c r="N16" i="2"/>
  <c r="N17" i="2"/>
  <c r="N432" i="2"/>
  <c r="N19" i="2"/>
  <c r="N20" i="2"/>
  <c r="N704" i="2"/>
  <c r="N22" i="2"/>
  <c r="N23" i="2"/>
  <c r="N24" i="2"/>
  <c r="N25" i="2"/>
  <c r="N26" i="2"/>
  <c r="N27" i="2"/>
  <c r="N28" i="2"/>
  <c r="N29" i="2"/>
  <c r="N30" i="2"/>
  <c r="N31" i="2"/>
  <c r="N32" i="2"/>
  <c r="N33" i="2"/>
  <c r="N179" i="2"/>
  <c r="N35" i="2"/>
  <c r="N369" i="2"/>
  <c r="N37" i="2"/>
  <c r="N38" i="2"/>
  <c r="N39" i="2"/>
  <c r="N36" i="2"/>
  <c r="N41" i="2"/>
  <c r="N713" i="2"/>
  <c r="N43" i="2"/>
  <c r="N44" i="2"/>
  <c r="N45" i="2"/>
  <c r="N46" i="2"/>
  <c r="N47" i="2"/>
  <c r="N48" i="2"/>
  <c r="N49" i="2"/>
  <c r="N50" i="2"/>
  <c r="N51" i="2"/>
  <c r="N1093" i="2"/>
  <c r="N53" i="2"/>
  <c r="N54" i="2"/>
  <c r="N55" i="2"/>
  <c r="N56" i="2"/>
  <c r="N1031" i="2"/>
  <c r="N191" i="2"/>
  <c r="N452" i="2"/>
  <c r="N1062" i="2"/>
  <c r="N61" i="2"/>
  <c r="N1465" i="2"/>
  <c r="N63" i="2"/>
  <c r="N64" i="2"/>
  <c r="N65" i="2"/>
  <c r="N66" i="2"/>
  <c r="N67" i="2"/>
  <c r="N68" i="2"/>
  <c r="N69" i="2"/>
  <c r="N1118" i="2"/>
  <c r="N71" i="2"/>
  <c r="N72" i="2"/>
  <c r="N73" i="2"/>
  <c r="N86" i="2"/>
  <c r="N1571" i="2"/>
  <c r="N76" i="2"/>
  <c r="N77" i="2"/>
  <c r="N767" i="2"/>
  <c r="N79" i="2"/>
  <c r="N80" i="2"/>
  <c r="N81" i="2"/>
  <c r="N1034" i="2"/>
  <c r="N83" i="2"/>
  <c r="N320" i="2"/>
  <c r="N85" i="2"/>
  <c r="N201" i="2"/>
  <c r="N626" i="2"/>
  <c r="N88" i="2"/>
  <c r="N89" i="2"/>
  <c r="N90" i="2"/>
  <c r="N249" i="2"/>
  <c r="N92" i="2"/>
  <c r="N93" i="2"/>
  <c r="N1178" i="2"/>
  <c r="N119" i="2"/>
  <c r="N96" i="2"/>
  <c r="N97" i="2"/>
  <c r="N98" i="2"/>
  <c r="N947" i="2"/>
  <c r="N100" i="2"/>
  <c r="N101" i="2"/>
  <c r="N102" i="2"/>
  <c r="N103" i="2"/>
  <c r="N104" i="2"/>
  <c r="N105" i="2"/>
  <c r="N106" i="2"/>
  <c r="N107" i="2"/>
  <c r="N1572" i="2"/>
  <c r="N109" i="2"/>
  <c r="N110" i="2"/>
  <c r="N111" i="2"/>
  <c r="N112" i="2"/>
  <c r="N113" i="2"/>
  <c r="N114" i="2"/>
  <c r="N1413" i="2"/>
  <c r="N116" i="2"/>
  <c r="N117" i="2"/>
  <c r="N118" i="2"/>
  <c r="N1491" i="2"/>
  <c r="N1314" i="2"/>
  <c r="N121" i="2"/>
  <c r="N122" i="2"/>
  <c r="N1199" i="2"/>
  <c r="N124" i="2"/>
  <c r="N125" i="2"/>
  <c r="N126" i="2"/>
  <c r="N127" i="2"/>
  <c r="N75" i="2"/>
  <c r="N129" i="2"/>
  <c r="N1040" i="2"/>
  <c r="N131" i="2"/>
  <c r="N132" i="2"/>
  <c r="N133" i="2"/>
  <c r="N441" i="2"/>
  <c r="N135" i="2"/>
  <c r="N136" i="2"/>
  <c r="N137" i="2"/>
  <c r="N138" i="2"/>
  <c r="N139" i="2"/>
  <c r="N1188" i="2"/>
  <c r="N141" i="2"/>
  <c r="N363" i="2"/>
  <c r="N143" i="2"/>
  <c r="N995" i="2"/>
  <c r="N145" i="2"/>
  <c r="N146" i="2"/>
  <c r="N147" i="2"/>
  <c r="N148" i="2"/>
  <c r="N149" i="2"/>
  <c r="N150" i="2"/>
  <c r="N1082" i="2"/>
  <c r="N152" i="2"/>
  <c r="N153" i="2"/>
  <c r="N120" i="2"/>
  <c r="N155" i="2"/>
  <c r="N156" i="2"/>
  <c r="N157" i="2"/>
  <c r="N158" i="2"/>
  <c r="N159" i="2"/>
  <c r="N160" i="2"/>
  <c r="N161" i="2"/>
  <c r="N663" i="2"/>
  <c r="N163" i="2"/>
  <c r="N164" i="2"/>
  <c r="N165" i="2"/>
  <c r="N166" i="2"/>
  <c r="N167" i="2"/>
  <c r="N99" i="2"/>
  <c r="N169" i="2"/>
  <c r="N170" i="2"/>
  <c r="N171" i="2"/>
  <c r="N1608" i="2"/>
  <c r="N173" i="2"/>
  <c r="N174" i="2"/>
  <c r="N175" i="2"/>
  <c r="N176" i="2"/>
  <c r="N177" i="2"/>
  <c r="N178" i="2"/>
  <c r="N1476" i="2"/>
  <c r="N180" i="2"/>
  <c r="N181" i="2"/>
  <c r="N423" i="2"/>
  <c r="N183" i="2"/>
  <c r="N184" i="2"/>
  <c r="N817" i="2"/>
  <c r="N186" i="2"/>
  <c r="N666" i="2"/>
  <c r="N188" i="2"/>
  <c r="N189" i="2"/>
  <c r="N190" i="2"/>
  <c r="N14" i="2"/>
  <c r="N192" i="2"/>
  <c r="N193" i="2"/>
  <c r="N194" i="2"/>
  <c r="N540" i="2"/>
  <c r="N196" i="2"/>
  <c r="N197" i="2"/>
  <c r="N1349" i="2"/>
  <c r="N1240" i="2"/>
  <c r="N200" i="2"/>
  <c r="N385" i="2"/>
  <c r="N996" i="2"/>
  <c r="N203" i="2"/>
  <c r="N204" i="2"/>
  <c r="N205" i="2"/>
  <c r="N206" i="2"/>
  <c r="N207" i="2"/>
  <c r="N1562" i="2"/>
  <c r="N209" i="2"/>
  <c r="N210" i="2"/>
  <c r="N211" i="2"/>
  <c r="N94" i="2"/>
  <c r="N213" i="2"/>
  <c r="N214" i="2"/>
  <c r="N215" i="2"/>
  <c r="N216" i="2"/>
  <c r="N217" i="2"/>
  <c r="N987" i="2"/>
  <c r="N325" i="2"/>
  <c r="N220" i="2"/>
  <c r="N221" i="2"/>
  <c r="N222" i="2"/>
  <c r="N476" i="2"/>
  <c r="N224" i="2"/>
  <c r="N225" i="2"/>
  <c r="N226" i="2"/>
  <c r="N726" i="2"/>
  <c r="N1066" i="2"/>
  <c r="N162" i="2"/>
  <c r="N230" i="2"/>
  <c r="N1510" i="2"/>
  <c r="N232" i="2"/>
  <c r="N832" i="2"/>
  <c r="N1514" i="2"/>
  <c r="N235" i="2"/>
  <c r="N236" i="2"/>
  <c r="N237" i="2"/>
  <c r="N238" i="2"/>
  <c r="N239" i="2"/>
  <c r="N240" i="2"/>
  <c r="N790" i="2"/>
  <c r="N242" i="2"/>
  <c r="N1101" i="2"/>
  <c r="N244" i="2"/>
  <c r="N245" i="2"/>
  <c r="N246" i="2"/>
  <c r="N247" i="2"/>
  <c r="N248" i="2"/>
  <c r="N87" i="2"/>
  <c r="N998" i="2"/>
  <c r="N251" i="2"/>
  <c r="N252" i="2"/>
  <c r="N253" i="2"/>
  <c r="N254" i="2"/>
  <c r="N333" i="2"/>
  <c r="N1573" i="2"/>
  <c r="N477" i="2"/>
  <c r="N258" i="2"/>
  <c r="N259" i="2"/>
  <c r="N260" i="2"/>
  <c r="N261" i="2"/>
  <c r="N262" i="2"/>
  <c r="N263" i="2"/>
  <c r="N264" i="2"/>
  <c r="N265" i="2"/>
  <c r="N484" i="2"/>
  <c r="N580" i="2"/>
  <c r="N268" i="2"/>
  <c r="N269" i="2"/>
  <c r="N559" i="2"/>
  <c r="N231" i="2"/>
  <c r="N272" i="2"/>
  <c r="N273" i="2"/>
  <c r="N274" i="2"/>
  <c r="N275" i="2"/>
  <c r="N276" i="2"/>
  <c r="N277" i="2"/>
  <c r="N278" i="2"/>
  <c r="N279" i="2"/>
  <c r="N280" i="2"/>
  <c r="N949" i="2"/>
  <c r="N748" i="2"/>
  <c r="N283" i="2"/>
  <c r="N284" i="2"/>
  <c r="N1331" i="2"/>
  <c r="N286" i="2"/>
  <c r="N287" i="2"/>
  <c r="N303" i="2"/>
  <c r="N18" i="2"/>
  <c r="N290" i="2"/>
  <c r="N291" i="2"/>
  <c r="N292" i="2"/>
  <c r="N293" i="2"/>
  <c r="N501" i="2"/>
  <c r="N295" i="2"/>
  <c r="N296" i="2"/>
  <c r="N212" i="2"/>
  <c r="N1441" i="2"/>
  <c r="N299" i="2"/>
  <c r="N267" i="2"/>
  <c r="N1416" i="2"/>
  <c r="N302" i="2"/>
  <c r="N271" i="2"/>
  <c r="N304" i="2"/>
  <c r="N305" i="2"/>
  <c r="N306" i="2"/>
  <c r="N307" i="2"/>
  <c r="N308" i="2"/>
  <c r="N1055" i="2"/>
  <c r="N1343" i="2"/>
  <c r="N311" i="2"/>
  <c r="N865" i="2"/>
  <c r="N313" i="2"/>
  <c r="N314" i="2"/>
  <c r="N315" i="2"/>
  <c r="N316" i="2"/>
  <c r="N317" i="2"/>
  <c r="N318" i="2"/>
  <c r="N319" i="2"/>
  <c r="N322" i="2"/>
  <c r="N321" i="2"/>
  <c r="N414" i="2"/>
  <c r="N323" i="2"/>
  <c r="N324" i="2"/>
  <c r="N1485" i="2"/>
  <c r="N326" i="2"/>
  <c r="N327" i="2"/>
  <c r="N775" i="2"/>
  <c r="N329" i="2"/>
  <c r="N330" i="2"/>
  <c r="N331" i="2"/>
  <c r="N332" i="2"/>
  <c r="N1334" i="2"/>
  <c r="N404" i="2"/>
  <c r="N335" i="2"/>
  <c r="N336" i="2"/>
  <c r="N337" i="2"/>
  <c r="N1422" i="2"/>
  <c r="N339" i="2"/>
  <c r="N340" i="2"/>
  <c r="N940" i="2"/>
  <c r="N342" i="2"/>
  <c r="N343" i="2"/>
  <c r="N344" i="2"/>
  <c r="N628" i="2"/>
  <c r="N955" i="2"/>
  <c r="N347" i="2"/>
  <c r="N348" i="2"/>
  <c r="N349" i="2"/>
  <c r="N350" i="2"/>
  <c r="N351" i="2"/>
  <c r="N309" i="2"/>
  <c r="N353" i="2"/>
  <c r="N354" i="2"/>
  <c r="N355" i="2"/>
  <c r="N1088" i="2"/>
  <c r="N357" i="2"/>
  <c r="N709" i="2"/>
  <c r="N359" i="2"/>
  <c r="N360" i="2"/>
  <c r="N361" i="2"/>
  <c r="N489" i="2"/>
  <c r="N1120" i="2"/>
  <c r="N1588" i="2"/>
  <c r="N1110" i="2"/>
  <c r="N1391" i="2"/>
  <c r="N667" i="2"/>
  <c r="N368" i="2"/>
  <c r="N233" i="2"/>
  <c r="N370" i="2"/>
  <c r="N371" i="2"/>
  <c r="N372" i="2"/>
  <c r="N1370" i="2"/>
  <c r="N374" i="2"/>
  <c r="N894" i="2"/>
  <c r="N590" i="2"/>
  <c r="N1575" i="2"/>
  <c r="N1376" i="2"/>
  <c r="N379" i="2"/>
  <c r="N380" i="2"/>
  <c r="N562" i="2"/>
  <c r="N382" i="2"/>
  <c r="N407" i="2"/>
  <c r="N1204" i="2"/>
  <c r="N40" i="2"/>
  <c r="N1023" i="2"/>
  <c r="N387" i="2"/>
  <c r="N388" i="2"/>
  <c r="N389" i="2"/>
  <c r="N390" i="2"/>
  <c r="N391" i="2"/>
  <c r="N791" i="2"/>
  <c r="N60" i="2"/>
  <c r="N846" i="2"/>
  <c r="N395" i="2"/>
  <c r="N396" i="2"/>
  <c r="N397" i="2"/>
  <c r="N398" i="2"/>
  <c r="N399" i="2"/>
  <c r="N1470" i="2"/>
  <c r="N401" i="2"/>
  <c r="N402" i="2"/>
  <c r="N403" i="2"/>
  <c r="N1327" i="2"/>
  <c r="N405" i="2"/>
  <c r="N406" i="2"/>
  <c r="N474" i="2"/>
  <c r="N408" i="2"/>
  <c r="N409" i="2"/>
  <c r="N410" i="2"/>
  <c r="N411" i="2"/>
  <c r="N1352" i="2"/>
  <c r="N78" i="2"/>
  <c r="N1193" i="2"/>
  <c r="N415" i="2"/>
  <c r="N416" i="2"/>
  <c r="N710" i="2"/>
  <c r="N418" i="2"/>
  <c r="N419" i="2"/>
  <c r="N420" i="2"/>
  <c r="N227" i="2"/>
  <c r="N422" i="2"/>
  <c r="N1035" i="2"/>
  <c r="N424" i="2"/>
  <c r="N425" i="2"/>
  <c r="N426" i="2"/>
  <c r="N1092" i="2"/>
  <c r="N428" i="2"/>
  <c r="N429" i="2"/>
  <c r="N91" i="2"/>
  <c r="N431" i="2"/>
  <c r="N1505" i="2"/>
  <c r="N433" i="2"/>
  <c r="N434" i="2"/>
  <c r="N435" i="2"/>
  <c r="N436" i="2"/>
  <c r="N437" i="2"/>
  <c r="N438" i="2"/>
  <c r="N439" i="2"/>
  <c r="N440" i="2"/>
  <c r="N564" i="2"/>
  <c r="N442" i="2"/>
  <c r="N443" i="2"/>
  <c r="N444" i="2"/>
  <c r="N445" i="2"/>
  <c r="N446" i="2"/>
  <c r="N447" i="2"/>
  <c r="N454" i="2"/>
  <c r="N449" i="2"/>
  <c r="N450" i="2"/>
  <c r="N451" i="2"/>
  <c r="N1611" i="2"/>
  <c r="N453" i="2"/>
  <c r="N383" i="2"/>
  <c r="N455" i="2"/>
  <c r="N897" i="2"/>
  <c r="N457" i="2"/>
  <c r="N1094" i="2"/>
  <c r="N341" i="2"/>
  <c r="N460" i="2"/>
  <c r="N461" i="2"/>
  <c r="N462" i="2"/>
  <c r="N463" i="2"/>
  <c r="N108" i="2"/>
  <c r="N467" i="2"/>
  <c r="N466" i="2"/>
  <c r="N1497" i="2"/>
  <c r="N1547" i="2"/>
  <c r="N469" i="2"/>
  <c r="N470" i="2"/>
  <c r="N328" i="2"/>
  <c r="N472" i="2"/>
  <c r="N144" i="2"/>
  <c r="N373" i="2"/>
  <c r="N475" i="2"/>
  <c r="N1287" i="2"/>
  <c r="N128" i="2"/>
  <c r="N478" i="2"/>
  <c r="N479" i="2"/>
  <c r="N480" i="2"/>
  <c r="N481" i="2"/>
  <c r="N482" i="2"/>
  <c r="N483" i="2"/>
  <c r="N1323" i="2"/>
  <c r="N485" i="2"/>
  <c r="N486" i="2"/>
  <c r="N487" i="2"/>
  <c r="N488" i="2"/>
  <c r="N608" i="2"/>
  <c r="N733" i="2"/>
  <c r="N491" i="2"/>
  <c r="N592" i="2"/>
  <c r="N511" i="2"/>
  <c r="N1423" i="2"/>
  <c r="N495" i="2"/>
  <c r="N496" i="2"/>
  <c r="N497" i="2"/>
  <c r="N792" i="2"/>
  <c r="N499" i="2"/>
  <c r="N500" i="2"/>
  <c r="N1511" i="2"/>
  <c r="N502" i="2"/>
  <c r="N503" i="2"/>
  <c r="N504" i="2"/>
  <c r="N505" i="2"/>
  <c r="N668" i="2"/>
  <c r="N507" i="2"/>
  <c r="N508" i="2"/>
  <c r="N509" i="2"/>
  <c r="N510" i="2"/>
  <c r="N1000" i="2"/>
  <c r="N512" i="2"/>
  <c r="N513" i="2"/>
  <c r="N514" i="2"/>
  <c r="N168" i="2"/>
  <c r="N516" i="2"/>
  <c r="N517" i="2"/>
  <c r="N518" i="2"/>
  <c r="N519" i="2"/>
  <c r="N520" i="2"/>
  <c r="N1213" i="2"/>
  <c r="N522" i="2"/>
  <c r="N523" i="2"/>
  <c r="N524" i="2"/>
  <c r="N345" i="2"/>
  <c r="N526" i="2"/>
  <c r="N527" i="2"/>
  <c r="N859" i="2"/>
  <c r="N529" i="2"/>
  <c r="N530" i="2"/>
  <c r="N531" i="2"/>
  <c r="N532" i="2"/>
  <c r="N533" i="2"/>
  <c r="N676" i="2"/>
  <c r="N535" i="2"/>
  <c r="N536" i="2"/>
  <c r="N537" i="2"/>
  <c r="N538" i="2"/>
  <c r="N539" i="2"/>
  <c r="N195" i="2"/>
  <c r="N218" i="2"/>
  <c r="N542" i="2"/>
  <c r="N543" i="2"/>
  <c r="N544" i="2"/>
  <c r="N545" i="2"/>
  <c r="N546" i="2"/>
  <c r="N547" i="2"/>
  <c r="N548" i="2"/>
  <c r="N549" i="2"/>
  <c r="N550" i="2"/>
  <c r="N551" i="2"/>
  <c r="N552" i="2"/>
  <c r="N553" i="2"/>
  <c r="N250" i="2"/>
  <c r="N417" i="2"/>
  <c r="N556" i="2"/>
  <c r="N1024" i="2"/>
  <c r="N558" i="2"/>
  <c r="N813" i="2"/>
  <c r="N1045" i="2"/>
  <c r="N795" i="2"/>
  <c r="N1181" i="2"/>
  <c r="N563" i="2"/>
  <c r="N1242" i="2"/>
  <c r="N565" i="2"/>
  <c r="N566" i="2"/>
  <c r="N567" i="2"/>
  <c r="N568" i="2"/>
  <c r="N569" i="2"/>
  <c r="N570" i="2"/>
  <c r="N1144" i="2"/>
  <c r="N572" i="2"/>
  <c r="N573" i="2"/>
  <c r="N574" i="2"/>
  <c r="N541" i="2"/>
  <c r="N1316" i="2"/>
  <c r="N577" i="2"/>
  <c r="N578" i="2"/>
  <c r="N579" i="2"/>
  <c r="N851" i="2"/>
  <c r="N581" i="2"/>
  <c r="N582" i="2"/>
  <c r="N583" i="2"/>
  <c r="N584" i="2"/>
  <c r="N585" i="2"/>
  <c r="N586" i="2"/>
  <c r="N587" i="2"/>
  <c r="N588" i="2"/>
  <c r="N589" i="2"/>
  <c r="N1136" i="2"/>
  <c r="N591" i="2"/>
  <c r="N521" i="2"/>
  <c r="N593" i="2"/>
  <c r="N594" i="2"/>
  <c r="N595" i="2"/>
  <c r="N596" i="2"/>
  <c r="N597" i="2"/>
  <c r="N975" i="2"/>
  <c r="N599" i="2"/>
  <c r="N821" i="2"/>
  <c r="N601" i="2"/>
  <c r="N602" i="2"/>
  <c r="N603" i="2"/>
  <c r="N1501" i="2"/>
  <c r="N605" i="2"/>
  <c r="N606" i="2"/>
  <c r="N613" i="2"/>
  <c r="N140" i="2"/>
  <c r="N609" i="2"/>
  <c r="N610" i="2"/>
  <c r="N611" i="2"/>
  <c r="N612" i="2"/>
  <c r="N1604" i="2"/>
  <c r="N490" i="2"/>
  <c r="N615" i="2"/>
  <c r="N616" i="2"/>
  <c r="N617" i="2"/>
  <c r="N618" i="2"/>
  <c r="N619" i="2"/>
  <c r="N620" i="2"/>
  <c r="N777" i="2"/>
  <c r="N622" i="2"/>
  <c r="N913" i="2"/>
  <c r="N624" i="2"/>
  <c r="N625" i="2"/>
  <c r="N1208" i="2"/>
  <c r="N627" i="2"/>
  <c r="N614" i="2"/>
  <c r="N1555" i="2"/>
  <c r="N1581" i="2"/>
  <c r="N631" i="2"/>
  <c r="N632" i="2"/>
  <c r="N346" i="2"/>
  <c r="N634" i="2"/>
  <c r="N635" i="2"/>
  <c r="N1452" i="2"/>
  <c r="N637" i="2"/>
  <c r="N638" i="2"/>
  <c r="N639" i="2"/>
  <c r="N640" i="2"/>
  <c r="N1358" i="2"/>
  <c r="N1112" i="2"/>
  <c r="N643" i="2"/>
  <c r="N1368" i="2"/>
  <c r="N645" i="2"/>
  <c r="N646" i="2"/>
  <c r="N647" i="2"/>
  <c r="N648" i="2"/>
  <c r="N1061" i="2"/>
  <c r="N968" i="2"/>
  <c r="N651" i="2"/>
  <c r="N878" i="2"/>
  <c r="N182" i="2"/>
  <c r="N494" i="2"/>
  <c r="N1027" i="2"/>
  <c r="N799" i="2"/>
  <c r="N657" i="2"/>
  <c r="N658" i="2"/>
  <c r="N659" i="2"/>
  <c r="N660" i="2"/>
  <c r="N661" i="2"/>
  <c r="N662" i="2"/>
  <c r="N827" i="2"/>
  <c r="N664" i="2"/>
  <c r="N665" i="2"/>
  <c r="N1395" i="2"/>
  <c r="N294" i="2"/>
  <c r="N172" i="2"/>
  <c r="N669" i="2"/>
  <c r="N670" i="2"/>
  <c r="N671" i="2"/>
  <c r="N672" i="2"/>
  <c r="N673" i="2"/>
  <c r="N674" i="2"/>
  <c r="N675" i="2"/>
  <c r="N681" i="2"/>
  <c r="N677" i="2"/>
  <c r="N678" i="2"/>
  <c r="N679" i="2"/>
  <c r="N916" i="2"/>
  <c r="N1425" i="2"/>
  <c r="N644" i="2"/>
  <c r="N683" i="2"/>
  <c r="N684" i="2"/>
  <c r="N896" i="2"/>
  <c r="N1077" i="2"/>
  <c r="N687" i="2"/>
  <c r="N688" i="2"/>
  <c r="N689" i="2"/>
  <c r="N1167" i="2"/>
  <c r="N691" i="2"/>
  <c r="N692" i="2"/>
  <c r="N693" i="2"/>
  <c r="N1492" i="2"/>
  <c r="N695" i="2"/>
  <c r="N696" i="2"/>
  <c r="N1006" i="2"/>
  <c r="N698" i="2"/>
  <c r="N699" i="2"/>
  <c r="N506" i="2"/>
  <c r="N701" i="2"/>
  <c r="N702" i="2"/>
  <c r="N703" i="2"/>
  <c r="N977" i="2"/>
  <c r="N705" i="2"/>
  <c r="N706" i="2"/>
  <c r="N468" i="2"/>
  <c r="N708" i="2"/>
  <c r="N412" i="2"/>
  <c r="N62" i="2"/>
  <c r="N929" i="2"/>
  <c r="N712" i="2"/>
  <c r="N1428" i="2"/>
  <c r="N1276" i="2"/>
  <c r="N498" i="2"/>
  <c r="N716" i="2"/>
  <c r="N1202" i="2"/>
  <c r="N1347" i="2"/>
  <c r="N1070" i="2"/>
  <c r="N720" i="2"/>
  <c r="N721" i="2"/>
  <c r="N722" i="2"/>
  <c r="N1036" i="2"/>
  <c r="N1184" i="2"/>
  <c r="N725" i="2"/>
  <c r="N228" i="2"/>
  <c r="N727" i="2"/>
  <c r="N728" i="2"/>
  <c r="N829" i="2"/>
  <c r="N730" i="2"/>
  <c r="N731" i="2"/>
  <c r="N732" i="2"/>
  <c r="N375" i="2"/>
  <c r="N734" i="2"/>
  <c r="N735" i="2"/>
  <c r="N736" i="2"/>
  <c r="N737" i="2"/>
  <c r="N297" i="2"/>
  <c r="N739" i="2"/>
  <c r="N740" i="2"/>
  <c r="N352" i="2"/>
  <c r="N742" i="2"/>
  <c r="N743" i="2"/>
  <c r="N744" i="2"/>
  <c r="N745" i="2"/>
  <c r="N746" i="2"/>
  <c r="N376" i="2"/>
  <c r="N600" i="2"/>
  <c r="N749" i="2"/>
  <c r="N750" i="2"/>
  <c r="N751" i="2"/>
  <c r="N752" i="2"/>
  <c r="N753" i="2"/>
  <c r="N365" i="2"/>
  <c r="N1448" i="2"/>
  <c r="N756" i="2"/>
  <c r="N757" i="2"/>
  <c r="N123" i="2"/>
  <c r="N759" i="2"/>
  <c r="N1375" i="2"/>
  <c r="N761" i="2"/>
  <c r="N762" i="2"/>
  <c r="N763" i="2"/>
  <c r="N764" i="2"/>
  <c r="N765" i="2"/>
  <c r="N281" i="2"/>
  <c r="N198" i="2"/>
  <c r="N768" i="2"/>
  <c r="N769" i="2"/>
  <c r="N770" i="2"/>
  <c r="N771" i="2"/>
  <c r="N772" i="2"/>
  <c r="N773" i="2"/>
  <c r="N774" i="2"/>
  <c r="N836" i="2"/>
  <c r="N776" i="2"/>
  <c r="N1221" i="2"/>
  <c r="N778" i="2"/>
  <c r="N1210" i="2"/>
  <c r="N780" i="2"/>
  <c r="N781" i="2"/>
  <c r="N1559" i="2"/>
  <c r="N783" i="2"/>
  <c r="N784" i="2"/>
  <c r="N785" i="2"/>
  <c r="N786" i="2"/>
  <c r="N1580" i="2"/>
  <c r="N788" i="2"/>
  <c r="N1288" i="2"/>
  <c r="N285" i="2"/>
  <c r="N926" i="2"/>
  <c r="N15" i="2"/>
  <c r="N793" i="2"/>
  <c r="N794" i="2"/>
  <c r="N21" i="2"/>
  <c r="N796" i="2"/>
  <c r="N797" i="2"/>
  <c r="N798" i="2"/>
  <c r="N1538" i="2"/>
  <c r="N70" i="2"/>
  <c r="N1455" i="2"/>
  <c r="N653" i="2"/>
  <c r="N803" i="2"/>
  <c r="N804" i="2"/>
  <c r="N805" i="2"/>
  <c r="N806" i="2"/>
  <c r="N807" i="2"/>
  <c r="N808" i="2"/>
  <c r="N1235" i="2"/>
  <c r="N810" i="2"/>
  <c r="N811" i="2"/>
  <c r="N812" i="2"/>
  <c r="N1332" i="2"/>
  <c r="N729" i="2"/>
  <c r="N815" i="2"/>
  <c r="N1399" i="2"/>
  <c r="N854" i="2"/>
  <c r="N818" i="2"/>
  <c r="N819" i="2"/>
  <c r="N820" i="2"/>
  <c r="N456" i="2"/>
  <c r="N822" i="2"/>
  <c r="N1593" i="2"/>
  <c r="N575" i="2"/>
  <c r="N630" i="2"/>
  <c r="N738" i="2"/>
  <c r="N1578" i="2"/>
  <c r="N828" i="2"/>
  <c r="N1239" i="2"/>
  <c r="N1256" i="2"/>
  <c r="N831" i="2"/>
  <c r="N1267" i="2"/>
  <c r="N833" i="2"/>
  <c r="N834" i="2"/>
  <c r="N835" i="2"/>
  <c r="N528" i="2"/>
  <c r="N1387" i="2"/>
  <c r="N838" i="2"/>
  <c r="N839" i="2"/>
  <c r="N840" i="2"/>
  <c r="N841" i="2"/>
  <c r="N1126" i="2"/>
  <c r="N1159" i="2"/>
  <c r="N844" i="2"/>
  <c r="N1502" i="2"/>
  <c r="N386" i="2"/>
  <c r="N847" i="2"/>
  <c r="N848" i="2"/>
  <c r="N849" i="2"/>
  <c r="N850" i="2"/>
  <c r="N685" i="2"/>
  <c r="N852" i="2"/>
  <c r="N199" i="2"/>
  <c r="N707" i="2"/>
  <c r="N855" i="2"/>
  <c r="N856" i="2"/>
  <c r="N857" i="2"/>
  <c r="N858" i="2"/>
  <c r="N1289" i="2"/>
  <c r="N860" i="2"/>
  <c r="N754" i="2"/>
  <c r="N862" i="2"/>
  <c r="N34" i="2"/>
  <c r="N800" i="2"/>
  <c r="N649" i="2"/>
  <c r="N866" i="2"/>
  <c r="N867" i="2"/>
  <c r="N868" i="2"/>
  <c r="N95" i="2"/>
  <c r="N576" i="2"/>
  <c r="N871" i="2"/>
  <c r="N872" i="2"/>
  <c r="N873" i="2"/>
  <c r="N874" i="2"/>
  <c r="N875" i="2"/>
  <c r="N876" i="2"/>
  <c r="N1268" i="2"/>
  <c r="N1302" i="2"/>
  <c r="N879" i="2"/>
  <c r="N779" i="2"/>
  <c r="N881" i="2"/>
  <c r="N882" i="2"/>
  <c r="N883" i="2"/>
  <c r="N755" i="2"/>
  <c r="N885" i="2"/>
  <c r="N886" i="2"/>
  <c r="N887" i="2"/>
  <c r="N888" i="2"/>
  <c r="N889" i="2"/>
  <c r="N880" i="2"/>
  <c r="N891" i="2"/>
  <c r="N892" i="2"/>
  <c r="N893" i="2"/>
  <c r="N814" i="2"/>
  <c r="N895" i="2"/>
  <c r="N1380" i="2"/>
  <c r="N471" i="2"/>
  <c r="N978" i="2"/>
  <c r="N899" i="2"/>
  <c r="N900" i="2"/>
  <c r="N901" i="2"/>
  <c r="N902" i="2"/>
  <c r="N903" i="2"/>
  <c r="N904" i="2"/>
  <c r="N905" i="2"/>
  <c r="N906" i="2"/>
  <c r="N907" i="2"/>
  <c r="N458" i="2"/>
  <c r="N909" i="2"/>
  <c r="N910" i="2"/>
  <c r="N911" i="2"/>
  <c r="N1612" i="2"/>
  <c r="N1363" i="2"/>
  <c r="N914" i="2"/>
  <c r="N915" i="2"/>
  <c r="N908" i="2"/>
  <c r="N917" i="2"/>
  <c r="N918" i="2"/>
  <c r="N919" i="2"/>
  <c r="N920" i="2"/>
  <c r="N921" i="2"/>
  <c r="N922" i="2"/>
  <c r="N923" i="2"/>
  <c r="N924" i="2"/>
  <c r="N621" i="2"/>
  <c r="N636" i="2"/>
  <c r="N927" i="2"/>
  <c r="N928" i="2"/>
  <c r="N1205" i="2"/>
  <c r="N930" i="2"/>
  <c r="N282" i="2"/>
  <c r="N932" i="2"/>
  <c r="N933" i="2"/>
  <c r="N816" i="2"/>
  <c r="N935" i="2"/>
  <c r="N936" i="2"/>
  <c r="N937" i="2"/>
  <c r="N938" i="2"/>
  <c r="N939" i="2"/>
  <c r="N758" i="2"/>
  <c r="N941" i="2"/>
  <c r="N1583" i="2"/>
  <c r="N943" i="2"/>
  <c r="N427" i="2"/>
  <c r="N945" i="2"/>
  <c r="N946" i="2"/>
  <c r="N1139" i="2"/>
  <c r="N948" i="2"/>
  <c r="N571" i="2"/>
  <c r="N950" i="2"/>
  <c r="N951" i="2"/>
  <c r="N952" i="2"/>
  <c r="N1523" i="2"/>
  <c r="N954" i="2"/>
  <c r="N869" i="2"/>
  <c r="N956" i="2"/>
  <c r="N1303" i="2"/>
  <c r="N715" i="2"/>
  <c r="N959" i="2"/>
  <c r="N960" i="2"/>
  <c r="N782" i="2"/>
  <c r="N962" i="2"/>
  <c r="N963" i="2"/>
  <c r="N964" i="2"/>
  <c r="N1487" i="2"/>
  <c r="N966" i="2"/>
  <c r="N967" i="2"/>
  <c r="N654" i="2"/>
  <c r="N969" i="2"/>
  <c r="N970" i="2"/>
  <c r="N971" i="2"/>
  <c r="N1176" i="2"/>
  <c r="N58" i="2"/>
  <c r="N974" i="2"/>
  <c r="N42" i="2"/>
  <c r="N976" i="2"/>
  <c r="N694" i="2"/>
  <c r="N1140" i="2"/>
  <c r="N979" i="2"/>
  <c r="N980" i="2"/>
  <c r="N981" i="2"/>
  <c r="N982" i="2"/>
  <c r="N983" i="2"/>
  <c r="N984" i="2"/>
  <c r="N310" i="2"/>
  <c r="N986" i="2"/>
  <c r="N52" i="2"/>
  <c r="N988" i="2"/>
  <c r="N1028" i="2"/>
  <c r="N990" i="2"/>
  <c r="N991" i="2"/>
  <c r="N992" i="2"/>
  <c r="N151" i="2"/>
  <c r="N994" i="2"/>
  <c r="N884" i="2"/>
  <c r="N377" i="2"/>
  <c r="N997" i="2"/>
  <c r="N724" i="2"/>
  <c r="N999" i="2"/>
  <c r="N741" i="2"/>
  <c r="N1001" i="2"/>
  <c r="N1002" i="2"/>
  <c r="N1003" i="2"/>
  <c r="N1004" i="2"/>
  <c r="N1005" i="2"/>
  <c r="N234" i="2"/>
  <c r="N1007" i="2"/>
  <c r="N1008" i="2"/>
  <c r="N1009" i="2"/>
  <c r="N1010" i="2"/>
  <c r="N1011" i="2"/>
  <c r="N1012" i="2"/>
  <c r="N266" i="2"/>
  <c r="N1014" i="2"/>
  <c r="N1015" i="2"/>
  <c r="N288" i="2"/>
  <c r="N1017" i="2"/>
  <c r="N1018" i="2"/>
  <c r="N1019" i="2"/>
  <c r="N1569" i="2"/>
  <c r="N1021" i="2"/>
  <c r="N1022" i="2"/>
  <c r="N312" i="2"/>
  <c r="N1182" i="2"/>
  <c r="N1025" i="2"/>
  <c r="N1026" i="2"/>
  <c r="N837" i="2"/>
  <c r="N861" i="2"/>
  <c r="N1029" i="2"/>
  <c r="N1030" i="2"/>
  <c r="N1160" i="2"/>
  <c r="N944" i="2"/>
  <c r="N1168" i="2"/>
  <c r="N1461" i="2"/>
  <c r="N717" i="2"/>
  <c r="N356" i="2"/>
  <c r="N130" i="2"/>
  <c r="N1038" i="2"/>
  <c r="N1039" i="2"/>
  <c r="N1466" i="2"/>
  <c r="N1041" i="2"/>
  <c r="N1042" i="2"/>
  <c r="N1043" i="2"/>
  <c r="N1044" i="2"/>
  <c r="N1083" i="2"/>
  <c r="N1046" i="2"/>
  <c r="N1047" i="2"/>
  <c r="N1048" i="2"/>
  <c r="N1049" i="2"/>
  <c r="N1050" i="2"/>
  <c r="N1051" i="2"/>
  <c r="N1052" i="2"/>
  <c r="N1053" i="2"/>
  <c r="N1054" i="2"/>
  <c r="N1493" i="2"/>
  <c r="N1056" i="2"/>
  <c r="N1057" i="2"/>
  <c r="N1058" i="2"/>
  <c r="N1059" i="2"/>
  <c r="N1060" i="2"/>
  <c r="N1440" i="2"/>
  <c r="N972" i="2"/>
  <c r="N1063" i="2"/>
  <c r="N1064" i="2"/>
  <c r="N1065" i="2"/>
  <c r="N697" i="2"/>
  <c r="N1067" i="2"/>
  <c r="N1068" i="2"/>
  <c r="N1069" i="2"/>
  <c r="N1020" i="2"/>
  <c r="N185" i="2"/>
  <c r="N1072" i="2"/>
  <c r="N1073" i="2"/>
  <c r="N1074" i="2"/>
  <c r="N1075" i="2"/>
  <c r="N1076" i="2"/>
  <c r="N59" i="2"/>
  <c r="N1078" i="2"/>
  <c r="N473" i="2"/>
  <c r="N1080" i="2"/>
  <c r="N1081" i="2"/>
  <c r="N554" i="2"/>
  <c r="N1536" i="2"/>
  <c r="N1084" i="2"/>
  <c r="N1085" i="2"/>
  <c r="N1086" i="2"/>
  <c r="N1087" i="2"/>
  <c r="N1325" i="2"/>
  <c r="N1089" i="2"/>
  <c r="N1090" i="2"/>
  <c r="N1091" i="2"/>
  <c r="N1290" i="2"/>
  <c r="N961" i="2"/>
  <c r="N208" i="2"/>
  <c r="N1095" i="2"/>
  <c r="N953" i="2"/>
  <c r="N942" i="2"/>
  <c r="N1247" i="2"/>
  <c r="N1099" i="2"/>
  <c r="N1100" i="2"/>
  <c r="N1477" i="2"/>
  <c r="N1102" i="2"/>
  <c r="N1103" i="2"/>
  <c r="N1104" i="2"/>
  <c r="N1105" i="2"/>
  <c r="N1106" i="2"/>
  <c r="N1107" i="2"/>
  <c r="N1108" i="2"/>
  <c r="N1109" i="2"/>
  <c r="N392" i="2"/>
  <c r="N1111" i="2"/>
  <c r="N700" i="2"/>
  <c r="N1113" i="2"/>
  <c r="N1582" i="2"/>
  <c r="N1115" i="2"/>
  <c r="N1116" i="2"/>
  <c r="N1117" i="2"/>
  <c r="N187" i="2"/>
  <c r="N1119" i="2"/>
  <c r="N413" i="2"/>
  <c r="N1121" i="2"/>
  <c r="N1122" i="2"/>
  <c r="N1123" i="2"/>
  <c r="N1124" i="2"/>
  <c r="N1125" i="2"/>
  <c r="N842" i="2"/>
  <c r="N1127" i="2"/>
  <c r="N1128" i="2"/>
  <c r="N1129" i="2"/>
  <c r="N1130" i="2"/>
  <c r="N973" i="2"/>
  <c r="N931" i="2"/>
  <c r="N1133" i="2"/>
  <c r="N1096" i="2"/>
  <c r="N1135" i="2"/>
  <c r="N801" i="2"/>
  <c r="N1137" i="2"/>
  <c r="N1138" i="2"/>
  <c r="N334" i="2"/>
  <c r="N255" i="2"/>
  <c r="N82" i="2"/>
  <c r="N1142" i="2"/>
  <c r="N1143" i="2"/>
  <c r="N1298" i="2"/>
  <c r="N1274" i="2"/>
  <c r="N1146" i="2"/>
  <c r="N1147" i="2"/>
  <c r="N1148" i="2"/>
  <c r="N623" i="2"/>
  <c r="N1150" i="2"/>
  <c r="N1151" i="2"/>
  <c r="N555" i="2"/>
  <c r="N1153" i="2"/>
  <c r="N1154" i="2"/>
  <c r="N1155" i="2"/>
  <c r="N1156" i="2"/>
  <c r="N1157" i="2"/>
  <c r="N1305" i="2"/>
  <c r="N1173" i="2"/>
  <c r="N1526" i="2"/>
  <c r="N1161" i="2"/>
  <c r="N1131" i="2"/>
  <c r="N1163" i="2"/>
  <c r="N1164" i="2"/>
  <c r="N1165" i="2"/>
  <c r="N1166" i="2"/>
  <c r="N534" i="2"/>
  <c r="N560" i="2"/>
  <c r="N1169" i="2"/>
  <c r="N1170" i="2"/>
  <c r="N1171" i="2"/>
  <c r="N1172" i="2"/>
  <c r="N338" i="2"/>
  <c r="N393" i="2"/>
  <c r="N1175" i="2"/>
  <c r="N686" i="2"/>
  <c r="N394" i="2"/>
  <c r="N1533" i="2"/>
  <c r="N1179" i="2"/>
  <c r="N1180" i="2"/>
  <c r="N1589" i="2"/>
  <c r="N898" i="2"/>
  <c r="N1183" i="2"/>
  <c r="N1254" i="2"/>
  <c r="N1185" i="2"/>
  <c r="N1186" i="2"/>
  <c r="N1187" i="2"/>
  <c r="N1145" i="2"/>
  <c r="N1189" i="2"/>
  <c r="N1190" i="2"/>
  <c r="N1191" i="2"/>
  <c r="N1192" i="2"/>
  <c r="N823" i="2"/>
  <c r="N1194" i="2"/>
  <c r="N1195" i="2"/>
  <c r="N1196" i="2"/>
  <c r="N1197" i="2"/>
  <c r="N1198" i="2"/>
  <c r="N384" i="2"/>
  <c r="N1200" i="2"/>
  <c r="N1201" i="2"/>
  <c r="N448" i="2"/>
  <c r="N1203" i="2"/>
  <c r="N985" i="2"/>
  <c r="N1361" i="2"/>
  <c r="N1206" i="2"/>
  <c r="N1207" i="2"/>
  <c r="N650" i="2"/>
  <c r="N1209" i="2"/>
  <c r="N1359" i="2"/>
  <c r="N1211" i="2"/>
  <c r="N241" i="2"/>
  <c r="N604" i="2"/>
  <c r="N1214" i="2"/>
  <c r="N1215" i="2"/>
  <c r="N1216" i="2"/>
  <c r="N1217" i="2"/>
  <c r="N358" i="2"/>
  <c r="N1219" i="2"/>
  <c r="N1220" i="2"/>
  <c r="N1246" i="2"/>
  <c r="N1222" i="2"/>
  <c r="N492" i="2"/>
  <c r="N1224" i="2"/>
  <c r="N1225" i="2"/>
  <c r="N1226" i="2"/>
  <c r="N1227" i="2"/>
  <c r="N1228" i="2"/>
  <c r="N1229" i="2"/>
  <c r="N1230" i="2"/>
  <c r="N641" i="2"/>
  <c r="N1231" i="2"/>
  <c r="N1233" i="2"/>
  <c r="N1234" i="2"/>
  <c r="N557" i="2"/>
  <c r="N1236" i="2"/>
  <c r="N1237" i="2"/>
  <c r="N1238" i="2"/>
  <c r="N760" i="2"/>
  <c r="N1329" i="2"/>
  <c r="N1097" i="2"/>
  <c r="N718" i="2"/>
  <c r="N1243" i="2"/>
  <c r="N1244" i="2"/>
  <c r="N1245" i="2"/>
  <c r="N870" i="2"/>
  <c r="N652" i="2"/>
  <c r="N1248" i="2"/>
  <c r="N1249" i="2"/>
  <c r="N1250" i="2"/>
  <c r="N1251" i="2"/>
  <c r="N1252" i="2"/>
  <c r="N1253" i="2"/>
  <c r="N1132" i="2"/>
  <c r="N1255" i="2"/>
  <c r="N1564" i="2"/>
  <c r="N1257" i="2"/>
  <c r="N1258" i="2"/>
  <c r="N1259" i="2"/>
  <c r="N1260" i="2"/>
  <c r="N1261" i="2"/>
  <c r="N1262" i="2"/>
  <c r="N1263" i="2"/>
  <c r="N1264" i="2"/>
  <c r="N1265" i="2"/>
  <c r="N1266" i="2"/>
  <c r="N766" i="2"/>
  <c r="N229" i="2"/>
  <c r="N1269" i="2"/>
  <c r="N1270" i="2"/>
  <c r="N1271" i="2"/>
  <c r="N1272" i="2"/>
  <c r="N1273" i="2"/>
  <c r="N890" i="2"/>
  <c r="N1275" i="2"/>
  <c r="N607" i="2"/>
  <c r="N1277" i="2"/>
  <c r="N1278" i="2"/>
  <c r="N1279" i="2"/>
  <c r="N1280" i="2"/>
  <c r="N1281" i="2"/>
  <c r="N459" i="2"/>
  <c r="N1283" i="2"/>
  <c r="N1284" i="2"/>
  <c r="N1285" i="2"/>
  <c r="N1286" i="2"/>
  <c r="N525" i="2"/>
  <c r="N1032" i="2"/>
  <c r="N863" i="2"/>
  <c r="N719" i="2"/>
  <c r="N1291" i="2"/>
  <c r="N1292" i="2"/>
  <c r="N1293" i="2"/>
  <c r="N1294" i="2"/>
  <c r="N1295" i="2"/>
  <c r="N1296" i="2"/>
  <c r="N1297" i="2"/>
  <c r="N957" i="2"/>
  <c r="N57" i="2"/>
  <c r="N1300" i="2"/>
  <c r="N1301" i="2"/>
  <c r="N845" i="2"/>
  <c r="N1033" i="2"/>
  <c r="N1304" i="2"/>
  <c r="N787" i="2"/>
  <c r="N1306" i="2"/>
  <c r="N1307" i="2"/>
  <c r="N1308" i="2"/>
  <c r="N1309" i="2"/>
  <c r="N1384" i="2"/>
  <c r="N1311" i="2"/>
  <c r="N1312" i="2"/>
  <c r="N1313" i="2"/>
  <c r="N430" i="2"/>
  <c r="N1315" i="2"/>
  <c r="N84" i="2"/>
  <c r="N1317" i="2"/>
  <c r="N1318" i="2"/>
  <c r="N1319" i="2"/>
  <c r="N1320" i="2"/>
  <c r="N1321" i="2"/>
  <c r="N1322" i="2"/>
  <c r="N912" i="2"/>
  <c r="N1324" i="2"/>
  <c r="N464" i="2"/>
  <c r="N1326" i="2"/>
  <c r="N958" i="2"/>
  <c r="N1328" i="2"/>
  <c r="N465" i="2"/>
  <c r="N1330" i="2"/>
  <c r="N1342" i="2"/>
  <c r="N1114" i="2"/>
  <c r="N1333" i="2"/>
  <c r="N1557" i="2"/>
  <c r="N1335" i="2"/>
  <c r="N1336" i="2"/>
  <c r="N1337" i="2"/>
  <c r="N1338" i="2"/>
  <c r="N1339" i="2"/>
  <c r="N1340" i="2"/>
  <c r="N1341" i="2"/>
  <c r="N802" i="2"/>
  <c r="N223" i="2"/>
  <c r="N1344" i="2"/>
  <c r="N1345" i="2"/>
  <c r="N1346" i="2"/>
  <c r="N1212" i="2"/>
  <c r="N1348" i="2"/>
  <c r="N378" i="2"/>
  <c r="N1350" i="2"/>
  <c r="N1351" i="2"/>
  <c r="N1232" i="2"/>
  <c r="N1353" i="2"/>
  <c r="N1354" i="2"/>
  <c r="N1355" i="2"/>
  <c r="N1356" i="2"/>
  <c r="N1357" i="2"/>
  <c r="N493" i="2"/>
  <c r="N115" i="2"/>
  <c r="N1360" i="2"/>
  <c r="N655" i="2"/>
  <c r="N1367" i="2"/>
  <c r="N1016" i="2"/>
  <c r="N1364" i="2"/>
  <c r="N1365" i="2"/>
  <c r="N1366" i="2"/>
  <c r="N690" i="2"/>
  <c r="N400" i="2"/>
  <c r="N1369" i="2"/>
  <c r="N1444" i="2"/>
  <c r="N1371" i="2"/>
  <c r="N1372" i="2"/>
  <c r="N1373" i="2"/>
  <c r="N1374" i="2"/>
  <c r="N989" i="2"/>
  <c r="N1310" i="2"/>
  <c r="N1377" i="2"/>
  <c r="N1378" i="2"/>
  <c r="N1379" i="2"/>
  <c r="N366" i="2"/>
  <c r="N1381" i="2"/>
  <c r="N1382" i="2"/>
  <c r="N1383" i="2"/>
  <c r="N1468" i="2"/>
  <c r="N1385" i="2"/>
  <c r="N1386" i="2"/>
  <c r="N1282" i="2"/>
  <c r="N243" i="2"/>
  <c r="N1389" i="2"/>
  <c r="N1390" i="2"/>
  <c r="N1362" i="2"/>
  <c r="N1392" i="2"/>
  <c r="N1393" i="2"/>
  <c r="N1394" i="2"/>
  <c r="N289" i="2"/>
  <c r="N1396" i="2"/>
  <c r="N1397" i="2"/>
  <c r="N1398" i="2"/>
  <c r="N723" i="2"/>
  <c r="N1400" i="2"/>
  <c r="N1401" i="2"/>
  <c r="N1402" i="2"/>
  <c r="N1403" i="2"/>
  <c r="N993" i="2"/>
  <c r="N1405" i="2"/>
  <c r="N1037" i="2"/>
  <c r="N1407" i="2"/>
  <c r="N1539" i="2"/>
  <c r="N1409" i="2"/>
  <c r="N1410" i="2"/>
  <c r="N1411" i="2"/>
  <c r="N1412" i="2"/>
  <c r="N1158" i="2"/>
  <c r="N1414" i="2"/>
  <c r="N1415" i="2"/>
  <c r="N877" i="2"/>
  <c r="N1149" i="2"/>
  <c r="N1418" i="2"/>
  <c r="N1419" i="2"/>
  <c r="N1420" i="2"/>
  <c r="N1421" i="2"/>
  <c r="N74" i="2"/>
  <c r="N561" i="2"/>
  <c r="N1424" i="2"/>
  <c r="N256" i="2"/>
  <c r="N1426" i="2"/>
  <c r="N1427" i="2"/>
  <c r="N257" i="2"/>
  <c r="N1429" i="2"/>
  <c r="N1430" i="2"/>
  <c r="N1431" i="2"/>
  <c r="N1432" i="2"/>
  <c r="N1433" i="2"/>
  <c r="N1434" i="2"/>
  <c r="N1435" i="2"/>
  <c r="N1436" i="2"/>
  <c r="N1437" i="2"/>
  <c r="N1438" i="2"/>
  <c r="N1439" i="2"/>
  <c r="N1299" i="2"/>
  <c r="N629" i="2"/>
  <c r="N1442" i="2"/>
  <c r="N1443" i="2"/>
  <c r="N1406" i="2"/>
  <c r="N1445" i="2"/>
  <c r="N1446" i="2"/>
  <c r="N1447" i="2"/>
  <c r="N830" i="2"/>
  <c r="N1449" i="2"/>
  <c r="N1450" i="2"/>
  <c r="N1451" i="2"/>
  <c r="N134" i="2"/>
  <c r="N1453" i="2"/>
  <c r="N1454" i="2"/>
  <c r="N682" i="2"/>
  <c r="N1456" i="2"/>
  <c r="N1457" i="2"/>
  <c r="N1458" i="2"/>
  <c r="N1459" i="2"/>
  <c r="N1460" i="2"/>
  <c r="N747" i="2"/>
  <c r="N1462" i="2"/>
  <c r="N1463" i="2"/>
  <c r="N1464" i="2"/>
  <c r="N1408" i="2"/>
  <c r="N298" i="2"/>
  <c r="N1467" i="2"/>
  <c r="N809" i="2"/>
  <c r="N1469" i="2"/>
  <c r="N633" i="2"/>
  <c r="N1177" i="2"/>
  <c r="N1472" i="2"/>
  <c r="N1473" i="2"/>
  <c r="N1474" i="2"/>
  <c r="N1475" i="2"/>
  <c r="N1098" i="2"/>
  <c r="N925" i="2"/>
  <c r="N1478" i="2"/>
  <c r="N1479" i="2"/>
  <c r="N1480" i="2"/>
  <c r="N934" i="2"/>
  <c r="N1482" i="2"/>
  <c r="N1483" i="2"/>
  <c r="N1484" i="2"/>
  <c r="N1404" i="2"/>
  <c r="N1486" i="2"/>
  <c r="N965" i="2"/>
  <c r="N1488" i="2"/>
  <c r="N1489" i="2"/>
  <c r="N1490" i="2"/>
  <c r="N1174" i="2"/>
  <c r="N1471" i="2"/>
  <c r="N824" i="2"/>
  <c r="N1494" i="2"/>
  <c r="N1495" i="2"/>
  <c r="N1496" i="2"/>
  <c r="N825" i="2"/>
  <c r="N1498" i="2"/>
  <c r="N1499" i="2"/>
  <c r="N1500" i="2"/>
  <c r="N680" i="2"/>
  <c r="N789" i="2"/>
  <c r="N1503" i="2"/>
  <c r="N1504" i="2"/>
  <c r="N714" i="2"/>
  <c r="N1506" i="2"/>
  <c r="N1507" i="2"/>
  <c r="N1508" i="2"/>
  <c r="N1509" i="2"/>
  <c r="N1388" i="2"/>
  <c r="N1223" i="2"/>
  <c r="N1512" i="2"/>
  <c r="N1513" i="2"/>
  <c r="N853" i="2"/>
  <c r="N1515" i="2"/>
  <c r="N1516" i="2"/>
  <c r="N1517" i="2"/>
  <c r="N1518" i="2"/>
  <c r="N1519" i="2"/>
  <c r="N1520" i="2"/>
  <c r="N1521" i="2"/>
  <c r="N1522" i="2"/>
  <c r="N1162" i="2"/>
  <c r="N1524" i="2"/>
  <c r="N1525" i="2"/>
  <c r="N1141" i="2"/>
  <c r="N1527" i="2"/>
  <c r="N1528" i="2"/>
  <c r="N1529" i="2"/>
  <c r="N1530" i="2"/>
  <c r="N1531" i="2"/>
  <c r="N1532" i="2"/>
  <c r="N1595" i="2"/>
  <c r="N1534" i="2"/>
  <c r="N1535" i="2"/>
  <c r="N1218" i="2"/>
  <c r="N1537" i="2"/>
  <c r="N219" i="2"/>
  <c r="N1013" i="2"/>
  <c r="N1540" i="2"/>
  <c r="N1541" i="2"/>
  <c r="N1542" i="2"/>
  <c r="N1543" i="2"/>
  <c r="N1544" i="2"/>
  <c r="N1545" i="2"/>
  <c r="N1546" i="2"/>
  <c r="N1566" i="2"/>
  <c r="N1548" i="2"/>
  <c r="N1549" i="2"/>
  <c r="N1550" i="2"/>
  <c r="N1551" i="2"/>
  <c r="N1552" i="2"/>
  <c r="N1553" i="2"/>
  <c r="N1554" i="2"/>
  <c r="N381" i="2"/>
  <c r="N1556" i="2"/>
  <c r="N1134" i="2"/>
  <c r="N1558" i="2"/>
  <c r="N1570" i="2"/>
  <c r="N1560" i="2"/>
  <c r="N1561" i="2"/>
  <c r="N843" i="2"/>
  <c r="N1563" i="2"/>
  <c r="N362" i="2"/>
  <c r="N1565" i="2"/>
  <c r="N367" i="2"/>
  <c r="N1567" i="2"/>
  <c r="N1568" i="2"/>
  <c r="N154" i="2"/>
  <c r="N1598" i="2"/>
  <c r="N1152" i="2"/>
  <c r="N656" i="2"/>
  <c r="N142" i="2"/>
  <c r="N1574" i="2"/>
  <c r="N515" i="2"/>
  <c r="N1576" i="2"/>
  <c r="N1577" i="2"/>
  <c r="N711" i="2"/>
  <c r="N1579" i="2"/>
  <c r="N364" i="2"/>
  <c r="N1417" i="2"/>
  <c r="N270" i="2"/>
  <c r="N300" i="2"/>
  <c r="N1584" i="2"/>
  <c r="N1585" i="2"/>
  <c r="N1586" i="2"/>
  <c r="N1587" i="2"/>
  <c r="N202" i="2"/>
  <c r="N642" i="2"/>
  <c r="N1590" i="2"/>
  <c r="N1591" i="2"/>
  <c r="N1592" i="2"/>
  <c r="N826" i="2"/>
  <c r="N1594" i="2"/>
  <c r="N1071" i="2"/>
  <c r="N1596" i="2"/>
  <c r="N1597" i="2"/>
  <c r="N864" i="2"/>
  <c r="N1599" i="2"/>
  <c r="N1600" i="2"/>
  <c r="N1601" i="2"/>
  <c r="N1602" i="2"/>
  <c r="N1603" i="2"/>
  <c r="N301" i="2"/>
  <c r="N1605" i="2"/>
  <c r="N1606" i="2"/>
  <c r="N1607" i="2"/>
  <c r="N598" i="2"/>
  <c r="N1609" i="2"/>
  <c r="N1610" i="2"/>
  <c r="N1481" i="2"/>
  <c r="N1241" i="2"/>
  <c r="P2" i="2"/>
  <c r="P3" i="2"/>
  <c r="P4" i="2"/>
  <c r="P5" i="2"/>
  <c r="P6" i="2"/>
  <c r="P7" i="2"/>
  <c r="P8" i="2"/>
  <c r="P9" i="2"/>
  <c r="P10" i="2"/>
  <c r="P11" i="2"/>
  <c r="P12" i="2"/>
  <c r="P13" i="2"/>
  <c r="P421" i="2"/>
  <c r="P1079" i="2"/>
  <c r="P16" i="2"/>
  <c r="P17" i="2"/>
  <c r="P432" i="2"/>
  <c r="P19" i="2"/>
  <c r="P20" i="2"/>
  <c r="P704" i="2"/>
  <c r="P22" i="2"/>
  <c r="P23" i="2"/>
  <c r="P24" i="2"/>
  <c r="P25" i="2"/>
  <c r="P26" i="2"/>
  <c r="P27" i="2"/>
  <c r="P28" i="2"/>
  <c r="P29" i="2"/>
  <c r="P30" i="2"/>
  <c r="P31" i="2"/>
  <c r="P32" i="2"/>
  <c r="P33" i="2"/>
  <c r="P179" i="2"/>
  <c r="P35" i="2"/>
  <c r="P369" i="2"/>
  <c r="P37" i="2"/>
  <c r="P38" i="2"/>
  <c r="P39" i="2"/>
  <c r="P36" i="2"/>
  <c r="P41" i="2"/>
  <c r="P713" i="2"/>
  <c r="P43" i="2"/>
  <c r="P44" i="2"/>
  <c r="P45" i="2"/>
  <c r="P46" i="2"/>
  <c r="P47" i="2"/>
  <c r="P48" i="2"/>
  <c r="P49" i="2"/>
  <c r="P50" i="2"/>
  <c r="P51" i="2"/>
  <c r="P1093" i="2"/>
  <c r="P53" i="2"/>
  <c r="P54" i="2"/>
  <c r="P55" i="2"/>
  <c r="P56" i="2"/>
  <c r="P1031" i="2"/>
  <c r="P191" i="2"/>
  <c r="P452" i="2"/>
  <c r="P1062" i="2"/>
  <c r="P61" i="2"/>
  <c r="P1465" i="2"/>
  <c r="P63" i="2"/>
  <c r="P64" i="2"/>
  <c r="P65" i="2"/>
  <c r="P66" i="2"/>
  <c r="P67" i="2"/>
  <c r="P68" i="2"/>
  <c r="P69" i="2"/>
  <c r="P1118" i="2"/>
  <c r="P71" i="2"/>
  <c r="P72" i="2"/>
  <c r="P73" i="2"/>
  <c r="P86" i="2"/>
  <c r="P1571" i="2"/>
  <c r="P76" i="2"/>
  <c r="P77" i="2"/>
  <c r="P767" i="2"/>
  <c r="P79" i="2"/>
  <c r="P80" i="2"/>
  <c r="P81" i="2"/>
  <c r="P1034" i="2"/>
  <c r="P83" i="2"/>
  <c r="P320" i="2"/>
  <c r="P85" i="2"/>
  <c r="P201" i="2"/>
  <c r="P626" i="2"/>
  <c r="P88" i="2"/>
  <c r="P89" i="2"/>
  <c r="P90" i="2"/>
  <c r="P249" i="2"/>
  <c r="P92" i="2"/>
  <c r="P93" i="2"/>
  <c r="P1178" i="2"/>
  <c r="P119" i="2"/>
  <c r="P96" i="2"/>
  <c r="P97" i="2"/>
  <c r="P98" i="2"/>
  <c r="P947" i="2"/>
  <c r="P100" i="2"/>
  <c r="P101" i="2"/>
  <c r="P102" i="2"/>
  <c r="P103" i="2"/>
  <c r="P104" i="2"/>
  <c r="P105" i="2"/>
  <c r="P106" i="2"/>
  <c r="P107" i="2"/>
  <c r="P1572" i="2"/>
  <c r="P109" i="2"/>
  <c r="P110" i="2"/>
  <c r="P111" i="2"/>
  <c r="P112" i="2"/>
  <c r="P113" i="2"/>
  <c r="P114" i="2"/>
  <c r="P1413" i="2"/>
  <c r="P116" i="2"/>
  <c r="P117" i="2"/>
  <c r="P118" i="2"/>
  <c r="P1491" i="2"/>
  <c r="P1314" i="2"/>
  <c r="P121" i="2"/>
  <c r="P122" i="2"/>
  <c r="P1199" i="2"/>
  <c r="P124" i="2"/>
  <c r="P125" i="2"/>
  <c r="P126" i="2"/>
  <c r="P127" i="2"/>
  <c r="P75" i="2"/>
  <c r="P129" i="2"/>
  <c r="P1040" i="2"/>
  <c r="P131" i="2"/>
  <c r="P132" i="2"/>
  <c r="P133" i="2"/>
  <c r="P441" i="2"/>
  <c r="P135" i="2"/>
  <c r="P136" i="2"/>
  <c r="P137" i="2"/>
  <c r="P138" i="2"/>
  <c r="P139" i="2"/>
  <c r="P1188" i="2"/>
  <c r="P141" i="2"/>
  <c r="P363" i="2"/>
  <c r="P143" i="2"/>
  <c r="P995" i="2"/>
  <c r="P145" i="2"/>
  <c r="P146" i="2"/>
  <c r="P147" i="2"/>
  <c r="P148" i="2"/>
  <c r="P149" i="2"/>
  <c r="P150" i="2"/>
  <c r="P1082" i="2"/>
  <c r="P152" i="2"/>
  <c r="P153" i="2"/>
  <c r="P120" i="2"/>
  <c r="P155" i="2"/>
  <c r="P156" i="2"/>
  <c r="P157" i="2"/>
  <c r="P158" i="2"/>
  <c r="P159" i="2"/>
  <c r="P160" i="2"/>
  <c r="P161" i="2"/>
  <c r="P663" i="2"/>
  <c r="P163" i="2"/>
  <c r="P164" i="2"/>
  <c r="P165" i="2"/>
  <c r="P166" i="2"/>
  <c r="P167" i="2"/>
  <c r="P99" i="2"/>
  <c r="P169" i="2"/>
  <c r="P170" i="2"/>
  <c r="P171" i="2"/>
  <c r="P1608" i="2"/>
  <c r="P173" i="2"/>
  <c r="P174" i="2"/>
  <c r="P175" i="2"/>
  <c r="P176" i="2"/>
  <c r="P177" i="2"/>
  <c r="P178" i="2"/>
  <c r="P1476" i="2"/>
  <c r="P180" i="2"/>
  <c r="P181" i="2"/>
  <c r="P423" i="2"/>
  <c r="P183" i="2"/>
  <c r="P184" i="2"/>
  <c r="P817" i="2"/>
  <c r="P186" i="2"/>
  <c r="P666" i="2"/>
  <c r="P188" i="2"/>
  <c r="P189" i="2"/>
  <c r="P190" i="2"/>
  <c r="P14" i="2"/>
  <c r="P192" i="2"/>
  <c r="P193" i="2"/>
  <c r="P194" i="2"/>
  <c r="P540" i="2"/>
  <c r="P196" i="2"/>
  <c r="P197" i="2"/>
  <c r="P1349" i="2"/>
  <c r="P1240" i="2"/>
  <c r="P200" i="2"/>
  <c r="P385" i="2"/>
  <c r="P996" i="2"/>
  <c r="P203" i="2"/>
  <c r="P204" i="2"/>
  <c r="P205" i="2"/>
  <c r="P206" i="2"/>
  <c r="P207" i="2"/>
  <c r="P1562" i="2"/>
  <c r="P209" i="2"/>
  <c r="P210" i="2"/>
  <c r="P211" i="2"/>
  <c r="P94" i="2"/>
  <c r="P213" i="2"/>
  <c r="P214" i="2"/>
  <c r="P215" i="2"/>
  <c r="P216" i="2"/>
  <c r="P217" i="2"/>
  <c r="P987" i="2"/>
  <c r="P325" i="2"/>
  <c r="P220" i="2"/>
  <c r="P221" i="2"/>
  <c r="P222" i="2"/>
  <c r="P476" i="2"/>
  <c r="P224" i="2"/>
  <c r="P225" i="2"/>
  <c r="P226" i="2"/>
  <c r="P726" i="2"/>
  <c r="P1066" i="2"/>
  <c r="P162" i="2"/>
  <c r="P230" i="2"/>
  <c r="P1510" i="2"/>
  <c r="P232" i="2"/>
  <c r="P832" i="2"/>
  <c r="P1514" i="2"/>
  <c r="P235" i="2"/>
  <c r="P236" i="2"/>
  <c r="P237" i="2"/>
  <c r="P238" i="2"/>
  <c r="P239" i="2"/>
  <c r="P240" i="2"/>
  <c r="P790" i="2"/>
  <c r="P242" i="2"/>
  <c r="P1101" i="2"/>
  <c r="P244" i="2"/>
  <c r="P245" i="2"/>
  <c r="P246" i="2"/>
  <c r="P247" i="2"/>
  <c r="P248" i="2"/>
  <c r="P87" i="2"/>
  <c r="P998" i="2"/>
  <c r="P251" i="2"/>
  <c r="P252" i="2"/>
  <c r="P253" i="2"/>
  <c r="P254" i="2"/>
  <c r="P333" i="2"/>
  <c r="P1573" i="2"/>
  <c r="P477" i="2"/>
  <c r="P258" i="2"/>
  <c r="P259" i="2"/>
  <c r="P260" i="2"/>
  <c r="P261" i="2"/>
  <c r="P262" i="2"/>
  <c r="P263" i="2"/>
  <c r="P264" i="2"/>
  <c r="P265" i="2"/>
  <c r="P484" i="2"/>
  <c r="P580" i="2"/>
  <c r="P268" i="2"/>
  <c r="P269" i="2"/>
  <c r="P559" i="2"/>
  <c r="P231" i="2"/>
  <c r="P272" i="2"/>
  <c r="P273" i="2"/>
  <c r="P274" i="2"/>
  <c r="P275" i="2"/>
  <c r="P276" i="2"/>
  <c r="P277" i="2"/>
  <c r="P278" i="2"/>
  <c r="P279" i="2"/>
  <c r="P280" i="2"/>
  <c r="P949" i="2"/>
  <c r="P748" i="2"/>
  <c r="P283" i="2"/>
  <c r="P284" i="2"/>
  <c r="P1331" i="2"/>
  <c r="P286" i="2"/>
  <c r="P287" i="2"/>
  <c r="P303" i="2"/>
  <c r="P18" i="2"/>
  <c r="P290" i="2"/>
  <c r="P291" i="2"/>
  <c r="P292" i="2"/>
  <c r="P293" i="2"/>
  <c r="P501" i="2"/>
  <c r="P295" i="2"/>
  <c r="P296" i="2"/>
  <c r="P212" i="2"/>
  <c r="P1441" i="2"/>
  <c r="P299" i="2"/>
  <c r="P267" i="2"/>
  <c r="P1416" i="2"/>
  <c r="P302" i="2"/>
  <c r="P271" i="2"/>
  <c r="P304" i="2"/>
  <c r="P305" i="2"/>
  <c r="P306" i="2"/>
  <c r="P307" i="2"/>
  <c r="P308" i="2"/>
  <c r="P1055" i="2"/>
  <c r="P1343" i="2"/>
  <c r="P311" i="2"/>
  <c r="P865" i="2"/>
  <c r="P313" i="2"/>
  <c r="P314" i="2"/>
  <c r="P315" i="2"/>
  <c r="P316" i="2"/>
  <c r="P317" i="2"/>
  <c r="P318" i="2"/>
  <c r="P319" i="2"/>
  <c r="P322" i="2"/>
  <c r="P321" i="2"/>
  <c r="P414" i="2"/>
  <c r="P323" i="2"/>
  <c r="P324" i="2"/>
  <c r="P1485" i="2"/>
  <c r="P326" i="2"/>
  <c r="P327" i="2"/>
  <c r="P775" i="2"/>
  <c r="P329" i="2"/>
  <c r="P330" i="2"/>
  <c r="P331" i="2"/>
  <c r="P332" i="2"/>
  <c r="P1334" i="2"/>
  <c r="P404" i="2"/>
  <c r="P335" i="2"/>
  <c r="P336" i="2"/>
  <c r="P337" i="2"/>
  <c r="P1422" i="2"/>
  <c r="P339" i="2"/>
  <c r="P340" i="2"/>
  <c r="P940" i="2"/>
  <c r="P342" i="2"/>
  <c r="P343" i="2"/>
  <c r="P344" i="2"/>
  <c r="P628" i="2"/>
  <c r="P955" i="2"/>
  <c r="P347" i="2"/>
  <c r="P348" i="2"/>
  <c r="P349" i="2"/>
  <c r="P350" i="2"/>
  <c r="P351" i="2"/>
  <c r="P309" i="2"/>
  <c r="P353" i="2"/>
  <c r="P354" i="2"/>
  <c r="P355" i="2"/>
  <c r="P1088" i="2"/>
  <c r="P357" i="2"/>
  <c r="P709" i="2"/>
  <c r="P359" i="2"/>
  <c r="P360" i="2"/>
  <c r="P361" i="2"/>
  <c r="P489" i="2"/>
  <c r="P1120" i="2"/>
  <c r="P1588" i="2"/>
  <c r="P1110" i="2"/>
  <c r="P1391" i="2"/>
  <c r="P667" i="2"/>
  <c r="P368" i="2"/>
  <c r="P233" i="2"/>
  <c r="P370" i="2"/>
  <c r="P371" i="2"/>
  <c r="P372" i="2"/>
  <c r="P1370" i="2"/>
  <c r="P374" i="2"/>
  <c r="P894" i="2"/>
  <c r="P590" i="2"/>
  <c r="P1575" i="2"/>
  <c r="P1376" i="2"/>
  <c r="P379" i="2"/>
  <c r="P380" i="2"/>
  <c r="P562" i="2"/>
  <c r="P382" i="2"/>
  <c r="P407" i="2"/>
  <c r="P1204" i="2"/>
  <c r="P40" i="2"/>
  <c r="P1023" i="2"/>
  <c r="P387" i="2"/>
  <c r="P388" i="2"/>
  <c r="P389" i="2"/>
  <c r="P390" i="2"/>
  <c r="P391" i="2"/>
  <c r="P791" i="2"/>
  <c r="P60" i="2"/>
  <c r="P846" i="2"/>
  <c r="P395" i="2"/>
  <c r="P396" i="2"/>
  <c r="P397" i="2"/>
  <c r="P398" i="2"/>
  <c r="P399" i="2"/>
  <c r="P1470" i="2"/>
  <c r="P401" i="2"/>
  <c r="P402" i="2"/>
  <c r="P403" i="2"/>
  <c r="P1327" i="2"/>
  <c r="P405" i="2"/>
  <c r="P406" i="2"/>
  <c r="P474" i="2"/>
  <c r="P408" i="2"/>
  <c r="P409" i="2"/>
  <c r="P410" i="2"/>
  <c r="P411" i="2"/>
  <c r="P1352" i="2"/>
  <c r="P78" i="2"/>
  <c r="P1193" i="2"/>
  <c r="P415" i="2"/>
  <c r="P416" i="2"/>
  <c r="P710" i="2"/>
  <c r="P418" i="2"/>
  <c r="P419" i="2"/>
  <c r="P420" i="2"/>
  <c r="P227" i="2"/>
  <c r="P422" i="2"/>
  <c r="P1035" i="2"/>
  <c r="P424" i="2"/>
  <c r="P425" i="2"/>
  <c r="P426" i="2"/>
  <c r="P1092" i="2"/>
  <c r="P428" i="2"/>
  <c r="P429" i="2"/>
  <c r="P91" i="2"/>
  <c r="P431" i="2"/>
  <c r="P1505" i="2"/>
  <c r="P433" i="2"/>
  <c r="P434" i="2"/>
  <c r="P435" i="2"/>
  <c r="P436" i="2"/>
  <c r="P437" i="2"/>
  <c r="P438" i="2"/>
  <c r="P439" i="2"/>
  <c r="P440" i="2"/>
  <c r="P564" i="2"/>
  <c r="P442" i="2"/>
  <c r="P443" i="2"/>
  <c r="P444" i="2"/>
  <c r="P445" i="2"/>
  <c r="P446" i="2"/>
  <c r="P447" i="2"/>
  <c r="P454" i="2"/>
  <c r="P449" i="2"/>
  <c r="P450" i="2"/>
  <c r="P451" i="2"/>
  <c r="P1611" i="2"/>
  <c r="P453" i="2"/>
  <c r="P383" i="2"/>
  <c r="P455" i="2"/>
  <c r="P897" i="2"/>
  <c r="P457" i="2"/>
  <c r="P1094" i="2"/>
  <c r="P341" i="2"/>
  <c r="P460" i="2"/>
  <c r="P461" i="2"/>
  <c r="P462" i="2"/>
  <c r="P463" i="2"/>
  <c r="P108" i="2"/>
  <c r="P467" i="2"/>
  <c r="P466" i="2"/>
  <c r="P1497" i="2"/>
  <c r="P1547" i="2"/>
  <c r="P469" i="2"/>
  <c r="P470" i="2"/>
  <c r="P328" i="2"/>
  <c r="P472" i="2"/>
  <c r="P144" i="2"/>
  <c r="P373" i="2"/>
  <c r="P475" i="2"/>
  <c r="P1287" i="2"/>
  <c r="P128" i="2"/>
  <c r="P478" i="2"/>
  <c r="P479" i="2"/>
  <c r="P480" i="2"/>
  <c r="P481" i="2"/>
  <c r="P482" i="2"/>
  <c r="P483" i="2"/>
  <c r="P1323" i="2"/>
  <c r="P485" i="2"/>
  <c r="P486" i="2"/>
  <c r="P487" i="2"/>
  <c r="P488" i="2"/>
  <c r="P608" i="2"/>
  <c r="P733" i="2"/>
  <c r="P491" i="2"/>
  <c r="P592" i="2"/>
  <c r="P511" i="2"/>
  <c r="P1423" i="2"/>
  <c r="P495" i="2"/>
  <c r="P496" i="2"/>
  <c r="P497" i="2"/>
  <c r="P792" i="2"/>
  <c r="P499" i="2"/>
  <c r="P500" i="2"/>
  <c r="P1511" i="2"/>
  <c r="P502" i="2"/>
  <c r="P503" i="2"/>
  <c r="P504" i="2"/>
  <c r="P505" i="2"/>
  <c r="P668" i="2"/>
  <c r="P507" i="2"/>
  <c r="P508" i="2"/>
  <c r="P509" i="2"/>
  <c r="P510" i="2"/>
  <c r="P1000" i="2"/>
  <c r="P512" i="2"/>
  <c r="P513" i="2"/>
  <c r="P514" i="2"/>
  <c r="P168" i="2"/>
  <c r="P516" i="2"/>
  <c r="P517" i="2"/>
  <c r="P518" i="2"/>
  <c r="P519" i="2"/>
  <c r="P520" i="2"/>
  <c r="P1213" i="2"/>
  <c r="P522" i="2"/>
  <c r="P523" i="2"/>
  <c r="P524" i="2"/>
  <c r="P345" i="2"/>
  <c r="P526" i="2"/>
  <c r="P527" i="2"/>
  <c r="P859" i="2"/>
  <c r="P529" i="2"/>
  <c r="P530" i="2"/>
  <c r="P531" i="2"/>
  <c r="P532" i="2"/>
  <c r="P533" i="2"/>
  <c r="P676" i="2"/>
  <c r="P535" i="2"/>
  <c r="P536" i="2"/>
  <c r="P537" i="2"/>
  <c r="P538" i="2"/>
  <c r="P539" i="2"/>
  <c r="P195" i="2"/>
  <c r="P218" i="2"/>
  <c r="P542" i="2"/>
  <c r="P543" i="2"/>
  <c r="P544" i="2"/>
  <c r="P545" i="2"/>
  <c r="P546" i="2"/>
  <c r="P547" i="2"/>
  <c r="P548" i="2"/>
  <c r="P549" i="2"/>
  <c r="P550" i="2"/>
  <c r="P551" i="2"/>
  <c r="P552" i="2"/>
  <c r="P553" i="2"/>
  <c r="P250" i="2"/>
  <c r="P417" i="2"/>
  <c r="P556" i="2"/>
  <c r="P1024" i="2"/>
  <c r="P558" i="2"/>
  <c r="P813" i="2"/>
  <c r="P1045" i="2"/>
  <c r="P795" i="2"/>
  <c r="P1181" i="2"/>
  <c r="P563" i="2"/>
  <c r="P1242" i="2"/>
  <c r="P565" i="2"/>
  <c r="P566" i="2"/>
  <c r="P567" i="2"/>
  <c r="P568" i="2"/>
  <c r="P569" i="2"/>
  <c r="P570" i="2"/>
  <c r="P1144" i="2"/>
  <c r="P572" i="2"/>
  <c r="P573" i="2"/>
  <c r="P574" i="2"/>
  <c r="P541" i="2"/>
  <c r="P1316" i="2"/>
  <c r="P577" i="2"/>
  <c r="P578" i="2"/>
  <c r="P579" i="2"/>
  <c r="P851" i="2"/>
  <c r="P581" i="2"/>
  <c r="P582" i="2"/>
  <c r="P583" i="2"/>
  <c r="P584" i="2"/>
  <c r="P585" i="2"/>
  <c r="P586" i="2"/>
  <c r="P587" i="2"/>
  <c r="P588" i="2"/>
  <c r="P589" i="2"/>
  <c r="P1136" i="2"/>
  <c r="P591" i="2"/>
  <c r="P521" i="2"/>
  <c r="P593" i="2"/>
  <c r="P594" i="2"/>
  <c r="P595" i="2"/>
  <c r="P596" i="2"/>
  <c r="P597" i="2"/>
  <c r="P975" i="2"/>
  <c r="P599" i="2"/>
  <c r="P821" i="2"/>
  <c r="P601" i="2"/>
  <c r="P602" i="2"/>
  <c r="P603" i="2"/>
  <c r="P1501" i="2"/>
  <c r="P605" i="2"/>
  <c r="P606" i="2"/>
  <c r="P613" i="2"/>
  <c r="P140" i="2"/>
  <c r="P609" i="2"/>
  <c r="P610" i="2"/>
  <c r="P611" i="2"/>
  <c r="P612" i="2"/>
  <c r="P1604" i="2"/>
  <c r="P490" i="2"/>
  <c r="P615" i="2"/>
  <c r="P616" i="2"/>
  <c r="P617" i="2"/>
  <c r="P618" i="2"/>
  <c r="P619" i="2"/>
  <c r="P620" i="2"/>
  <c r="P777" i="2"/>
  <c r="P622" i="2"/>
  <c r="P913" i="2"/>
  <c r="P624" i="2"/>
  <c r="P625" i="2"/>
  <c r="P1208" i="2"/>
  <c r="P627" i="2"/>
  <c r="P614" i="2"/>
  <c r="P1555" i="2"/>
  <c r="P1581" i="2"/>
  <c r="P631" i="2"/>
  <c r="P632" i="2"/>
  <c r="P346" i="2"/>
  <c r="P634" i="2"/>
  <c r="P635" i="2"/>
  <c r="P1452" i="2"/>
  <c r="P637" i="2"/>
  <c r="P638" i="2"/>
  <c r="P639" i="2"/>
  <c r="P640" i="2"/>
  <c r="P1358" i="2"/>
  <c r="P1112" i="2"/>
  <c r="P643" i="2"/>
  <c r="P1368" i="2"/>
  <c r="P645" i="2"/>
  <c r="P646" i="2"/>
  <c r="P647" i="2"/>
  <c r="P648" i="2"/>
  <c r="P1061" i="2"/>
  <c r="P968" i="2"/>
  <c r="P651" i="2"/>
  <c r="P878" i="2"/>
  <c r="P182" i="2"/>
  <c r="P494" i="2"/>
  <c r="P1027" i="2"/>
  <c r="P799" i="2"/>
  <c r="P657" i="2"/>
  <c r="P658" i="2"/>
  <c r="P659" i="2"/>
  <c r="P660" i="2"/>
  <c r="P661" i="2"/>
  <c r="P662" i="2"/>
  <c r="P827" i="2"/>
  <c r="P664" i="2"/>
  <c r="P665" i="2"/>
  <c r="P1395" i="2"/>
  <c r="P294" i="2"/>
  <c r="P172" i="2"/>
  <c r="P669" i="2"/>
  <c r="P670" i="2"/>
  <c r="P671" i="2"/>
  <c r="P672" i="2"/>
  <c r="P673" i="2"/>
  <c r="P674" i="2"/>
  <c r="P675" i="2"/>
  <c r="P681" i="2"/>
  <c r="P677" i="2"/>
  <c r="P678" i="2"/>
  <c r="P679" i="2"/>
  <c r="P916" i="2"/>
  <c r="P1425" i="2"/>
  <c r="P644" i="2"/>
  <c r="P683" i="2"/>
  <c r="P684" i="2"/>
  <c r="P896" i="2"/>
  <c r="P1077" i="2"/>
  <c r="P687" i="2"/>
  <c r="P688" i="2"/>
  <c r="P689" i="2"/>
  <c r="P1167" i="2"/>
  <c r="P691" i="2"/>
  <c r="P692" i="2"/>
  <c r="P693" i="2"/>
  <c r="P1492" i="2"/>
  <c r="P695" i="2"/>
  <c r="P696" i="2"/>
  <c r="P1006" i="2"/>
  <c r="P698" i="2"/>
  <c r="P699" i="2"/>
  <c r="P506" i="2"/>
  <c r="P701" i="2"/>
  <c r="P702" i="2"/>
  <c r="P703" i="2"/>
  <c r="P977" i="2"/>
  <c r="P705" i="2"/>
  <c r="P706" i="2"/>
  <c r="P468" i="2"/>
  <c r="P708" i="2"/>
  <c r="P412" i="2"/>
  <c r="P62" i="2"/>
  <c r="P929" i="2"/>
  <c r="P712" i="2"/>
  <c r="P1428" i="2"/>
  <c r="P1276" i="2"/>
  <c r="P498" i="2"/>
  <c r="P716" i="2"/>
  <c r="P1202" i="2"/>
  <c r="P1347" i="2"/>
  <c r="P1070" i="2"/>
  <c r="P720" i="2"/>
  <c r="P721" i="2"/>
  <c r="P722" i="2"/>
  <c r="P1036" i="2"/>
  <c r="P1184" i="2"/>
  <c r="P725" i="2"/>
  <c r="P228" i="2"/>
  <c r="P727" i="2"/>
  <c r="P728" i="2"/>
  <c r="P829" i="2"/>
  <c r="P730" i="2"/>
  <c r="P731" i="2"/>
  <c r="P732" i="2"/>
  <c r="P375" i="2"/>
  <c r="P734" i="2"/>
  <c r="P735" i="2"/>
  <c r="P736" i="2"/>
  <c r="P737" i="2"/>
  <c r="P297" i="2"/>
  <c r="P739" i="2"/>
  <c r="P740" i="2"/>
  <c r="P352" i="2"/>
  <c r="P742" i="2"/>
  <c r="P743" i="2"/>
  <c r="P744" i="2"/>
  <c r="P745" i="2"/>
  <c r="P746" i="2"/>
  <c r="P376" i="2"/>
  <c r="P600" i="2"/>
  <c r="P749" i="2"/>
  <c r="P750" i="2"/>
  <c r="P751" i="2"/>
  <c r="P752" i="2"/>
  <c r="P753" i="2"/>
  <c r="P365" i="2"/>
  <c r="P1448" i="2"/>
  <c r="P756" i="2"/>
  <c r="P757" i="2"/>
  <c r="P123" i="2"/>
  <c r="P759" i="2"/>
  <c r="P1375" i="2"/>
  <c r="P761" i="2"/>
  <c r="P762" i="2"/>
  <c r="P763" i="2"/>
  <c r="P764" i="2"/>
  <c r="P765" i="2"/>
  <c r="P281" i="2"/>
  <c r="P198" i="2"/>
  <c r="P768" i="2"/>
  <c r="P769" i="2"/>
  <c r="P770" i="2"/>
  <c r="P771" i="2"/>
  <c r="P772" i="2"/>
  <c r="P773" i="2"/>
  <c r="P774" i="2"/>
  <c r="P836" i="2"/>
  <c r="P776" i="2"/>
  <c r="P1221" i="2"/>
  <c r="P778" i="2"/>
  <c r="P1210" i="2"/>
  <c r="P780" i="2"/>
  <c r="P781" i="2"/>
  <c r="P1559" i="2"/>
  <c r="P783" i="2"/>
  <c r="P784" i="2"/>
  <c r="P785" i="2"/>
  <c r="P786" i="2"/>
  <c r="P1580" i="2"/>
  <c r="P788" i="2"/>
  <c r="P1288" i="2"/>
  <c r="P285" i="2"/>
  <c r="P926" i="2"/>
  <c r="P15" i="2"/>
  <c r="P793" i="2"/>
  <c r="P794" i="2"/>
  <c r="P21" i="2"/>
  <c r="P796" i="2"/>
  <c r="P797" i="2"/>
  <c r="P798" i="2"/>
  <c r="P1538" i="2"/>
  <c r="P70" i="2"/>
  <c r="P1455" i="2"/>
  <c r="P653" i="2"/>
  <c r="P803" i="2"/>
  <c r="P804" i="2"/>
  <c r="P805" i="2"/>
  <c r="P806" i="2"/>
  <c r="P807" i="2"/>
  <c r="P808" i="2"/>
  <c r="P1235" i="2"/>
  <c r="P810" i="2"/>
  <c r="P811" i="2"/>
  <c r="P812" i="2"/>
  <c r="P1332" i="2"/>
  <c r="P729" i="2"/>
  <c r="P815" i="2"/>
  <c r="P1399" i="2"/>
  <c r="P854" i="2"/>
  <c r="P818" i="2"/>
  <c r="P819" i="2"/>
  <c r="P820" i="2"/>
  <c r="P456" i="2"/>
  <c r="P822" i="2"/>
  <c r="P1593" i="2"/>
  <c r="P575" i="2"/>
  <c r="P630" i="2"/>
  <c r="P738" i="2"/>
  <c r="P1578" i="2"/>
  <c r="P828" i="2"/>
  <c r="P1239" i="2"/>
  <c r="P1256" i="2"/>
  <c r="P831" i="2"/>
  <c r="P1267" i="2"/>
  <c r="P833" i="2"/>
  <c r="P834" i="2"/>
  <c r="P835" i="2"/>
  <c r="P528" i="2"/>
  <c r="P1387" i="2"/>
  <c r="P838" i="2"/>
  <c r="P839" i="2"/>
  <c r="P840" i="2"/>
  <c r="P841" i="2"/>
  <c r="P1126" i="2"/>
  <c r="P1159" i="2"/>
  <c r="P844" i="2"/>
  <c r="P1502" i="2"/>
  <c r="P386" i="2"/>
  <c r="P847" i="2"/>
  <c r="P848" i="2"/>
  <c r="P849" i="2"/>
  <c r="P850" i="2"/>
  <c r="P685" i="2"/>
  <c r="P852" i="2"/>
  <c r="P199" i="2"/>
  <c r="P707" i="2"/>
  <c r="P855" i="2"/>
  <c r="P856" i="2"/>
  <c r="P857" i="2"/>
  <c r="P858" i="2"/>
  <c r="P1289" i="2"/>
  <c r="P860" i="2"/>
  <c r="P754" i="2"/>
  <c r="P862" i="2"/>
  <c r="P34" i="2"/>
  <c r="P800" i="2"/>
  <c r="P649" i="2"/>
  <c r="P866" i="2"/>
  <c r="P867" i="2"/>
  <c r="P868" i="2"/>
  <c r="P95" i="2"/>
  <c r="P576" i="2"/>
  <c r="P871" i="2"/>
  <c r="P872" i="2"/>
  <c r="P873" i="2"/>
  <c r="P874" i="2"/>
  <c r="P875" i="2"/>
  <c r="P876" i="2"/>
  <c r="P1268" i="2"/>
  <c r="P1302" i="2"/>
  <c r="P879" i="2"/>
  <c r="P779" i="2"/>
  <c r="P881" i="2"/>
  <c r="P882" i="2"/>
  <c r="P883" i="2"/>
  <c r="P755" i="2"/>
  <c r="P885" i="2"/>
  <c r="P886" i="2"/>
  <c r="P887" i="2"/>
  <c r="P888" i="2"/>
  <c r="P889" i="2"/>
  <c r="P880" i="2"/>
  <c r="P891" i="2"/>
  <c r="P892" i="2"/>
  <c r="P893" i="2"/>
  <c r="P814" i="2"/>
  <c r="P895" i="2"/>
  <c r="P1380" i="2"/>
  <c r="P471" i="2"/>
  <c r="P978" i="2"/>
  <c r="P899" i="2"/>
  <c r="P900" i="2"/>
  <c r="P901" i="2"/>
  <c r="P902" i="2"/>
  <c r="P903" i="2"/>
  <c r="P904" i="2"/>
  <c r="P905" i="2"/>
  <c r="P906" i="2"/>
  <c r="P907" i="2"/>
  <c r="P458" i="2"/>
  <c r="P909" i="2"/>
  <c r="P910" i="2"/>
  <c r="P911" i="2"/>
  <c r="P1612" i="2"/>
  <c r="P1363" i="2"/>
  <c r="P914" i="2"/>
  <c r="P915" i="2"/>
  <c r="P908" i="2"/>
  <c r="P917" i="2"/>
  <c r="P918" i="2"/>
  <c r="P919" i="2"/>
  <c r="P920" i="2"/>
  <c r="P921" i="2"/>
  <c r="P922" i="2"/>
  <c r="P923" i="2"/>
  <c r="P924" i="2"/>
  <c r="P621" i="2"/>
  <c r="P636" i="2"/>
  <c r="P927" i="2"/>
  <c r="P928" i="2"/>
  <c r="P1205" i="2"/>
  <c r="P930" i="2"/>
  <c r="P282" i="2"/>
  <c r="P932" i="2"/>
  <c r="P933" i="2"/>
  <c r="P816" i="2"/>
  <c r="P935" i="2"/>
  <c r="P936" i="2"/>
  <c r="P937" i="2"/>
  <c r="P938" i="2"/>
  <c r="P939" i="2"/>
  <c r="P758" i="2"/>
  <c r="P941" i="2"/>
  <c r="P1583" i="2"/>
  <c r="P943" i="2"/>
  <c r="P427" i="2"/>
  <c r="P945" i="2"/>
  <c r="P946" i="2"/>
  <c r="P1139" i="2"/>
  <c r="P948" i="2"/>
  <c r="P571" i="2"/>
  <c r="P950" i="2"/>
  <c r="P951" i="2"/>
  <c r="P952" i="2"/>
  <c r="P1523" i="2"/>
  <c r="P954" i="2"/>
  <c r="P869" i="2"/>
  <c r="P956" i="2"/>
  <c r="P1303" i="2"/>
  <c r="P715" i="2"/>
  <c r="P959" i="2"/>
  <c r="P960" i="2"/>
  <c r="P782" i="2"/>
  <c r="P962" i="2"/>
  <c r="P963" i="2"/>
  <c r="P964" i="2"/>
  <c r="P1487" i="2"/>
  <c r="P966" i="2"/>
  <c r="P967" i="2"/>
  <c r="P654" i="2"/>
  <c r="P969" i="2"/>
  <c r="P970" i="2"/>
  <c r="P971" i="2"/>
  <c r="P1176" i="2"/>
  <c r="P58" i="2"/>
  <c r="P974" i="2"/>
  <c r="P42" i="2"/>
  <c r="P976" i="2"/>
  <c r="P694" i="2"/>
  <c r="P1140" i="2"/>
  <c r="P979" i="2"/>
  <c r="P980" i="2"/>
  <c r="P981" i="2"/>
  <c r="P982" i="2"/>
  <c r="P983" i="2"/>
  <c r="P984" i="2"/>
  <c r="P310" i="2"/>
  <c r="P986" i="2"/>
  <c r="P52" i="2"/>
  <c r="P988" i="2"/>
  <c r="P1028" i="2"/>
  <c r="P990" i="2"/>
  <c r="P991" i="2"/>
  <c r="P992" i="2"/>
  <c r="P151" i="2"/>
  <c r="P994" i="2"/>
  <c r="P884" i="2"/>
  <c r="P377" i="2"/>
  <c r="P997" i="2"/>
  <c r="P724" i="2"/>
  <c r="P999" i="2"/>
  <c r="P741" i="2"/>
  <c r="P1001" i="2"/>
  <c r="P1002" i="2"/>
  <c r="P1003" i="2"/>
  <c r="P1004" i="2"/>
  <c r="P1005" i="2"/>
  <c r="P234" i="2"/>
  <c r="P1007" i="2"/>
  <c r="P1008" i="2"/>
  <c r="P1009" i="2"/>
  <c r="P1010" i="2"/>
  <c r="P1011" i="2"/>
  <c r="P1012" i="2"/>
  <c r="P266" i="2"/>
  <c r="P1014" i="2"/>
  <c r="P1015" i="2"/>
  <c r="P288" i="2"/>
  <c r="P1017" i="2"/>
  <c r="P1018" i="2"/>
  <c r="P1019" i="2"/>
  <c r="P1569" i="2"/>
  <c r="P1021" i="2"/>
  <c r="P1022" i="2"/>
  <c r="P312" i="2"/>
  <c r="P1182" i="2"/>
  <c r="P1025" i="2"/>
  <c r="P1026" i="2"/>
  <c r="P837" i="2"/>
  <c r="P861" i="2"/>
  <c r="P1029" i="2"/>
  <c r="P1030" i="2"/>
  <c r="P1160" i="2"/>
  <c r="P944" i="2"/>
  <c r="P1168" i="2"/>
  <c r="P1461" i="2"/>
  <c r="P717" i="2"/>
  <c r="P356" i="2"/>
  <c r="P130" i="2"/>
  <c r="P1038" i="2"/>
  <c r="P1039" i="2"/>
  <c r="P1466" i="2"/>
  <c r="P1041" i="2"/>
  <c r="P1042" i="2"/>
  <c r="P1043" i="2"/>
  <c r="P1044" i="2"/>
  <c r="P1083" i="2"/>
  <c r="P1046" i="2"/>
  <c r="P1047" i="2"/>
  <c r="P1048" i="2"/>
  <c r="P1049" i="2"/>
  <c r="P1050" i="2"/>
  <c r="P1051" i="2"/>
  <c r="P1052" i="2"/>
  <c r="P1053" i="2"/>
  <c r="P1054" i="2"/>
  <c r="P1493" i="2"/>
  <c r="P1056" i="2"/>
  <c r="P1057" i="2"/>
  <c r="P1058" i="2"/>
  <c r="P1059" i="2"/>
  <c r="P1060" i="2"/>
  <c r="P1440" i="2"/>
  <c r="P972" i="2"/>
  <c r="P1063" i="2"/>
  <c r="P1064" i="2"/>
  <c r="P1065" i="2"/>
  <c r="P697" i="2"/>
  <c r="P1067" i="2"/>
  <c r="P1068" i="2"/>
  <c r="P1069" i="2"/>
  <c r="P1020" i="2"/>
  <c r="P185" i="2"/>
  <c r="P1072" i="2"/>
  <c r="P1073" i="2"/>
  <c r="P1074" i="2"/>
  <c r="P1075" i="2"/>
  <c r="P1076" i="2"/>
  <c r="P59" i="2"/>
  <c r="P1078" i="2"/>
  <c r="P473" i="2"/>
  <c r="P1080" i="2"/>
  <c r="P1081" i="2"/>
  <c r="P554" i="2"/>
  <c r="P1536" i="2"/>
  <c r="P1084" i="2"/>
  <c r="P1085" i="2"/>
  <c r="P1086" i="2"/>
  <c r="P1087" i="2"/>
  <c r="P1325" i="2"/>
  <c r="P1089" i="2"/>
  <c r="P1090" i="2"/>
  <c r="P1091" i="2"/>
  <c r="P1290" i="2"/>
  <c r="P961" i="2"/>
  <c r="P208" i="2"/>
  <c r="P1095" i="2"/>
  <c r="P953" i="2"/>
  <c r="P942" i="2"/>
  <c r="P1247" i="2"/>
  <c r="P1099" i="2"/>
  <c r="P1100" i="2"/>
  <c r="P1477" i="2"/>
  <c r="P1102" i="2"/>
  <c r="P1103" i="2"/>
  <c r="P1104" i="2"/>
  <c r="P1105" i="2"/>
  <c r="P1106" i="2"/>
  <c r="P1107" i="2"/>
  <c r="P1108" i="2"/>
  <c r="P1109" i="2"/>
  <c r="P392" i="2"/>
  <c r="P1111" i="2"/>
  <c r="P700" i="2"/>
  <c r="P1113" i="2"/>
  <c r="P1582" i="2"/>
  <c r="P1115" i="2"/>
  <c r="P1116" i="2"/>
  <c r="P1117" i="2"/>
  <c r="P187" i="2"/>
  <c r="P1119" i="2"/>
  <c r="P413" i="2"/>
  <c r="P1121" i="2"/>
  <c r="P1122" i="2"/>
  <c r="P1123" i="2"/>
  <c r="P1124" i="2"/>
  <c r="P1125" i="2"/>
  <c r="P842" i="2"/>
  <c r="P1127" i="2"/>
  <c r="P1128" i="2"/>
  <c r="P1129" i="2"/>
  <c r="P1130" i="2"/>
  <c r="P973" i="2"/>
  <c r="P931" i="2"/>
  <c r="P1133" i="2"/>
  <c r="P1096" i="2"/>
  <c r="P1135" i="2"/>
  <c r="P801" i="2"/>
  <c r="P1137" i="2"/>
  <c r="P1138" i="2"/>
  <c r="P334" i="2"/>
  <c r="P255" i="2"/>
  <c r="P82" i="2"/>
  <c r="P1142" i="2"/>
  <c r="P1143" i="2"/>
  <c r="P1298" i="2"/>
  <c r="P1274" i="2"/>
  <c r="P1146" i="2"/>
  <c r="P1147" i="2"/>
  <c r="P1148" i="2"/>
  <c r="P623" i="2"/>
  <c r="P1150" i="2"/>
  <c r="P1151" i="2"/>
  <c r="P555" i="2"/>
  <c r="P1153" i="2"/>
  <c r="P1154" i="2"/>
  <c r="P1155" i="2"/>
  <c r="P1156" i="2"/>
  <c r="P1157" i="2"/>
  <c r="P1305" i="2"/>
  <c r="P1173" i="2"/>
  <c r="P1526" i="2"/>
  <c r="P1161" i="2"/>
  <c r="P1131" i="2"/>
  <c r="P1163" i="2"/>
  <c r="P1164" i="2"/>
  <c r="P1165" i="2"/>
  <c r="P1166" i="2"/>
  <c r="P534" i="2"/>
  <c r="P560" i="2"/>
  <c r="P1169" i="2"/>
  <c r="P1170" i="2"/>
  <c r="P1171" i="2"/>
  <c r="P1172" i="2"/>
  <c r="P338" i="2"/>
  <c r="P393" i="2"/>
  <c r="P1175" i="2"/>
  <c r="P686" i="2"/>
  <c r="P394" i="2"/>
  <c r="P1533" i="2"/>
  <c r="P1179" i="2"/>
  <c r="P1180" i="2"/>
  <c r="P1589" i="2"/>
  <c r="P898" i="2"/>
  <c r="P1183" i="2"/>
  <c r="P1254" i="2"/>
  <c r="P1185" i="2"/>
  <c r="P1186" i="2"/>
  <c r="P1187" i="2"/>
  <c r="P1145" i="2"/>
  <c r="P1189" i="2"/>
  <c r="P1190" i="2"/>
  <c r="P1191" i="2"/>
  <c r="P1192" i="2"/>
  <c r="P823" i="2"/>
  <c r="P1194" i="2"/>
  <c r="P1195" i="2"/>
  <c r="P1196" i="2"/>
  <c r="P1197" i="2"/>
  <c r="P1198" i="2"/>
  <c r="P384" i="2"/>
  <c r="P1200" i="2"/>
  <c r="P1201" i="2"/>
  <c r="P448" i="2"/>
  <c r="P1203" i="2"/>
  <c r="P985" i="2"/>
  <c r="P1361" i="2"/>
  <c r="P1206" i="2"/>
  <c r="P1207" i="2"/>
  <c r="P650" i="2"/>
  <c r="P1209" i="2"/>
  <c r="P1359" i="2"/>
  <c r="P1211" i="2"/>
  <c r="P241" i="2"/>
  <c r="P604" i="2"/>
  <c r="P1214" i="2"/>
  <c r="P1215" i="2"/>
  <c r="P1216" i="2"/>
  <c r="P1217" i="2"/>
  <c r="P358" i="2"/>
  <c r="P1219" i="2"/>
  <c r="P1220" i="2"/>
  <c r="P1246" i="2"/>
  <c r="P1222" i="2"/>
  <c r="P492" i="2"/>
  <c r="P1224" i="2"/>
  <c r="P1225" i="2"/>
  <c r="P1226" i="2"/>
  <c r="P1227" i="2"/>
  <c r="P1228" i="2"/>
  <c r="P1229" i="2"/>
  <c r="P1230" i="2"/>
  <c r="P641" i="2"/>
  <c r="P1231" i="2"/>
  <c r="P1233" i="2"/>
  <c r="P1234" i="2"/>
  <c r="P557" i="2"/>
  <c r="P1236" i="2"/>
  <c r="P1237" i="2"/>
  <c r="P1238" i="2"/>
  <c r="P760" i="2"/>
  <c r="P1329" i="2"/>
  <c r="P1097" i="2"/>
  <c r="P718" i="2"/>
  <c r="P1243" i="2"/>
  <c r="P1244" i="2"/>
  <c r="P1245" i="2"/>
  <c r="P870" i="2"/>
  <c r="P652" i="2"/>
  <c r="P1248" i="2"/>
  <c r="P1249" i="2"/>
  <c r="P1250" i="2"/>
  <c r="P1251" i="2"/>
  <c r="P1252" i="2"/>
  <c r="P1253" i="2"/>
  <c r="P1132" i="2"/>
  <c r="P1255" i="2"/>
  <c r="P1564" i="2"/>
  <c r="P1257" i="2"/>
  <c r="P1258" i="2"/>
  <c r="P1259" i="2"/>
  <c r="P1260" i="2"/>
  <c r="P1261" i="2"/>
  <c r="P1262" i="2"/>
  <c r="P1263" i="2"/>
  <c r="P1264" i="2"/>
  <c r="P1265" i="2"/>
  <c r="P1266" i="2"/>
  <c r="P766" i="2"/>
  <c r="P229" i="2"/>
  <c r="P1269" i="2"/>
  <c r="P1270" i="2"/>
  <c r="P1271" i="2"/>
  <c r="P1272" i="2"/>
  <c r="P1273" i="2"/>
  <c r="P890" i="2"/>
  <c r="P1275" i="2"/>
  <c r="P607" i="2"/>
  <c r="P1277" i="2"/>
  <c r="P1278" i="2"/>
  <c r="P1279" i="2"/>
  <c r="P1280" i="2"/>
  <c r="P1281" i="2"/>
  <c r="P459" i="2"/>
  <c r="P1283" i="2"/>
  <c r="P1284" i="2"/>
  <c r="P1285" i="2"/>
  <c r="P1286" i="2"/>
  <c r="P525" i="2"/>
  <c r="P1032" i="2"/>
  <c r="P863" i="2"/>
  <c r="P719" i="2"/>
  <c r="P1291" i="2"/>
  <c r="P1292" i="2"/>
  <c r="P1293" i="2"/>
  <c r="P1294" i="2"/>
  <c r="P1295" i="2"/>
  <c r="P1296" i="2"/>
  <c r="P1297" i="2"/>
  <c r="P957" i="2"/>
  <c r="P57" i="2"/>
  <c r="P1300" i="2"/>
  <c r="P1301" i="2"/>
  <c r="P845" i="2"/>
  <c r="P1033" i="2"/>
  <c r="P1304" i="2"/>
  <c r="P787" i="2"/>
  <c r="P1306" i="2"/>
  <c r="P1307" i="2"/>
  <c r="P1308" i="2"/>
  <c r="P1309" i="2"/>
  <c r="P1384" i="2"/>
  <c r="P1311" i="2"/>
  <c r="P1312" i="2"/>
  <c r="P1313" i="2"/>
  <c r="P430" i="2"/>
  <c r="P1315" i="2"/>
  <c r="P84" i="2"/>
  <c r="P1317" i="2"/>
  <c r="P1318" i="2"/>
  <c r="P1319" i="2"/>
  <c r="P1320" i="2"/>
  <c r="P1321" i="2"/>
  <c r="P1322" i="2"/>
  <c r="P912" i="2"/>
  <c r="P1324" i="2"/>
  <c r="P464" i="2"/>
  <c r="P1326" i="2"/>
  <c r="P958" i="2"/>
  <c r="P1328" i="2"/>
  <c r="P465" i="2"/>
  <c r="P1330" i="2"/>
  <c r="P1342" i="2"/>
  <c r="P1114" i="2"/>
  <c r="P1333" i="2"/>
  <c r="P1557" i="2"/>
  <c r="P1335" i="2"/>
  <c r="P1336" i="2"/>
  <c r="P1337" i="2"/>
  <c r="P1338" i="2"/>
  <c r="P1339" i="2"/>
  <c r="P1340" i="2"/>
  <c r="P1341" i="2"/>
  <c r="P802" i="2"/>
  <c r="P223" i="2"/>
  <c r="P1344" i="2"/>
  <c r="P1345" i="2"/>
  <c r="P1346" i="2"/>
  <c r="P1212" i="2"/>
  <c r="P1348" i="2"/>
  <c r="P378" i="2"/>
  <c r="P1350" i="2"/>
  <c r="P1351" i="2"/>
  <c r="P1232" i="2"/>
  <c r="P1353" i="2"/>
  <c r="P1354" i="2"/>
  <c r="P1355" i="2"/>
  <c r="P1356" i="2"/>
  <c r="P1357" i="2"/>
  <c r="P493" i="2"/>
  <c r="P115" i="2"/>
  <c r="P1360" i="2"/>
  <c r="P655" i="2"/>
  <c r="P1367" i="2"/>
  <c r="P1016" i="2"/>
  <c r="P1364" i="2"/>
  <c r="P1365" i="2"/>
  <c r="P1366" i="2"/>
  <c r="P690" i="2"/>
  <c r="P400" i="2"/>
  <c r="P1369" i="2"/>
  <c r="P1444" i="2"/>
  <c r="P1371" i="2"/>
  <c r="P1372" i="2"/>
  <c r="P1373" i="2"/>
  <c r="P1374" i="2"/>
  <c r="P989" i="2"/>
  <c r="P1310" i="2"/>
  <c r="P1377" i="2"/>
  <c r="P1378" i="2"/>
  <c r="P1379" i="2"/>
  <c r="P366" i="2"/>
  <c r="P1381" i="2"/>
  <c r="P1382" i="2"/>
  <c r="P1383" i="2"/>
  <c r="P1468" i="2"/>
  <c r="P1385" i="2"/>
  <c r="P1386" i="2"/>
  <c r="P1282" i="2"/>
  <c r="P243" i="2"/>
  <c r="P1389" i="2"/>
  <c r="P1390" i="2"/>
  <c r="P1362" i="2"/>
  <c r="P1392" i="2"/>
  <c r="P1393" i="2"/>
  <c r="P1394" i="2"/>
  <c r="P289" i="2"/>
  <c r="P1396" i="2"/>
  <c r="P1397" i="2"/>
  <c r="P1398" i="2"/>
  <c r="P723" i="2"/>
  <c r="P1400" i="2"/>
  <c r="P1401" i="2"/>
  <c r="P1402" i="2"/>
  <c r="P1403" i="2"/>
  <c r="P993" i="2"/>
  <c r="P1405" i="2"/>
  <c r="P1037" i="2"/>
  <c r="P1407" i="2"/>
  <c r="P1539" i="2"/>
  <c r="P1409" i="2"/>
  <c r="P1410" i="2"/>
  <c r="P1411" i="2"/>
  <c r="P1412" i="2"/>
  <c r="P1158" i="2"/>
  <c r="P1414" i="2"/>
  <c r="P1415" i="2"/>
  <c r="P877" i="2"/>
  <c r="P1149" i="2"/>
  <c r="P1418" i="2"/>
  <c r="P1419" i="2"/>
  <c r="P1420" i="2"/>
  <c r="P1421" i="2"/>
  <c r="P74" i="2"/>
  <c r="P561" i="2"/>
  <c r="P1424" i="2"/>
  <c r="P256" i="2"/>
  <c r="P1426" i="2"/>
  <c r="P1427" i="2"/>
  <c r="P257" i="2"/>
  <c r="P1429" i="2"/>
  <c r="P1430" i="2"/>
  <c r="P1431" i="2"/>
  <c r="P1432" i="2"/>
  <c r="P1433" i="2"/>
  <c r="P1434" i="2"/>
  <c r="P1435" i="2"/>
  <c r="P1436" i="2"/>
  <c r="P1437" i="2"/>
  <c r="P1438" i="2"/>
  <c r="P1439" i="2"/>
  <c r="P1299" i="2"/>
  <c r="P629" i="2"/>
  <c r="P1442" i="2"/>
  <c r="P1443" i="2"/>
  <c r="P1406" i="2"/>
  <c r="P1445" i="2"/>
  <c r="P1446" i="2"/>
  <c r="P1447" i="2"/>
  <c r="P830" i="2"/>
  <c r="P1449" i="2"/>
  <c r="P1450" i="2"/>
  <c r="P1451" i="2"/>
  <c r="P134" i="2"/>
  <c r="P1453" i="2"/>
  <c r="P1454" i="2"/>
  <c r="P682" i="2"/>
  <c r="P1456" i="2"/>
  <c r="P1457" i="2"/>
  <c r="P1458" i="2"/>
  <c r="P1459" i="2"/>
  <c r="P1460" i="2"/>
  <c r="P747" i="2"/>
  <c r="P1462" i="2"/>
  <c r="P1463" i="2"/>
  <c r="P1464" i="2"/>
  <c r="P1408" i="2"/>
  <c r="P298" i="2"/>
  <c r="P1467" i="2"/>
  <c r="P809" i="2"/>
  <c r="P1469" i="2"/>
  <c r="P633" i="2"/>
  <c r="P1177" i="2"/>
  <c r="P1472" i="2"/>
  <c r="P1473" i="2"/>
  <c r="P1474" i="2"/>
  <c r="P1475" i="2"/>
  <c r="P1098" i="2"/>
  <c r="P925" i="2"/>
  <c r="P1478" i="2"/>
  <c r="P1479" i="2"/>
  <c r="P1480" i="2"/>
  <c r="P934" i="2"/>
  <c r="P1482" i="2"/>
  <c r="P1483" i="2"/>
  <c r="P1484" i="2"/>
  <c r="P1404" i="2"/>
  <c r="P1486" i="2"/>
  <c r="P965" i="2"/>
  <c r="P1488" i="2"/>
  <c r="P1489" i="2"/>
  <c r="P1490" i="2"/>
  <c r="P1174" i="2"/>
  <c r="P1471" i="2"/>
  <c r="P824" i="2"/>
  <c r="P1494" i="2"/>
  <c r="P1495" i="2"/>
  <c r="P1496" i="2"/>
  <c r="P825" i="2"/>
  <c r="P1498" i="2"/>
  <c r="P1499" i="2"/>
  <c r="P1500" i="2"/>
  <c r="P680" i="2"/>
  <c r="P789" i="2"/>
  <c r="P1503" i="2"/>
  <c r="P1504" i="2"/>
  <c r="P714" i="2"/>
  <c r="P1506" i="2"/>
  <c r="P1507" i="2"/>
  <c r="P1508" i="2"/>
  <c r="P1509" i="2"/>
  <c r="P1388" i="2"/>
  <c r="P1223" i="2"/>
  <c r="P1512" i="2"/>
  <c r="P1513" i="2"/>
  <c r="P853" i="2"/>
  <c r="P1515" i="2"/>
  <c r="P1516" i="2"/>
  <c r="P1517" i="2"/>
  <c r="P1518" i="2"/>
  <c r="P1519" i="2"/>
  <c r="P1520" i="2"/>
  <c r="P1521" i="2"/>
  <c r="P1522" i="2"/>
  <c r="P1162" i="2"/>
  <c r="P1524" i="2"/>
  <c r="P1525" i="2"/>
  <c r="P1141" i="2"/>
  <c r="P1527" i="2"/>
  <c r="P1528" i="2"/>
  <c r="P1529" i="2"/>
  <c r="P1530" i="2"/>
  <c r="P1531" i="2"/>
  <c r="P1532" i="2"/>
  <c r="P1595" i="2"/>
  <c r="P1534" i="2"/>
  <c r="P1535" i="2"/>
  <c r="P1218" i="2"/>
  <c r="P1537" i="2"/>
  <c r="P219" i="2"/>
  <c r="P1013" i="2"/>
  <c r="P1540" i="2"/>
  <c r="P1541" i="2"/>
  <c r="P1542" i="2"/>
  <c r="P1543" i="2"/>
  <c r="P1544" i="2"/>
  <c r="P1545" i="2"/>
  <c r="P1546" i="2"/>
  <c r="P1566" i="2"/>
  <c r="P1548" i="2"/>
  <c r="P1549" i="2"/>
  <c r="P1550" i="2"/>
  <c r="P1551" i="2"/>
  <c r="P1552" i="2"/>
  <c r="P1553" i="2"/>
  <c r="P1554" i="2"/>
  <c r="P381" i="2"/>
  <c r="P1556" i="2"/>
  <c r="P1134" i="2"/>
  <c r="P1558" i="2"/>
  <c r="P1570" i="2"/>
  <c r="P1560" i="2"/>
  <c r="P1561" i="2"/>
  <c r="P843" i="2"/>
  <c r="P1563" i="2"/>
  <c r="P362" i="2"/>
  <c r="P1565" i="2"/>
  <c r="P367" i="2"/>
  <c r="P1567" i="2"/>
  <c r="P1568" i="2"/>
  <c r="P154" i="2"/>
  <c r="P1598" i="2"/>
  <c r="P1152" i="2"/>
  <c r="P656" i="2"/>
  <c r="P142" i="2"/>
  <c r="P1574" i="2"/>
  <c r="P515" i="2"/>
  <c r="P1576" i="2"/>
  <c r="P1577" i="2"/>
  <c r="P711" i="2"/>
  <c r="P1579" i="2"/>
  <c r="P364" i="2"/>
  <c r="P1417" i="2"/>
  <c r="P270" i="2"/>
  <c r="P300" i="2"/>
  <c r="P1584" i="2"/>
  <c r="P1585" i="2"/>
  <c r="P1586" i="2"/>
  <c r="P1587" i="2"/>
  <c r="P202" i="2"/>
  <c r="P642" i="2"/>
  <c r="P1590" i="2"/>
  <c r="P1591" i="2"/>
  <c r="P1592" i="2"/>
  <c r="P826" i="2"/>
  <c r="P1594" i="2"/>
  <c r="P1071" i="2"/>
  <c r="P1596" i="2"/>
  <c r="P1597" i="2"/>
  <c r="P864" i="2"/>
  <c r="P1599" i="2"/>
  <c r="P1600" i="2"/>
  <c r="P1601" i="2"/>
  <c r="P1602" i="2"/>
  <c r="P1603" i="2"/>
  <c r="P301" i="2"/>
  <c r="P1605" i="2"/>
  <c r="P1606" i="2"/>
  <c r="P1607" i="2"/>
  <c r="P598" i="2"/>
  <c r="P1609" i="2"/>
  <c r="P1610" i="2"/>
  <c r="P1481" i="2"/>
  <c r="P124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1B8747-8BB8-4E38-8A9B-C30CE37CB162}" keepAlive="1" name="Query - Walmart" description="Connection to the 'Walmart' query in the workbook." type="5" refreshedVersion="8" background="1" saveData="1">
    <dbPr connection="Provider=Microsoft.Mashup.OleDb.1;Data Source=$Workbook$;Location=Walmart;Extended Properties=&quot;&quot;" command="SELECT * FROM [Walmart]"/>
  </connection>
</connections>
</file>

<file path=xl/sharedStrings.xml><?xml version="1.0" encoding="utf-8"?>
<sst xmlns="http://schemas.openxmlformats.org/spreadsheetml/2006/main" count="11368" uniqueCount="3582">
  <si>
    <t>Order ID</t>
  </si>
  <si>
    <t>Order Date</t>
  </si>
  <si>
    <t>Ship Date</t>
  </si>
  <si>
    <t>Customer Name</t>
  </si>
  <si>
    <t>Country</t>
  </si>
  <si>
    <t>City</t>
  </si>
  <si>
    <t>State</t>
  </si>
  <si>
    <t>Category</t>
  </si>
  <si>
    <t>Product Name</t>
  </si>
  <si>
    <t>Sales</t>
  </si>
  <si>
    <t>Quantity</t>
  </si>
  <si>
    <t>Profit</t>
  </si>
  <si>
    <t>CA-2013-138688</t>
  </si>
  <si>
    <t>Darrin Van Huff</t>
  </si>
  <si>
    <t>United States</t>
  </si>
  <si>
    <t>Los Angeles</t>
  </si>
  <si>
    <t>California</t>
  </si>
  <si>
    <t>Labels</t>
  </si>
  <si>
    <t>Self-Adhesive Address Labels for Typewriters by Universal</t>
  </si>
  <si>
    <t>CA-2011-115812</t>
  </si>
  <si>
    <t>Brosina Hoffman</t>
  </si>
  <si>
    <t>Furnishings</t>
  </si>
  <si>
    <t>Eldon Expressions Wood and Plastic Desk Accessories, Cherry Wood</t>
  </si>
  <si>
    <t>CA-2013-161389</t>
  </si>
  <si>
    <t>Irene Maddox</t>
  </si>
  <si>
    <t>Seattle</t>
  </si>
  <si>
    <t>Washington</t>
  </si>
  <si>
    <t>Binders</t>
  </si>
  <si>
    <t>Fellowes PB200 Plastic Comb Binding Machine</t>
  </si>
  <si>
    <t>CA-2011-167164</t>
  </si>
  <si>
    <t>Alejandro Grove</t>
  </si>
  <si>
    <t>West Jordan</t>
  </si>
  <si>
    <t>Utah</t>
  </si>
  <si>
    <t>Storage</t>
  </si>
  <si>
    <t>Fellowes Super Stor/Drawer</t>
  </si>
  <si>
    <t>CA-2011-143336</t>
  </si>
  <si>
    <t>Zuschuss Donatelli</t>
  </si>
  <si>
    <t>San Francisco</t>
  </si>
  <si>
    <t>Art</t>
  </si>
  <si>
    <t>Newell 341</t>
  </si>
  <si>
    <t>CA-2012-106320</t>
  </si>
  <si>
    <t>Emily Burns</t>
  </si>
  <si>
    <t>Orem</t>
  </si>
  <si>
    <t>Tables</t>
  </si>
  <si>
    <t>Bretford CR4500 Series Slim Rectangular Table</t>
  </si>
  <si>
    <t>CA-2013-121755</t>
  </si>
  <si>
    <t>Eric Hoffmann</t>
  </si>
  <si>
    <t>Wilson Jones Active Use Binders</t>
  </si>
  <si>
    <t>CA-2013-101343</t>
  </si>
  <si>
    <t>Ruben Ausman</t>
  </si>
  <si>
    <t>Eldon Base for stackable storage shelf, platinum</t>
  </si>
  <si>
    <t>CA-2012-135545</t>
  </si>
  <si>
    <t>Kunst Miller</t>
  </si>
  <si>
    <t>Accessories</t>
  </si>
  <si>
    <t>Verbatim 25 GB 6x Blu-ray Single Layer Recordable Disc, 3/Pack</t>
  </si>
  <si>
    <t>CA-2011-106376</t>
  </si>
  <si>
    <t>Brendan Sweed</t>
  </si>
  <si>
    <t>Gilbert</t>
  </si>
  <si>
    <t>Arizona</t>
  </si>
  <si>
    <t>Hunt BOSTON Model 1606 High-Volume Electric Pencil Sharpener, Beige</t>
  </si>
  <si>
    <t>CA-2011-139451</t>
  </si>
  <si>
    <t>Duane Noonan</t>
  </si>
  <si>
    <t>Premium Writing Pencils, Soft, #2 by Central Association for the Blind</t>
  </si>
  <si>
    <t>CA-2013-109806</t>
  </si>
  <si>
    <t>Jim Sink</t>
  </si>
  <si>
    <t>Turquoise Lead Holder with Pocket Clip</t>
  </si>
  <si>
    <t>US-2014-109484</t>
  </si>
  <si>
    <t>Roger Barcio</t>
  </si>
  <si>
    <t>Portland</t>
  </si>
  <si>
    <t>Oregon</t>
  </si>
  <si>
    <t>Flexible Leather- Look Classic Collection Ring Binder</t>
  </si>
  <si>
    <t>CA-2014-157833</t>
  </si>
  <si>
    <t>Katherine Ducich</t>
  </si>
  <si>
    <t>Trimflex Flexible Post Binders</t>
  </si>
  <si>
    <t>US-2012-156867</t>
  </si>
  <si>
    <t>Lena Cacioppo</t>
  </si>
  <si>
    <t>Aurora</t>
  </si>
  <si>
    <t>Colorado</t>
  </si>
  <si>
    <t>Logitech K350 2.4Ghz Wireless Keyboard</t>
  </si>
  <si>
    <t>CA-2012-110457</t>
  </si>
  <si>
    <t>Dave Kipp</t>
  </si>
  <si>
    <t>Hon Racetrack Conference Tables</t>
  </si>
  <si>
    <t>US-2014-107272</t>
  </si>
  <si>
    <t>Troy Staebel</t>
  </si>
  <si>
    <t>Phoenix</t>
  </si>
  <si>
    <t>Avery Durable Slant Ring Binders, No Labels</t>
  </si>
  <si>
    <t>US-2013-125969</t>
  </si>
  <si>
    <t>Lindsay Shagiari</t>
  </si>
  <si>
    <t>Chairs</t>
  </si>
  <si>
    <t>Global Task Chair, Black</t>
  </si>
  <si>
    <t>CA-2013-145583</t>
  </si>
  <si>
    <t>Lena Creighton</t>
  </si>
  <si>
    <t>Roseville</t>
  </si>
  <si>
    <t>Paper</t>
  </si>
  <si>
    <t>Xerox 195</t>
  </si>
  <si>
    <t>CA-2014-106180</t>
  </si>
  <si>
    <t>Sally Hughsby</t>
  </si>
  <si>
    <t>Newell 343</t>
  </si>
  <si>
    <t>CA-2012-110744</t>
  </si>
  <si>
    <t>Helen Andreada</t>
  </si>
  <si>
    <t>Pasadena</t>
  </si>
  <si>
    <t>Safco Industrial Wire Shelving</t>
  </si>
  <si>
    <t>CA-2013-158834</t>
  </si>
  <si>
    <t>Tamara Willingham</t>
  </si>
  <si>
    <t>Scottsdale</t>
  </si>
  <si>
    <t>Appliances</t>
  </si>
  <si>
    <t>Belkin 7 Outlet SurgeMaster Surge Protector with Phone Protection</t>
  </si>
  <si>
    <t>CA-2012-124919</t>
  </si>
  <si>
    <t>Stephanie Phelps</t>
  </si>
  <si>
    <t>San Jose</t>
  </si>
  <si>
    <t>Southworth 25% Cotton Antique Laid Paper &amp; Envelopes</t>
  </si>
  <si>
    <t>CA-2012-118948</t>
  </si>
  <si>
    <t>Neil Knudson</t>
  </si>
  <si>
    <t>Newell 311</t>
  </si>
  <si>
    <t>CA-2011-104269</t>
  </si>
  <si>
    <t>Dave Brooks</t>
  </si>
  <si>
    <t>Global Deluxe High-Back Manager's Chair</t>
  </si>
  <si>
    <t>CA-2013-162733</t>
  </si>
  <si>
    <t>Ted Trevino</t>
  </si>
  <si>
    <t>Xerox 1920</t>
  </si>
  <si>
    <t>CA-2013-154508</t>
  </si>
  <si>
    <t>Ruben Dartt</t>
  </si>
  <si>
    <t>Carlsbad</t>
  </si>
  <si>
    <t>New Mexico</t>
  </si>
  <si>
    <t>Envelopes</t>
  </si>
  <si>
    <t>Staples</t>
  </si>
  <si>
    <t>CA-2013-113817</t>
  </si>
  <si>
    <t>Max Jones</t>
  </si>
  <si>
    <t>Wilson Jones International Size A4 Ring Binders</t>
  </si>
  <si>
    <t>CA-2011-118962</t>
  </si>
  <si>
    <t>Chad Sievert</t>
  </si>
  <si>
    <t>Adams Phone Message Book, Professional, 400 Message Capacity, 5 3/6 x 11</t>
  </si>
  <si>
    <t>CA-2011-123260</t>
  </si>
  <si>
    <t>Frank Merwin</t>
  </si>
  <si>
    <t>SanDisk Ultra 32 GB MicroSDHC Class 10 Memory Card</t>
  </si>
  <si>
    <t>CA-2012-131457</t>
  </si>
  <si>
    <t>Mary Zewe</t>
  </si>
  <si>
    <t>Redlands</t>
  </si>
  <si>
    <t>Poly String Tie Envelopes</t>
  </si>
  <si>
    <t>CA-2011-133690</t>
  </si>
  <si>
    <t>Bruce Stewart</t>
  </si>
  <si>
    <t>Denver</t>
  </si>
  <si>
    <t>BoxOffice By Design Rectangular and Half-Moon Meeting Room Tables</t>
  </si>
  <si>
    <t>CA-2014-108329</t>
  </si>
  <si>
    <t>Laurel Elliston</t>
  </si>
  <si>
    <t>Whittier</t>
  </si>
  <si>
    <t>Phones</t>
  </si>
  <si>
    <t>Nortel Business Series Terminal T7208 Digital phone</t>
  </si>
  <si>
    <t>CA-2013-130162</t>
  </si>
  <si>
    <t>Jonathan Howell</t>
  </si>
  <si>
    <t>Personal Filing Tote with Lid, Black/Gray</t>
  </si>
  <si>
    <t>CA-2014-160514</t>
  </si>
  <si>
    <t>David Bremer</t>
  </si>
  <si>
    <t>Santa Clara</t>
  </si>
  <si>
    <t>Xerox 4200 Series MultiUse Premium Copy Paper (20Lb. and 84 Bright)</t>
  </si>
  <si>
    <t>CA-2013-154739</t>
  </si>
  <si>
    <t>Logan Haushalter</t>
  </si>
  <si>
    <t>Global Leather Highback Executive Chair with Pneumatic Height Adjustment, Black</t>
  </si>
  <si>
    <t>CA-2013-145625</t>
  </si>
  <si>
    <t>Kelly Collister</t>
  </si>
  <si>
    <t>San Diego</t>
  </si>
  <si>
    <t>Wirebound Message Books, Two 4 1/4" x 5" Forms per Page</t>
  </si>
  <si>
    <t>CA-2012-155040</t>
  </si>
  <si>
    <t>Alan Hwang</t>
  </si>
  <si>
    <t>Brentwood</t>
  </si>
  <si>
    <t>Microsoft Sculpt Comfort Mouse</t>
  </si>
  <si>
    <t>CA-2014-163979</t>
  </si>
  <si>
    <t>Kristen Hastings</t>
  </si>
  <si>
    <t>Adjustable Depth Letter/Legal Cart</t>
  </si>
  <si>
    <t>CA-2012-155334</t>
  </si>
  <si>
    <t>Logitech 910-002974 M325 Wireless Mouse for Web Scrolling</t>
  </si>
  <si>
    <t>CA-2014-118136</t>
  </si>
  <si>
    <t>Barry Blumstein</t>
  </si>
  <si>
    <t>Inglewood</t>
  </si>
  <si>
    <t>Ampad Gold Fibre Wirebound Steno Books, 6" x 9", Gregg Ruled</t>
  </si>
  <si>
    <t>CA-2012-130890</t>
  </si>
  <si>
    <t>Jas O'Carroll</t>
  </si>
  <si>
    <t>Bevis Round Bullnose 29" High Table Top</t>
  </si>
  <si>
    <t>CA-2012-130883</t>
  </si>
  <si>
    <t>Tracy Blumstein</t>
  </si>
  <si>
    <t>CA-2011-111451</t>
  </si>
  <si>
    <t>Kelly Lampkin</t>
  </si>
  <si>
    <t>Colorado Springs</t>
  </si>
  <si>
    <t>Howard Miller 13" Diameter Goldtone Round Wall Clock</t>
  </si>
  <si>
    <t>CA-2013-142902</t>
  </si>
  <si>
    <t>Ben Peterman</t>
  </si>
  <si>
    <t>Arvada</t>
  </si>
  <si>
    <t>C-Line Cubicle Keepers Polyproplyene Holder With Velcro Backings</t>
  </si>
  <si>
    <t>CA-2011-156601</t>
  </si>
  <si>
    <t>Frank Atkinson</t>
  </si>
  <si>
    <t>Long Beach</t>
  </si>
  <si>
    <t>Fasteners</t>
  </si>
  <si>
    <t>OIC Binder Clips</t>
  </si>
  <si>
    <t>CA-2013-162138</t>
  </si>
  <si>
    <t>Grace Kelly</t>
  </si>
  <si>
    <t>Hesperia</t>
  </si>
  <si>
    <t>Ibico Laser Imprintable Binding System Covers</t>
  </si>
  <si>
    <t>CA-2012-137946</t>
  </si>
  <si>
    <t>Doug Bickford</t>
  </si>
  <si>
    <t>Storex Dura Pro Binders</t>
  </si>
  <si>
    <t>CA-2011-129924</t>
  </si>
  <si>
    <t>Alyssa Crouse</t>
  </si>
  <si>
    <t>Tuff Stuff Recycled Round Ring Binders</t>
  </si>
  <si>
    <t>CA-2012-128167</t>
  </si>
  <si>
    <t>Ken Lonsdale</t>
  </si>
  <si>
    <t>Layton</t>
  </si>
  <si>
    <t>OIC Binder Clips, Mini, 1/4" Capacity, Black</t>
  </si>
  <si>
    <t>CA-2014-169901</t>
  </si>
  <si>
    <t>Clay Cheatham</t>
  </si>
  <si>
    <t>Anker 36W 4-Port USB Wall Charger Travel Power Adapter for iPhone 5s 5c 5</t>
  </si>
  <si>
    <t>CA-2011-123344</t>
  </si>
  <si>
    <t>Julia Dunbar</t>
  </si>
  <si>
    <t>Gould Plastics 9-Pocket Panel Bin, 18-3/8w x 5-1/4d x 20-1/2h, Black</t>
  </si>
  <si>
    <t>US-2011-119137</t>
  </si>
  <si>
    <t>Arthur Gainer</t>
  </si>
  <si>
    <t>Tucson</t>
  </si>
  <si>
    <t>Wilson Jones Custom Binder Spines &amp; Labels</t>
  </si>
  <si>
    <t>CA-2013-134775</t>
  </si>
  <si>
    <t>Alejandro Savely</t>
  </si>
  <si>
    <t>Southworth Structures Collection</t>
  </si>
  <si>
    <t>US-2011-135972</t>
  </si>
  <si>
    <t>Jack Garza</t>
  </si>
  <si>
    <t>Des Moines</t>
  </si>
  <si>
    <t>Nortel Meridian M3904 Professional Digital phone</t>
  </si>
  <si>
    <t>CA-2014-102946</t>
  </si>
  <si>
    <t>Victor Preis</t>
  </si>
  <si>
    <t>Las Vegas</t>
  </si>
  <si>
    <t>Nevada</t>
  </si>
  <si>
    <t>Tuf-Vin Binders</t>
  </si>
  <si>
    <t>CA-2014-117457</t>
  </si>
  <si>
    <t>Keith Herrera</t>
  </si>
  <si>
    <t>Sony 64GB Class 10 Micro SDHC R40 Memory Card</t>
  </si>
  <si>
    <t>CA-2014-142636</t>
  </si>
  <si>
    <t>Kimberly Carter</t>
  </si>
  <si>
    <t>Xerox 191</t>
  </si>
  <si>
    <t>CA-2014-122105</t>
  </si>
  <si>
    <t>Caroline Jumper</t>
  </si>
  <si>
    <t>Huntington Beach</t>
  </si>
  <si>
    <t>Bulldog Vacuum Base Pencil Sharpener</t>
  </si>
  <si>
    <t>CA-2013-148796</t>
  </si>
  <si>
    <t>Philip Brown</t>
  </si>
  <si>
    <t>Bevis Steel Folding Chairs</t>
  </si>
  <si>
    <t>CA-2014-110478</t>
  </si>
  <si>
    <t>Sung Pak</t>
  </si>
  <si>
    <t>American Pencil</t>
  </si>
  <si>
    <t>CA-2011-142048</t>
  </si>
  <si>
    <t>Joel Eaton</t>
  </si>
  <si>
    <t>Louisville</t>
  </si>
  <si>
    <t>KeyTronic 6101 Series - Keyboard - Black</t>
  </si>
  <si>
    <t>US-2011-110674</t>
  </si>
  <si>
    <t>Sanjit Chand</t>
  </si>
  <si>
    <t>Concord</t>
  </si>
  <si>
    <t>Global Geo Office Task Chair, Gray</t>
  </si>
  <si>
    <t>CA-2012-109638</t>
  </si>
  <si>
    <t>Joseph Holt</t>
  </si>
  <si>
    <t>3M Office Air Cleaner</t>
  </si>
  <si>
    <t>CA-2013-109869</t>
  </si>
  <si>
    <t>Tanja Norvell</t>
  </si>
  <si>
    <t>Eldon Wave Desk Accessories</t>
  </si>
  <si>
    <t>CA-2011-144666</t>
  </si>
  <si>
    <t>Jeremy Pistek</t>
  </si>
  <si>
    <t>SAFCO Boltless Steel Shelving</t>
  </si>
  <si>
    <t>CA-2013-103891</t>
  </si>
  <si>
    <t>Cisco SPA525G2 IP Phone - Wireless</t>
  </si>
  <si>
    <t>CA-2011-134677</t>
  </si>
  <si>
    <t>Xylona Preis</t>
  </si>
  <si>
    <t>Imation USB 2.0 Swivel Flash Drive USB flash drive - 4 GB - Pink</t>
  </si>
  <si>
    <t>CA-2014-140963</t>
  </si>
  <si>
    <t>Michelle Tran</t>
  </si>
  <si>
    <t>Alphabetical Labels for Top Tab Filing</t>
  </si>
  <si>
    <t>CA-2013-169166</t>
  </si>
  <si>
    <t>Sonia Sunley</t>
  </si>
  <si>
    <t>Sony Micro Vault Click 8 GB USB 2.0 Flash Drive</t>
  </si>
  <si>
    <t>CA-2013-126158</t>
  </si>
  <si>
    <t>Costa Mesa</t>
  </si>
  <si>
    <t>Clear Mylar Reinforcing Strips</t>
  </si>
  <si>
    <t>US-2013-105578</t>
  </si>
  <si>
    <t>Maribeth Yedwab</t>
  </si>
  <si>
    <t>Parker</t>
  </si>
  <si>
    <t>Vinyl Sectional Post Binders</t>
  </si>
  <si>
    <t>CA-2014-163405</t>
  </si>
  <si>
    <t>Bradley Nguyen</t>
  </si>
  <si>
    <t>Newell 327</t>
  </si>
  <si>
    <t>CA-2014-127432</t>
  </si>
  <si>
    <t>Alan Dominguez</t>
  </si>
  <si>
    <t>Great Falls</t>
  </si>
  <si>
    <t>Montana</t>
  </si>
  <si>
    <t>Copiers</t>
  </si>
  <si>
    <t>Canon Image Class D660 Copier</t>
  </si>
  <si>
    <t>US-2013-139486</t>
  </si>
  <si>
    <t>Motorola HK250 Universal Bluetooth Headset</t>
  </si>
  <si>
    <t>CA-2012-102848</t>
  </si>
  <si>
    <t>Karen Bern</t>
  </si>
  <si>
    <t>Safco Contoured Stacking Chairs</t>
  </si>
  <si>
    <t>US-2014-129441</t>
  </si>
  <si>
    <t>Jasper Cacioppo</t>
  </si>
  <si>
    <t>Tenex Chairmats For Use With Carpeted Floors</t>
  </si>
  <si>
    <t>CA-2013-126613</t>
  </si>
  <si>
    <t>Allen Armold</t>
  </si>
  <si>
    <t>Mesa</t>
  </si>
  <si>
    <t>Sterilite Officeware Hinged File Box</t>
  </si>
  <si>
    <t>CA-2013-136924</t>
  </si>
  <si>
    <t>Erin Smith</t>
  </si>
  <si>
    <t>LG Electronics Tone+ HBS-730 Bluetooth Headset</t>
  </si>
  <si>
    <t>CA-2013-136406</t>
  </si>
  <si>
    <t>Bill Donatelli</t>
  </si>
  <si>
    <t>HON 5400 Series Task Chairs for Big and Tall</t>
  </si>
  <si>
    <t>CA-2014-100650</t>
  </si>
  <si>
    <t>Dean Katz</t>
  </si>
  <si>
    <t>Anaheim</t>
  </si>
  <si>
    <t>Tennsco 16-Compartment Lockers with Coat Rack</t>
  </si>
  <si>
    <t>CA-2013-113243</t>
  </si>
  <si>
    <t>Olvera Toch</t>
  </si>
  <si>
    <t>Avery 473</t>
  </si>
  <si>
    <t>CA-2014-118731</t>
  </si>
  <si>
    <t>Liz Pelletier</t>
  </si>
  <si>
    <t>Coloredge Poster Frame</t>
  </si>
  <si>
    <t>CA-2012-130736</t>
  </si>
  <si>
    <t>Jeremy Farry</t>
  </si>
  <si>
    <t>Alliance Big Bands Rubber Bands, 12/Pack</t>
  </si>
  <si>
    <t>CA-2014-137099</t>
  </si>
  <si>
    <t>Frank Preis</t>
  </si>
  <si>
    <t>Cisco SPA301</t>
  </si>
  <si>
    <t>CA-2014-156951</t>
  </si>
  <si>
    <t>Ellis Ballard</t>
  </si>
  <si>
    <t>Personal Creations Ink Jet Cards and Labels</t>
  </si>
  <si>
    <t>CA-2013-127250</t>
  </si>
  <si>
    <t>Sarah Foster</t>
  </si>
  <si>
    <t>Marysville</t>
  </si>
  <si>
    <t>Newell 332</t>
  </si>
  <si>
    <t>CA-2012-149713</t>
  </si>
  <si>
    <t>Trudy Glocke</t>
  </si>
  <si>
    <t>CA-2012-132906</t>
  </si>
  <si>
    <t>Charles Crestani</t>
  </si>
  <si>
    <t>Supplies</t>
  </si>
  <si>
    <t>Martin-Yale Premier Letter Opener</t>
  </si>
  <si>
    <t>CA-2014-145233</t>
  </si>
  <si>
    <t>Dianna Vittorini</t>
  </si>
  <si>
    <t>GE 30524EE4</t>
  </si>
  <si>
    <t>US-2013-156986</t>
  </si>
  <si>
    <t>Zuschuss Carroll</t>
  </si>
  <si>
    <t>Salem</t>
  </si>
  <si>
    <t>i.Sound Portable Power - 8000 mAh</t>
  </si>
  <si>
    <t>CA-2011-131450</t>
  </si>
  <si>
    <t>Lena Radford</t>
  </si>
  <si>
    <t>Fellowes Superior 10 Outlet Split Surge Protector</t>
  </si>
  <si>
    <t>CA-2014-153787</t>
  </si>
  <si>
    <t>Annie Thurman</t>
  </si>
  <si>
    <t>Belkin Premiere Surge Master II 8-outlet surge protector</t>
  </si>
  <si>
    <t>CA-2014-133431</t>
  </si>
  <si>
    <t>Logan Currie</t>
  </si>
  <si>
    <t>Acco Pressboard Covers with Storage Hooks, 9 1/2" x 11", Executive Red</t>
  </si>
  <si>
    <t>US-2013-135720</t>
  </si>
  <si>
    <t>Fred McMath</t>
  </si>
  <si>
    <t>Tennsco Regal Shelving Units</t>
  </si>
  <si>
    <t>US-2013-123470</t>
  </si>
  <si>
    <t>Max Engle</t>
  </si>
  <si>
    <t>Premium Transparent Presentation Covers by GBC</t>
  </si>
  <si>
    <t>CA-2013-115917</t>
  </si>
  <si>
    <t>Rick Bensley</t>
  </si>
  <si>
    <t>Vallejo</t>
  </si>
  <si>
    <t>Luxo Professional Fluorescent Magnifier Lamp with Clamp-Mount Base</t>
  </si>
  <si>
    <t>CA-2014-167913</t>
  </si>
  <si>
    <t>John Lee</t>
  </si>
  <si>
    <t>Mission Viejo</t>
  </si>
  <si>
    <t>Economy Rollaway Files</t>
  </si>
  <si>
    <t>CA-2013-103947</t>
  </si>
  <si>
    <t>Sierra Vista</t>
  </si>
  <si>
    <t>CA-2013-160745</t>
  </si>
  <si>
    <t>Anthony Rawles</t>
  </si>
  <si>
    <t>Vancouver</t>
  </si>
  <si>
    <t>3M Hangers With Command Adhesive</t>
  </si>
  <si>
    <t>CA-2012-131534</t>
  </si>
  <si>
    <t>Alan Barnes</t>
  </si>
  <si>
    <t>Imation Bio 8GB USB Flash Drive Imation Corp</t>
  </si>
  <si>
    <t>CA-2013-163755</t>
  </si>
  <si>
    <t>Tenex "The Solids" Textured Chair Mats</t>
  </si>
  <si>
    <t>CA-2012-142027</t>
  </si>
  <si>
    <t>Jay Kimmel</t>
  </si>
  <si>
    <t>Laminate Occasional Tables</t>
  </si>
  <si>
    <t>CA-2011-153150</t>
  </si>
  <si>
    <t>Dorris liebe</t>
  </si>
  <si>
    <t>Cardinal Holdit Business Card Pockets</t>
  </si>
  <si>
    <t>CA-2011-104472</t>
  </si>
  <si>
    <t>Christine Kargatis</t>
  </si>
  <si>
    <t>GBC Standard Therm-A-Bind Covers</t>
  </si>
  <si>
    <t>CA-2013-112942</t>
  </si>
  <si>
    <t>Ross DeVincentis</t>
  </si>
  <si>
    <t>Tops Green Bar Computer Printout Paper</t>
  </si>
  <si>
    <t>CA-2014-131954</t>
  </si>
  <si>
    <t>Darrin Sayre</t>
  </si>
  <si>
    <t>Carina Double Wide Media Storage Towers in Natural &amp; Black</t>
  </si>
  <si>
    <t>CA-2011-132500</t>
  </si>
  <si>
    <t>Gary Zandusky</t>
  </si>
  <si>
    <t>Logitech Wireless Touch Keyboard K400</t>
  </si>
  <si>
    <t>CA-2011-124429</t>
  </si>
  <si>
    <t>Maya Herman</t>
  </si>
  <si>
    <t>KI Conference Tables</t>
  </si>
  <si>
    <t>CA-2013-110499</t>
  </si>
  <si>
    <t>Yoseph Carroll</t>
  </si>
  <si>
    <t>Hewlett Packard 610 Color Digital Copier / Printer</t>
  </si>
  <si>
    <t>CA-2012-135272</t>
  </si>
  <si>
    <t>Melanie Seite</t>
  </si>
  <si>
    <t>12-1/2 Diameter Round Wall Clock</t>
  </si>
  <si>
    <t>CA-2012-112319</t>
  </si>
  <si>
    <t>Andrew Roberts</t>
  </si>
  <si>
    <t>Xerox 226</t>
  </si>
  <si>
    <t>CA-2012-144267</t>
  </si>
  <si>
    <t>Nick Zandusky</t>
  </si>
  <si>
    <t>Hon GuestStacker Chair</t>
  </si>
  <si>
    <t>CA-2014-129567</t>
  </si>
  <si>
    <t>Clay Ludtke</t>
  </si>
  <si>
    <t>Lancaster</t>
  </si>
  <si>
    <t>Heavy-Duty E-Z-D Binders</t>
  </si>
  <si>
    <t>CA-2012-154620</t>
  </si>
  <si>
    <t>Liz Thompson</t>
  </si>
  <si>
    <t>Lifetime Advantage Folding Chairs, 4/Carton</t>
  </si>
  <si>
    <t>CA-2011-156433</t>
  </si>
  <si>
    <t>Erica Smith</t>
  </si>
  <si>
    <t>Avery 499</t>
  </si>
  <si>
    <t>CA-2012-101910</t>
  </si>
  <si>
    <t>Carlos Daly</t>
  </si>
  <si>
    <t>Lake Elsinore</t>
  </si>
  <si>
    <t>Situations Contoured Folding Chairs, 4/Set</t>
  </si>
  <si>
    <t>CA-2014-105809</t>
  </si>
  <si>
    <t>Helen Wasserman</t>
  </si>
  <si>
    <t>Executive Impressions 14" Contract Wall Clock</t>
  </si>
  <si>
    <t>CA-2014-135783</t>
  </si>
  <si>
    <t>Gary McGarr</t>
  </si>
  <si>
    <t>Eldon Stackable Tray, Side-Load, Legal, Smoke</t>
  </si>
  <si>
    <t>CA-2011-134313</t>
  </si>
  <si>
    <t>Russell Applegate</t>
  </si>
  <si>
    <t>Model L Table or Wall-Mount Pencil Sharpener</t>
  </si>
  <si>
    <t>CA-2011-151995</t>
  </si>
  <si>
    <t>Edmonds</t>
  </si>
  <si>
    <t>Newell 32</t>
  </si>
  <si>
    <t>CA-2014-143686</t>
  </si>
  <si>
    <t>Pauline Johnson</t>
  </si>
  <si>
    <t>Santa Ana</t>
  </si>
  <si>
    <t>US-2011-102071</t>
  </si>
  <si>
    <t>Patrick Gardner</t>
  </si>
  <si>
    <t>Kingston Digital DataTraveler 32GB USB 2.0</t>
  </si>
  <si>
    <t>CA-2013-161669</t>
  </si>
  <si>
    <t>Eudokia Martin</t>
  </si>
  <si>
    <t>Fellowes Binding Cases</t>
  </si>
  <si>
    <t>CA-2013-152534</t>
  </si>
  <si>
    <t>Dave Poirier</t>
  </si>
  <si>
    <t>Salinas</t>
  </si>
  <si>
    <t>DIXON Oriole Pencils</t>
  </si>
  <si>
    <t>CA-2011-133851</t>
  </si>
  <si>
    <t>Chuck Magee</t>
  </si>
  <si>
    <t>US-2014-123463</t>
  </si>
  <si>
    <t>Binney &amp; Smith Crayola Metallic Crayons, 16-Color Pack</t>
  </si>
  <si>
    <t>CA-2012-143602</t>
  </si>
  <si>
    <t>Jill Stevenson</t>
  </si>
  <si>
    <t>Fellowes Black Plastic Comb Bindings</t>
  </si>
  <si>
    <t>CA-2014-115364</t>
  </si>
  <si>
    <t>Eldon Shelf Savers Cubes and Bins</t>
  </si>
  <si>
    <t>CA-2011-104976</t>
  </si>
  <si>
    <t>Cyma Kinney</t>
  </si>
  <si>
    <t>Xerox 1987</t>
  </si>
  <si>
    <t>CA-2013-105494</t>
  </si>
  <si>
    <t>Pamela Coakley</t>
  </si>
  <si>
    <t>File Shuttle I and Handi-File</t>
  </si>
  <si>
    <t>CA-2013-130477</t>
  </si>
  <si>
    <t>Xerox 1923</t>
  </si>
  <si>
    <t>US-2014-111745</t>
  </si>
  <si>
    <t>Farmington</t>
  </si>
  <si>
    <t>NETGEAR AC1750 Dual Band Gigabit Smart WiFi Router</t>
  </si>
  <si>
    <t>CA-2012-148250</t>
  </si>
  <si>
    <t>Rachel Payne</t>
  </si>
  <si>
    <t>Riverside</t>
  </si>
  <si>
    <t>Xerox 213</t>
  </si>
  <si>
    <t>CA-2013-105760</t>
  </si>
  <si>
    <t>Karen Carlisle</t>
  </si>
  <si>
    <t>Message Book, Standard Line "While You Were Out", 5 1/2" X 4", 200 Sets/Book</t>
  </si>
  <si>
    <t>CA-2013-142958</t>
  </si>
  <si>
    <t>Rob Williams</t>
  </si>
  <si>
    <t>Torrance</t>
  </si>
  <si>
    <t>Acco Pressboard Covers with Storage Hooks, 14 7/8" x 11", Dark Blue</t>
  </si>
  <si>
    <t>CA-2012-120880</t>
  </si>
  <si>
    <t>John Lucas</t>
  </si>
  <si>
    <t>Xerox 1894</t>
  </si>
  <si>
    <t>US-2012-140200</t>
  </si>
  <si>
    <t>Cynthia Arntzen</t>
  </si>
  <si>
    <t>Bevis Boat-Shaped Conference Table</t>
  </si>
  <si>
    <t>CA-2014-102414</t>
  </si>
  <si>
    <t>Joseph Airdo</t>
  </si>
  <si>
    <t>Logitech B530 USB Headset - headset - Full size, Binaural</t>
  </si>
  <si>
    <t>CA-2012-112571</t>
  </si>
  <si>
    <t>Daniel Lacy</t>
  </si>
  <si>
    <t>Oceanside</t>
  </si>
  <si>
    <t>Luxo Professional Combination Clamp-On Lamps</t>
  </si>
  <si>
    <t>CA-2014-152142</t>
  </si>
  <si>
    <t>Lindsay Williams</t>
  </si>
  <si>
    <t>CA-2013-120859</t>
  </si>
  <si>
    <t>Cynthia Voltz</t>
  </si>
  <si>
    <t>White Business Envelopes with Contemporary Seam, Recycled White Business Envelopes</t>
  </si>
  <si>
    <t>US-2014-100209</t>
  </si>
  <si>
    <t>Tamara Dahlen</t>
  </si>
  <si>
    <t>Wilson Jones Easy Flow II Sheet Lifters</t>
  </si>
  <si>
    <t>CA-2011-163419</t>
  </si>
  <si>
    <t>Tracy Zic</t>
  </si>
  <si>
    <t>BIC Brite Liner Grip Highlighters, Assorted, 5/Pack</t>
  </si>
  <si>
    <t>CA-2013-105585</t>
  </si>
  <si>
    <t>Roland Fjeld</t>
  </si>
  <si>
    <t>Advantus SlideClip Paper Clips</t>
  </si>
  <si>
    <t>CA-2013-155488</t>
  </si>
  <si>
    <t>Boston 16801 Nautilus Battery Pencil Sharpener</t>
  </si>
  <si>
    <t>CA-2012-126445</t>
  </si>
  <si>
    <t>Ryan Akin</t>
  </si>
  <si>
    <t>Murrieta</t>
  </si>
  <si>
    <t>Fellowes Super Stor/Drawer Files</t>
  </si>
  <si>
    <t>CA-2012-105312</t>
  </si>
  <si>
    <t>Meg Tillman</t>
  </si>
  <si>
    <t>Redi-Strip #10 Envelopes, 4 1/8 x 9 1/2</t>
  </si>
  <si>
    <t>CA-2011-158540</t>
  </si>
  <si>
    <t>Vivek Gonzalez</t>
  </si>
  <si>
    <t>Eldon Delta Triangular Chair Mat, 52" x 58", Clear</t>
  </si>
  <si>
    <t>CA-2014-118437</t>
  </si>
  <si>
    <t>Philip Fox</t>
  </si>
  <si>
    <t>Olympia</t>
  </si>
  <si>
    <t>Howard Miller 13-3/4" Diameter Brushed Chrome Round Wall Clock</t>
  </si>
  <si>
    <t>US-2012-126214</t>
  </si>
  <si>
    <t>John Stevenson</t>
  </si>
  <si>
    <t>Bevis 36 x 72 Conference Tables</t>
  </si>
  <si>
    <t>CA-2012-133025</t>
  </si>
  <si>
    <t>Meg O'Connel</t>
  </si>
  <si>
    <t>Xerox 216</t>
  </si>
  <si>
    <t>CA-2014-106964</t>
  </si>
  <si>
    <t>Hallie Redmond</t>
  </si>
  <si>
    <t>GBC Plastic Binding Combs</t>
  </si>
  <si>
    <t>CA-2012-127418</t>
  </si>
  <si>
    <t>Jennifer Jackson</t>
  </si>
  <si>
    <t>Aluminum Screw Posts</t>
  </si>
  <si>
    <t>CA-2011-139192</t>
  </si>
  <si>
    <t>Plantronics HL10 Handset Lifter</t>
  </si>
  <si>
    <t>CA-2014-167150</t>
  </si>
  <si>
    <t>Avery Hole Reinforcements</t>
  </si>
  <si>
    <t>CA-2013-157686</t>
  </si>
  <si>
    <t>Brian DeCherney</t>
  </si>
  <si>
    <t>Global Value Mid-Back Manager's Chair, Gray</t>
  </si>
  <si>
    <t>CA-2012-144652</t>
  </si>
  <si>
    <t>Skye Norling</t>
  </si>
  <si>
    <t>Newell 333</t>
  </si>
  <si>
    <t>CA-2013-152814</t>
  </si>
  <si>
    <t>Erica Hernandez</t>
  </si>
  <si>
    <t>Xerox 1881</t>
  </si>
  <si>
    <t>CA-2013-134348</t>
  </si>
  <si>
    <t>Maurice Satty</t>
  </si>
  <si>
    <t>Avery Durable Slant Ring Binders With Label Holder</t>
  </si>
  <si>
    <t>CA-2014-132521</t>
  </si>
  <si>
    <t>Don Weiss</t>
  </si>
  <si>
    <t>Belkin 8 Outlet SurgeMaster II Gold Surge Protector</t>
  </si>
  <si>
    <t>CA-2013-166163</t>
  </si>
  <si>
    <t>Craig Yedwab</t>
  </si>
  <si>
    <t>Oakland</t>
  </si>
  <si>
    <t>Nokia Lumia 521 (T-Mobile)</t>
  </si>
  <si>
    <t>CA-2012-143490</t>
  </si>
  <si>
    <t>Naresj Patel</t>
  </si>
  <si>
    <t>Stanley Contemporary Battery Pencil Sharpeners</t>
  </si>
  <si>
    <t>CA-2011-159338</t>
  </si>
  <si>
    <t>Noel Staavos</t>
  </si>
  <si>
    <t>Hon 4060 Series Tables</t>
  </si>
  <si>
    <t>CA-2013-107216</t>
  </si>
  <si>
    <t>Paul Van Hugh</t>
  </si>
  <si>
    <t>Newell 326</t>
  </si>
  <si>
    <t>CA-2013-112340</t>
  </si>
  <si>
    <t>Neoma Murray</t>
  </si>
  <si>
    <t>Rediform Wirebound "Phone Memo" Message Book, 11 x 5-3/4</t>
  </si>
  <si>
    <t>CA-2014-140585</t>
  </si>
  <si>
    <t>Encinitas</t>
  </si>
  <si>
    <t>Binding Machine Supplies</t>
  </si>
  <si>
    <t>CA-2013-144855</t>
  </si>
  <si>
    <t>Dionis Lloyd</t>
  </si>
  <si>
    <t>Self-Adhesive Removable Labels</t>
  </si>
  <si>
    <t>US-2013-114776</t>
  </si>
  <si>
    <t>Greg Guthrie</t>
  </si>
  <si>
    <t>Antioch</t>
  </si>
  <si>
    <t>CA-2011-146969</t>
  </si>
  <si>
    <t>Arthur Prichep</t>
  </si>
  <si>
    <t>CA-2014-160395</t>
  </si>
  <si>
    <t>Reno</t>
  </si>
  <si>
    <t>Crayola Anti Dust Chalk, 12/Pack</t>
  </si>
  <si>
    <t>CA-2013-149314</t>
  </si>
  <si>
    <t>George Bell</t>
  </si>
  <si>
    <t>Hon Deluxe Fabric Upholstered Stacking Chairs</t>
  </si>
  <si>
    <t>CA-2011-126522</t>
  </si>
  <si>
    <t>Larry Tron</t>
  </si>
  <si>
    <t>Escondido</t>
  </si>
  <si>
    <t>BOSTON Model 1800 Electric Pencil Sharpeners, Putty/Woodgrain</t>
  </si>
  <si>
    <t>CA-2012-125416</t>
  </si>
  <si>
    <t>CA-2011-158064</t>
  </si>
  <si>
    <t>ACCOHIDE Binder by Acco</t>
  </si>
  <si>
    <t>CA-2011-120243</t>
  </si>
  <si>
    <t>Alyssa Tate</t>
  </si>
  <si>
    <t>CA-2011-127131</t>
  </si>
  <si>
    <t>Harold Ryan</t>
  </si>
  <si>
    <t>Peel &amp; Stick Add-On Corner Pockets</t>
  </si>
  <si>
    <t>CA-2014-117212</t>
  </si>
  <si>
    <t>Bradley Talbott</t>
  </si>
  <si>
    <t>Kensington 6 Outlet Guardian Standard Surge Protector</t>
  </si>
  <si>
    <t>CA-2013-114727</t>
  </si>
  <si>
    <t>Linda Southworth</t>
  </si>
  <si>
    <t>CA-2011-110184</t>
  </si>
  <si>
    <t>Ben Ferrer</t>
  </si>
  <si>
    <t>CA-2014-100013</t>
  </si>
  <si>
    <t>#10- 4 1/8" x 9 1/2" Security-Tint Envelopes</t>
  </si>
  <si>
    <t>CA-2011-127012</t>
  </si>
  <si>
    <t>Greg Matthias</t>
  </si>
  <si>
    <t>Eldon Image Series Desk Accessories, Ebony</t>
  </si>
  <si>
    <t>CA-2011-168494</t>
  </si>
  <si>
    <t>Nora Preis</t>
  </si>
  <si>
    <t>Fresno</t>
  </si>
  <si>
    <t>Hon Non-Folding Utility Tables</t>
  </si>
  <si>
    <t>CA-2014-110380</t>
  </si>
  <si>
    <t>Phillip Flathmann</t>
  </si>
  <si>
    <t>Pencil and Crayon Sharpener</t>
  </si>
  <si>
    <t>US-2011-167738</t>
  </si>
  <si>
    <t>Julie Creighton</t>
  </si>
  <si>
    <t>Letter Size Cart</t>
  </si>
  <si>
    <t>CA-2014-121412</t>
  </si>
  <si>
    <t>Brooke Gillingham</t>
  </si>
  <si>
    <t>Aluminum Document Frame</t>
  </si>
  <si>
    <t>CA-2013-163384</t>
  </si>
  <si>
    <t>Chuck Clark</t>
  </si>
  <si>
    <t>ACCOHIDE 3-Ring Binder, Blue, 1"</t>
  </si>
  <si>
    <t>CA-2012-101707</t>
  </si>
  <si>
    <t>Fiskars Softgrip Scissors</t>
  </si>
  <si>
    <t>CA-2012-138898</t>
  </si>
  <si>
    <t>Justin Hirsh</t>
  </si>
  <si>
    <t>Pueblo</t>
  </si>
  <si>
    <t>Kensington 4 Outlet MasterPiece Compact Power Control Center</t>
  </si>
  <si>
    <t>CA-2014-115427</t>
  </si>
  <si>
    <t>Erica Bern</t>
  </si>
  <si>
    <t>Fairfield</t>
  </si>
  <si>
    <t>Cardinal Slant-D Ring Binder, Heavy Gauge Vinyl</t>
  </si>
  <si>
    <t>CA-2012-121391</t>
  </si>
  <si>
    <t>Alex Avila</t>
  </si>
  <si>
    <t>Tenex Personal Project File with Scoop Front Design, Black</t>
  </si>
  <si>
    <t>CA-2013-141397</t>
  </si>
  <si>
    <t>Roy Collins</t>
  </si>
  <si>
    <t>Xerox 1898</t>
  </si>
  <si>
    <t>CA-2013-145919</t>
  </si>
  <si>
    <t>Henry Goldwyn</t>
  </si>
  <si>
    <t>Eureka Recycled Copy Paper 8 1/2" x 11", Ream</t>
  </si>
  <si>
    <t>CA-2014-106033</t>
  </si>
  <si>
    <t>Frank Gastineau</t>
  </si>
  <si>
    <t>Panasonic KP-310 Heavy-Duty Electric Pencil Sharpener</t>
  </si>
  <si>
    <t>CA-2013-142762</t>
  </si>
  <si>
    <t>Lisa DeCherney</t>
  </si>
  <si>
    <t>CA-2011-121664</t>
  </si>
  <si>
    <t>Harold Pawlan</t>
  </si>
  <si>
    <t>Wilson Jones Legal Size Ring Binders</t>
  </si>
  <si>
    <t>US-2014-123281</t>
  </si>
  <si>
    <t>Jamie Frazer</t>
  </si>
  <si>
    <t>Westinghouse Clip-On Gooseneck Lamps</t>
  </si>
  <si>
    <t>CA-2014-162978</t>
  </si>
  <si>
    <t>Motorola L804</t>
  </si>
  <si>
    <t>US-2011-151925</t>
  </si>
  <si>
    <t>Kean Takahito</t>
  </si>
  <si>
    <t>Leather Task Chair, Black</t>
  </si>
  <si>
    <t>US-2014-155425</t>
  </si>
  <si>
    <t>Ann Blume</t>
  </si>
  <si>
    <t>Cardinal EasyOpen D-Ring Binders</t>
  </si>
  <si>
    <t>CA-2014-133249</t>
  </si>
  <si>
    <t>Sam Zeldin</t>
  </si>
  <si>
    <t>Pico Rivera</t>
  </si>
  <si>
    <t>Deflect-o SuperTray Unbreakable Stackable Tray, Letter, Black</t>
  </si>
  <si>
    <t>US-2012-103471</t>
  </si>
  <si>
    <t>Jim Radford</t>
  </si>
  <si>
    <t>Bookcases</t>
  </si>
  <si>
    <t>Atlantic Metals Mobile 4-Shelf Bookcases, Custom Colors</t>
  </si>
  <si>
    <t>US-2011-157021</t>
  </si>
  <si>
    <t>Avery 490</t>
  </si>
  <si>
    <t>CA-2012-120362</t>
  </si>
  <si>
    <t>Christina Anderson</t>
  </si>
  <si>
    <t>Provo</t>
  </si>
  <si>
    <t>Lesro Round Back Collection Coffee Table, End Table</t>
  </si>
  <si>
    <t>CA-2011-126361</t>
  </si>
  <si>
    <t>Valerie Dominguez</t>
  </si>
  <si>
    <t>Pleasant Grove</t>
  </si>
  <si>
    <t>Hoover WindTunnel Plus Canister Vacuum</t>
  </si>
  <si>
    <t>US-2013-122245</t>
  </si>
  <si>
    <t>Adrian Barton</t>
  </si>
  <si>
    <t>CA-2014-115994</t>
  </si>
  <si>
    <t>Beth Thompson</t>
  </si>
  <si>
    <t>Logitech G13 Programmable Gameboard with LCD Display</t>
  </si>
  <si>
    <t>CA-2012-124800</t>
  </si>
  <si>
    <t>Rick Wilson</t>
  </si>
  <si>
    <t>Petty Cash Envelope</t>
  </si>
  <si>
    <t>US-2012-164448</t>
  </si>
  <si>
    <t>Damala Kotsonis</t>
  </si>
  <si>
    <t>Prestige Round Ring Binders</t>
  </si>
  <si>
    <t>US-2013-153129</t>
  </si>
  <si>
    <t>Strathmore Photo Mount Cards</t>
  </si>
  <si>
    <t>CA-2014-128160</t>
  </si>
  <si>
    <t>Michael Moore</t>
  </si>
  <si>
    <t>Deluxe Heavy-Duty Vinyl Round Ring Binder</t>
  </si>
  <si>
    <t>CA-2012-166135</t>
  </si>
  <si>
    <t>Shaun Chance</t>
  </si>
  <si>
    <t>Trav-L-File Heavy-Duty Shuttle II, Black</t>
  </si>
  <si>
    <t>CA-2012-145821</t>
  </si>
  <si>
    <t>Jennifer Braxton</t>
  </si>
  <si>
    <t>OtterBox Defender Series Case - iPhone 5c</t>
  </si>
  <si>
    <t>US-2012-160150</t>
  </si>
  <si>
    <t>Thais Sissman</t>
  </si>
  <si>
    <t>Wilson Jones DublLock D-Ring Binders</t>
  </si>
  <si>
    <t>CA-2012-119907</t>
  </si>
  <si>
    <t>Wilson Jones Heavy-Duty Casebound Ring Binders with Metal Hinges</t>
  </si>
  <si>
    <t>CA-2011-151708</t>
  </si>
  <si>
    <t>Maria Bertelson</t>
  </si>
  <si>
    <t>Glendale</t>
  </si>
  <si>
    <t>CA-2014-164959</t>
  </si>
  <si>
    <t>Katherine Nockton</t>
  </si>
  <si>
    <t>Avery 482</t>
  </si>
  <si>
    <t>CA-2014-121468</t>
  </si>
  <si>
    <t>Westminster</t>
  </si>
  <si>
    <t>Square Credit Card Reader</t>
  </si>
  <si>
    <t>US-2013-108455</t>
  </si>
  <si>
    <t>Mike Kennedy</t>
  </si>
  <si>
    <t>Xerox 192</t>
  </si>
  <si>
    <t>US-2013-108098</t>
  </si>
  <si>
    <t>Christine Phan</t>
  </si>
  <si>
    <t>WD My Passport Ultra 500GB Portable External Hard Drive</t>
  </si>
  <si>
    <t>CA-2012-140410</t>
  </si>
  <si>
    <t>Corinna Mitchell</t>
  </si>
  <si>
    <t>Cisco IP Phone 7961G-GE VoIP phone</t>
  </si>
  <si>
    <t>CA-2014-139661</t>
  </si>
  <si>
    <t>Jane Waco</t>
  </si>
  <si>
    <t>Magna Visual Magnetic Picture Hangers</t>
  </si>
  <si>
    <t>CA-2013-141586</t>
  </si>
  <si>
    <t>Avery Durable Plastic 1" Binders</t>
  </si>
  <si>
    <t>CA-2013-100468</t>
  </si>
  <si>
    <t>iKross Bluetooth Portable Keyboard + Cell Phone Stand Holder + Brush for Apple iPhone 5S 5C 5, 4S 4</t>
  </si>
  <si>
    <t>CA-2012-153388</t>
  </si>
  <si>
    <t>Pauline Chand</t>
  </si>
  <si>
    <t>Prang Dustless Chalk Sticks</t>
  </si>
  <si>
    <t>CA-2014-103611</t>
  </si>
  <si>
    <t>Jessica Myrick</t>
  </si>
  <si>
    <t>Eldon Image Series Desk Accessories, Burgundy</t>
  </si>
  <si>
    <t>CA-2014-100384</t>
  </si>
  <si>
    <t>Nicole Hansen</t>
  </si>
  <si>
    <t>Pomona</t>
  </si>
  <si>
    <t>Boston Heavy-Duty Trimline Electric Pencil Sharpeners</t>
  </si>
  <si>
    <t>CA-2014-148446</t>
  </si>
  <si>
    <t>Michael Chen</t>
  </si>
  <si>
    <t>North Las Vegas</t>
  </si>
  <si>
    <t>Bretford Just In Time Height-Adjustable Multi-Task Work Tables</t>
  </si>
  <si>
    <t>CA-2011-111059</t>
  </si>
  <si>
    <t>Tom Boeckenhauer</t>
  </si>
  <si>
    <t>CA-2014-116204</t>
  </si>
  <si>
    <t>Victoria Wilson</t>
  </si>
  <si>
    <t>CA-2012-144806</t>
  </si>
  <si>
    <t>Gary Hwang</t>
  </si>
  <si>
    <t>Howard Miller 13" Diameter Pewter Finish Round Wall Clock</t>
  </si>
  <si>
    <t>CA-2014-159884</t>
  </si>
  <si>
    <t>Tempe</t>
  </si>
  <si>
    <t>Neat Ideas Personal Hanging Folder Files, Black</t>
  </si>
  <si>
    <t>CA-2014-124086</t>
  </si>
  <si>
    <t>Mike Pelletier</t>
  </si>
  <si>
    <t>Laguna Niguel</t>
  </si>
  <si>
    <t>Bush Andora Bookcase, Maple/Graphite Gray Finish</t>
  </si>
  <si>
    <t>CA-2011-107181</t>
  </si>
  <si>
    <t>Deborah Brumfield</t>
  </si>
  <si>
    <t>GBC Recycled Grain Textured Covers</t>
  </si>
  <si>
    <t>CA-2013-159345</t>
  </si>
  <si>
    <t>Ivan Gibson</t>
  </si>
  <si>
    <t>Xerox 1934</t>
  </si>
  <si>
    <t>CA-2012-111507</t>
  </si>
  <si>
    <t>Bellevue</t>
  </si>
  <si>
    <t>Newell 310</t>
  </si>
  <si>
    <t>CA-2012-112116</t>
  </si>
  <si>
    <t>Jeremy Ellison</t>
  </si>
  <si>
    <t>KI Adjustable-Height Table</t>
  </si>
  <si>
    <t>CA-2013-126809</t>
  </si>
  <si>
    <t>Edward Becker</t>
  </si>
  <si>
    <t>Acco Pressboard Covers with Storage Hooks, 14 7/8" x 11", Light Blue</t>
  </si>
  <si>
    <t>CA-2011-105172</t>
  </si>
  <si>
    <t>Paul Knutson</t>
  </si>
  <si>
    <t>Avery 518</t>
  </si>
  <si>
    <t>CA-2014-107293</t>
  </si>
  <si>
    <t>Christopher Schild</t>
  </si>
  <si>
    <t>CA-2012-132101</t>
  </si>
  <si>
    <t>Jesus Ocampo</t>
  </si>
  <si>
    <t>Wireless Extenders zBoost YX545 SOHO Signal Booster</t>
  </si>
  <si>
    <t>US-2014-152002</t>
  </si>
  <si>
    <t>White Dual Perf Computer Printout Paper, 2700 Sheets, 1 Part, Heavyweight, 20 lbs., 14 7/8 x 11</t>
  </si>
  <si>
    <t>US-2011-157385</t>
  </si>
  <si>
    <t>Novimex Swivel Fabric Task Chair</t>
  </si>
  <si>
    <t>CA-2012-122826</t>
  </si>
  <si>
    <t>Rick Duston</t>
  </si>
  <si>
    <t>Pyle PRT45 Retro Home Telephone</t>
  </si>
  <si>
    <t>CA-2011-117317</t>
  </si>
  <si>
    <t>Spiral Phone Message Books with Labels by Adams</t>
  </si>
  <si>
    <t>US-2013-115819</t>
  </si>
  <si>
    <t>PowerGen Dual USB Car Charger</t>
  </si>
  <si>
    <t>CA-2011-156349</t>
  </si>
  <si>
    <t>Marina Lichtenstein</t>
  </si>
  <si>
    <t>Sauder Inglewood Library Bookcases</t>
  </si>
  <si>
    <t>CA-2014-138380</t>
  </si>
  <si>
    <t>Yana Sorensen</t>
  </si>
  <si>
    <t>CA-2014-108560</t>
  </si>
  <si>
    <t>Jenna Caffey</t>
  </si>
  <si>
    <t>Kent</t>
  </si>
  <si>
    <t>GE 48" Fluorescent Tube, Cool White Energy Saver, 34 Watts, 30/Box</t>
  </si>
  <si>
    <t>CA-2012-157084</t>
  </si>
  <si>
    <t>James Galang</t>
  </si>
  <si>
    <t>ShoreTel ShorePhone IP 230 VoIP phone</t>
  </si>
  <si>
    <t>CA-2011-168984</t>
  </si>
  <si>
    <t>Natalie Webber</t>
  </si>
  <si>
    <t>Tigard</t>
  </si>
  <si>
    <t>Xerox 2</t>
  </si>
  <si>
    <t>CA-2012-111829</t>
  </si>
  <si>
    <t>Fred Hopkins</t>
  </si>
  <si>
    <t>Deluxe Rollaway Locking File with Drawer</t>
  </si>
  <si>
    <t>CA-2011-135699</t>
  </si>
  <si>
    <t>Hilary Holden</t>
  </si>
  <si>
    <t>Xerox 1940</t>
  </si>
  <si>
    <t>US-2014-132444</t>
  </si>
  <si>
    <t>Christina DeMoss</t>
  </si>
  <si>
    <t>Eldon Portable Mobile Manager</t>
  </si>
  <si>
    <t>CA-2014-161809</t>
  </si>
  <si>
    <t>Thea Hendricks</t>
  </si>
  <si>
    <t>RCA Visys Integrated PBX 8-Line Router</t>
  </si>
  <si>
    <t>CA-2014-127285</t>
  </si>
  <si>
    <t>Michelle Moray</t>
  </si>
  <si>
    <t>GBC Velobind Prepunched Cover Sets, Regency Series</t>
  </si>
  <si>
    <t>CA-2013-107615</t>
  </si>
  <si>
    <t>Robert Barroso</t>
  </si>
  <si>
    <t>Logitech ClearChat Comfort/USB Headset H390</t>
  </si>
  <si>
    <t>CA-2013-122728</t>
  </si>
  <si>
    <t>Eric Barreto</t>
  </si>
  <si>
    <t>Home/Office Personal File Carts</t>
  </si>
  <si>
    <t>US-2013-101497</t>
  </si>
  <si>
    <t>Pamela Stobb</t>
  </si>
  <si>
    <t>Xerox 1887</t>
  </si>
  <si>
    <t>CA-2013-147585</t>
  </si>
  <si>
    <t>Claudia Bergmann</t>
  </si>
  <si>
    <t>C-Line Magnetic Cubicle Keepers, Clear Polypropylene</t>
  </si>
  <si>
    <t>CA-2012-148376</t>
  </si>
  <si>
    <t>Belkin F9G930V10-GRY 9 Outlet Surge</t>
  </si>
  <si>
    <t>CA-2011-135657</t>
  </si>
  <si>
    <t>Steven Cartwright</t>
  </si>
  <si>
    <t>CA-2011-139857</t>
  </si>
  <si>
    <t>Cynthia Delaney</t>
  </si>
  <si>
    <t>CA-2013-106306</t>
  </si>
  <si>
    <t>GBC Standard Recycled Report Covers, Clear Plastic Sheets</t>
  </si>
  <si>
    <t>CA-2014-123491</t>
  </si>
  <si>
    <t>Jamie Kunitz</t>
  </si>
  <si>
    <t>Avery 500</t>
  </si>
  <si>
    <t>CA-2014-104003</t>
  </si>
  <si>
    <t>Debra Catini</t>
  </si>
  <si>
    <t>O'Sullivan Manor Hill 2-Door Library in Brianna Oak</t>
  </si>
  <si>
    <t>CA-2012-130204</t>
  </si>
  <si>
    <t>CA-2011-110527</t>
  </si>
  <si>
    <t>Emily Ducich</t>
  </si>
  <si>
    <t>Avery 494</t>
  </si>
  <si>
    <t>CA-2014-168837</t>
  </si>
  <si>
    <t>Joni Wasserman</t>
  </si>
  <si>
    <t>CA-2014-116715</t>
  </si>
  <si>
    <t>Fellowes Mobile File Cart, Black</t>
  </si>
  <si>
    <t>CA-2012-130785</t>
  </si>
  <si>
    <t>Sauder Camden County Barrister Bookcase, Planked Cherry Finish</t>
  </si>
  <si>
    <t>CA-2012-105347</t>
  </si>
  <si>
    <t>Darren Powers</t>
  </si>
  <si>
    <t>Xerox 1919</t>
  </si>
  <si>
    <t>CA-2013-100965</t>
  </si>
  <si>
    <t>Raymond Messe</t>
  </si>
  <si>
    <t>Howard Miller 11-1/2" Diameter Grantwood Wall Clock</t>
  </si>
  <si>
    <t>CA-2013-149461</t>
  </si>
  <si>
    <t>Adrian Shami</t>
  </si>
  <si>
    <t>Auburn</t>
  </si>
  <si>
    <t>US-2013-116729</t>
  </si>
  <si>
    <t>Samsung Galaxy Note 2</t>
  </si>
  <si>
    <t>CA-2012-131597</t>
  </si>
  <si>
    <t>Stefania Perrino</t>
  </si>
  <si>
    <t>CA-2012-164833</t>
  </si>
  <si>
    <t>Lauren Leatherbury</t>
  </si>
  <si>
    <t>Avery 501</t>
  </si>
  <si>
    <t>CA-2012-125423</t>
  </si>
  <si>
    <t>Matt Collins</t>
  </si>
  <si>
    <t>Avery 513</t>
  </si>
  <si>
    <t>CA-2013-167507</t>
  </si>
  <si>
    <t>Sue Ann Reed</t>
  </si>
  <si>
    <t>Redmond</t>
  </si>
  <si>
    <t>Avery 3 1/2" Diskette Storage Pages, 10/Pack</t>
  </si>
  <si>
    <t>US-2014-113852</t>
  </si>
  <si>
    <t>Giulietta Weimer</t>
  </si>
  <si>
    <t>Imation 8GB Mini TravelDrive USB 2.0 Flash Drive</t>
  </si>
  <si>
    <t>CA-2014-128370</t>
  </si>
  <si>
    <t>Frank Hawley</t>
  </si>
  <si>
    <t>DMI Arturo Collection Mission-style Design Wood Chair</t>
  </si>
  <si>
    <t>CA-2011-114643</t>
  </si>
  <si>
    <t>Filia McAdams</t>
  </si>
  <si>
    <t>US-2013-100839</t>
  </si>
  <si>
    <t>Noah Childs</t>
  </si>
  <si>
    <t>Hon 5100 Series Wood Tables</t>
  </si>
  <si>
    <t>CA-2014-118857</t>
  </si>
  <si>
    <t>Adam Hart</t>
  </si>
  <si>
    <t>Henderson</t>
  </si>
  <si>
    <t>Howard Miller 12" Round Wall Clock</t>
  </si>
  <si>
    <t>CA-2013-148201</t>
  </si>
  <si>
    <t>Xerox 1931</t>
  </si>
  <si>
    <t>CA-2011-116932</t>
  </si>
  <si>
    <t>Michelle Ellison</t>
  </si>
  <si>
    <t>Newell 334</t>
  </si>
  <si>
    <t>CA-2014-142888</t>
  </si>
  <si>
    <t>Benjamin Patterson</t>
  </si>
  <si>
    <t>Spokane</t>
  </si>
  <si>
    <t>Safco Drafting Table</t>
  </si>
  <si>
    <t>CA-2014-118885</t>
  </si>
  <si>
    <t>Global High-Back Leather Tilter, Burgundy</t>
  </si>
  <si>
    <t>CA-2013-147578</t>
  </si>
  <si>
    <t>Paul Gonzalez</t>
  </si>
  <si>
    <t>Ultra Door Pull Handle</t>
  </si>
  <si>
    <t>CA-2011-157623</t>
  </si>
  <si>
    <t>Xerox 1972</t>
  </si>
  <si>
    <t>CA-2013-100083</t>
  </si>
  <si>
    <t>Carol Darley</t>
  </si>
  <si>
    <t>Medford</t>
  </si>
  <si>
    <t>IBM Multi-Purpose Copy Paper, 8 1/2 x 11", Case</t>
  </si>
  <si>
    <t>CA-2012-109197</t>
  </si>
  <si>
    <t>Missoula</t>
  </si>
  <si>
    <t>Ibico Hi-Tech Manual Binding System</t>
  </si>
  <si>
    <t>CA-2014-167094</t>
  </si>
  <si>
    <t>Springfield</t>
  </si>
  <si>
    <t>Xerox 218</t>
  </si>
  <si>
    <t>CA-2012-157959</t>
  </si>
  <si>
    <t>Hand-Finished Solid Wood Document Frame</t>
  </si>
  <si>
    <t>CA-2013-105963</t>
  </si>
  <si>
    <t>Stewart Carmichael</t>
  </si>
  <si>
    <t>Imation 16GB Mini TravelDrive USB 2.0 Flash Drive</t>
  </si>
  <si>
    <t>CA-2014-126865</t>
  </si>
  <si>
    <t>Xerox 1960</t>
  </si>
  <si>
    <t>CA-2014-102834</t>
  </si>
  <si>
    <t>Logitech Wireless Headset h800</t>
  </si>
  <si>
    <t>US-2013-139710</t>
  </si>
  <si>
    <t>Avaya 4621SW VoIP phone</t>
  </si>
  <si>
    <t>CA-2014-121538</t>
  </si>
  <si>
    <t>Rick Hansen</t>
  </si>
  <si>
    <t>Eaton Premium Continuous-Feed Paper, 25% Cotton, Letter Size, White, 1000 Shts/Box</t>
  </si>
  <si>
    <t>US-2014-101539</t>
  </si>
  <si>
    <t>Valerie Mitchum</t>
  </si>
  <si>
    <t>Xerox 214</t>
  </si>
  <si>
    <t>CA-2013-152121</t>
  </si>
  <si>
    <t>Craig Carreira</t>
  </si>
  <si>
    <t>Motorola Moto X</t>
  </si>
  <si>
    <t>CA-2014-101245</t>
  </si>
  <si>
    <t>Tops White Computer Printout Paper</t>
  </si>
  <si>
    <t>CA-2012-141768</t>
  </si>
  <si>
    <t>Nora Pelletier</t>
  </si>
  <si>
    <t>Ultra Door Push Plate</t>
  </si>
  <si>
    <t>CA-2013-112109</t>
  </si>
  <si>
    <t>Joe Elijah</t>
  </si>
  <si>
    <t>Broomfield</t>
  </si>
  <si>
    <t>GBC Twin Loop Wire Binding Elements</t>
  </si>
  <si>
    <t>CA-2012-109939</t>
  </si>
  <si>
    <t>Newell 321</t>
  </si>
  <si>
    <t>CA-2013-112669</t>
  </si>
  <si>
    <t>Hon 4070 Series Pagoda Armless Upholstered Stacking Chairs</t>
  </si>
  <si>
    <t>CA-2011-164721</t>
  </si>
  <si>
    <t>Laurel Workman</t>
  </si>
  <si>
    <t>CA-2014-133648</t>
  </si>
  <si>
    <t>Max Ludwig</t>
  </si>
  <si>
    <t>CA-2014-166128</t>
  </si>
  <si>
    <t>Luke Weiss</t>
  </si>
  <si>
    <t>SanDisk Ultra 64 GB MicroSDHC Class 10 Memory Card</t>
  </si>
  <si>
    <t>CA-2012-113110</t>
  </si>
  <si>
    <t>Berenike Kampe</t>
  </si>
  <si>
    <t>San Bernardino</t>
  </si>
  <si>
    <t>GBC Imprintable Covers</t>
  </si>
  <si>
    <t>US-2014-111241</t>
  </si>
  <si>
    <t>Gene McClure</t>
  </si>
  <si>
    <t>GBC Recycled Regency Composition Covers</t>
  </si>
  <si>
    <t>CA-2012-114237</t>
  </si>
  <si>
    <t>Marc Crier</t>
  </si>
  <si>
    <t>Safco Value Mate Series Steel Bookcases, Baked Enamel Finish on Steel, Gray</t>
  </si>
  <si>
    <t>CA-2013-113516</t>
  </si>
  <si>
    <t>Square Ring Data Binders, Rigid 75 Pt. Covers, 11" x 14-7/8"</t>
  </si>
  <si>
    <t>CA-2012-119214</t>
  </si>
  <si>
    <t>Carl Weiss</t>
  </si>
  <si>
    <t>Bozeman</t>
  </si>
  <si>
    <t>Wirebound Service Call Books, 5 1/2" x 4"</t>
  </si>
  <si>
    <t>CA-2012-122287</t>
  </si>
  <si>
    <t>Peoria</t>
  </si>
  <si>
    <t>Xerox 1922</t>
  </si>
  <si>
    <t>CA-2012-104493</t>
  </si>
  <si>
    <t>Ed Braxton</t>
  </si>
  <si>
    <t>GBC Personal VeloBind Strips</t>
  </si>
  <si>
    <t>CA-2011-106439</t>
  </si>
  <si>
    <t>CA-2012-133452</t>
  </si>
  <si>
    <t>Plantronics Audio 478 Stereo USB Headset</t>
  </si>
  <si>
    <t>US-2014-110996</t>
  </si>
  <si>
    <t>Kelly Andreada</t>
  </si>
  <si>
    <t>Ontario</t>
  </si>
  <si>
    <t>Novimex High-Tech Fabric Mesh Task Chair</t>
  </si>
  <si>
    <t>CA-2013-129693</t>
  </si>
  <si>
    <t>Tamara Chand</t>
  </si>
  <si>
    <t>Newell 3-Hole Punched Plastic Slotted Magazine Holders for Binders</t>
  </si>
  <si>
    <t>CA-2014-122504</t>
  </si>
  <si>
    <t>Anker Ultra-Slim Mini Bluetooth 3.0 Wireless Keyboard</t>
  </si>
  <si>
    <t>CA-2011-131051</t>
  </si>
  <si>
    <t>Toby Ritter</t>
  </si>
  <si>
    <t>Floodlight Indoor Halogen Bulbs, 1 Bulb per Pack, 60 Watts</t>
  </si>
  <si>
    <t>CA-2012-120103</t>
  </si>
  <si>
    <t>Maribeth Schnelling</t>
  </si>
  <si>
    <t>Computer Printout Paper with Letter-Trim Perforations</t>
  </si>
  <si>
    <t>CA-2014-104647</t>
  </si>
  <si>
    <t>Clytie Kelty</t>
  </si>
  <si>
    <t>Ampad Phone Message Book, Recycled, 400 Message Capacity, 5 ¾ x 11</t>
  </si>
  <si>
    <t>CA-2012-139290</t>
  </si>
  <si>
    <t>Rancho Cucamonga</t>
  </si>
  <si>
    <t>Avery 507</t>
  </si>
  <si>
    <t>CA-2012-149678</t>
  </si>
  <si>
    <t>Anthony Witt</t>
  </si>
  <si>
    <t>CA-2014-124401</t>
  </si>
  <si>
    <t>Hanging Personal Folder File</t>
  </si>
  <si>
    <t>US-2011-140116</t>
  </si>
  <si>
    <t>Kean Thornton</t>
  </si>
  <si>
    <t>Tennsco 6- and 18-Compartment Lockers</t>
  </si>
  <si>
    <t>CA-2011-123295</t>
  </si>
  <si>
    <t>Adrian Hane</t>
  </si>
  <si>
    <t>Office Star - Ergonomically Designed Knee Chair</t>
  </si>
  <si>
    <t>CA-2012-164882</t>
  </si>
  <si>
    <t>Sandra Glassco</t>
  </si>
  <si>
    <t>CA-2013-130267</t>
  </si>
  <si>
    <t>Scot Wooten</t>
  </si>
  <si>
    <t>Stockton</t>
  </si>
  <si>
    <t>Xerox Color Copier Paper, 11" x 17", Ream</t>
  </si>
  <si>
    <t>CA-2014-155460</t>
  </si>
  <si>
    <t>CA-2014-158246</t>
  </si>
  <si>
    <t>Sunnyvale</t>
  </si>
  <si>
    <t>Global Leather Task Chair, Black</t>
  </si>
  <si>
    <t>CA-2011-141607</t>
  </si>
  <si>
    <t>William Brown</t>
  </si>
  <si>
    <t>Eldon Advantage Chair Mats for Low to Medium Pile Carpets</t>
  </si>
  <si>
    <t>CA-2013-111115</t>
  </si>
  <si>
    <t>Larry Blacks</t>
  </si>
  <si>
    <t>CA-2013-101938</t>
  </si>
  <si>
    <t>Dianna Wilson</t>
  </si>
  <si>
    <t>Panasonic KP-350BK Electric Pencil Sharpener with Auto Stop</t>
  </si>
  <si>
    <t>CA-2014-166296</t>
  </si>
  <si>
    <t>Karen Ferguson</t>
  </si>
  <si>
    <t>Manteca</t>
  </si>
  <si>
    <t>Multicolor Computer Printout Paper</t>
  </si>
  <si>
    <t>CA-2011-152296</t>
  </si>
  <si>
    <t>Ivan Liston</t>
  </si>
  <si>
    <t>Wilson Jones data.warehouse D-Ring Binders with DublLock</t>
  </si>
  <si>
    <t>CA-2013-125738</t>
  </si>
  <si>
    <t>Patrick Bzostek</t>
  </si>
  <si>
    <t>Salt Lake City</t>
  </si>
  <si>
    <t>Xerox 1982</t>
  </si>
  <si>
    <t>CA-2014-124576</t>
  </si>
  <si>
    <t>Heather Kirkland</t>
  </si>
  <si>
    <t>GBC Prestige Therm-A-Bind Covers</t>
  </si>
  <si>
    <t>CA-2013-118913</t>
  </si>
  <si>
    <t>Alan Shonely</t>
  </si>
  <si>
    <t>Fellowes Mighty 8 Compact Surge Protector</t>
  </si>
  <si>
    <t>CA-2013-128412</t>
  </si>
  <si>
    <t>GBC DocuBind P50 Personal Binding Machine</t>
  </si>
  <si>
    <t>CA-2012-138002</t>
  </si>
  <si>
    <t>Acco Hanging Data Binders</t>
  </si>
  <si>
    <t>CA-2014-129378</t>
  </si>
  <si>
    <t>Neola Schneider</t>
  </si>
  <si>
    <t>CA-2014-130841</t>
  </si>
  <si>
    <t>Matt Hagelstein</t>
  </si>
  <si>
    <t>Zipper Ring Binder Pockets</t>
  </si>
  <si>
    <t>CA-2013-106383</t>
  </si>
  <si>
    <t>Bobby Trafton</t>
  </si>
  <si>
    <t>Littleton</t>
  </si>
  <si>
    <t>Atlantic Metals Mobile 2-Shelf Bookcases, Custom Colors</t>
  </si>
  <si>
    <t>CA-2011-128055</t>
  </si>
  <si>
    <t>GBC DocuBind 200 Manual Binding Machine</t>
  </si>
  <si>
    <t>CA-2012-123232</t>
  </si>
  <si>
    <t>Doug Jacobs</t>
  </si>
  <si>
    <t>HTC One</t>
  </si>
  <si>
    <t>CA-2013-122322</t>
  </si>
  <si>
    <t>Rick Huthwaite</t>
  </si>
  <si>
    <t>Fiskars Home &amp; Office Scissors</t>
  </si>
  <si>
    <t>CA-2013-146633</t>
  </si>
  <si>
    <t>Toby Gnade</t>
  </si>
  <si>
    <t>Fellowes PB500 Electric Punch Plastic Comb Binding Machine with Manual Bind</t>
  </si>
  <si>
    <t>CA-2014-103380</t>
  </si>
  <si>
    <t>Barry Franz</t>
  </si>
  <si>
    <t>CA-2012-116092</t>
  </si>
  <si>
    <t>Justin MacKendrick</t>
  </si>
  <si>
    <t>Xerox 1959</t>
  </si>
  <si>
    <t>CA-2013-117849</t>
  </si>
  <si>
    <t>Julie Kriz</t>
  </si>
  <si>
    <t>Xerox 1911</t>
  </si>
  <si>
    <t>CA-2012-169201</t>
  </si>
  <si>
    <t>Holmes Odor Grabber</t>
  </si>
  <si>
    <t>CA-2014-105214</t>
  </si>
  <si>
    <t>Hon Multipurpose Stacking Arm Chairs</t>
  </si>
  <si>
    <t>CA-2012-117611</t>
  </si>
  <si>
    <t>Maria Zettner</t>
  </si>
  <si>
    <t>Advantus Plastic Paper Clips</t>
  </si>
  <si>
    <t>CA-2014-137470</t>
  </si>
  <si>
    <t>Tom Prescott</t>
  </si>
  <si>
    <t>Xerox 1984</t>
  </si>
  <si>
    <t>CA-2012-102036</t>
  </si>
  <si>
    <t>Fellowes Bases and Tops For Staxonsteel/High-Stak Systems</t>
  </si>
  <si>
    <t>CA-2012-142944</t>
  </si>
  <si>
    <t>Deflect-o Glass Clear Studded Chair Mats</t>
  </si>
  <si>
    <t>CA-2011-157882</t>
  </si>
  <si>
    <t>Allen Rosenblatt</t>
  </si>
  <si>
    <t>Bevis Round Conference Room Tables and Bases</t>
  </si>
  <si>
    <t>CA-2014-142622</t>
  </si>
  <si>
    <t>Jim Karlsson</t>
  </si>
  <si>
    <t>Novimex Fabric Task Chair</t>
  </si>
  <si>
    <t>CA-2014-143343</t>
  </si>
  <si>
    <t>Ben Wallace</t>
  </si>
  <si>
    <t>Newell 351</t>
  </si>
  <si>
    <t>CA-2014-115154</t>
  </si>
  <si>
    <t>Ricardo Sperren</t>
  </si>
  <si>
    <t>Balt Solid Wood Round Tables</t>
  </si>
  <si>
    <t>US-2014-120418</t>
  </si>
  <si>
    <t>Becky Castell</t>
  </si>
  <si>
    <t>Global Leather Executive Chair</t>
  </si>
  <si>
    <t>CA-2014-165491</t>
  </si>
  <si>
    <t>Imation Secure Drive + Hardware Encrypted USB flash drive - 16 GB</t>
  </si>
  <si>
    <t>CA-2014-138422</t>
  </si>
  <si>
    <t>Kristina Nunn</t>
  </si>
  <si>
    <t>Fort Collins</t>
  </si>
  <si>
    <t>Wausau Papers Astrobrights Colored Envelopes</t>
  </si>
  <si>
    <t>CA-2013-155187</t>
  </si>
  <si>
    <t>Laura Armstrong</t>
  </si>
  <si>
    <t>Tennsco Lockers, Gray</t>
  </si>
  <si>
    <t>CA-2014-109701</t>
  </si>
  <si>
    <t>Alice McCarthy</t>
  </si>
  <si>
    <t>CA-2012-111514</t>
  </si>
  <si>
    <t>Scott Cohen</t>
  </si>
  <si>
    <t>Atlantic Metals Mobile 3-Shelf Bookcases, Custom Colors</t>
  </si>
  <si>
    <t>CA-2011-102295</t>
  </si>
  <si>
    <t>Erica Hackney</t>
  </si>
  <si>
    <t>Sacramento</t>
  </si>
  <si>
    <t>Global Leather &amp; Oak Executive Chair, Burgundy</t>
  </si>
  <si>
    <t>CA-2012-148628</t>
  </si>
  <si>
    <t>Katherine Murray</t>
  </si>
  <si>
    <t>Thousand Oaks</t>
  </si>
  <si>
    <t>Message Book, Phone, Wirebound Standard Line Memo, 2 3/4" X 5"</t>
  </si>
  <si>
    <t>US-2014-117534</t>
  </si>
  <si>
    <t>Christina VanderZanden</t>
  </si>
  <si>
    <t>Acco Smartsocket Color-Coded Six-Outlet AC Adapter Model Surge Protectors</t>
  </si>
  <si>
    <t>CA-2012-145065</t>
  </si>
  <si>
    <t>Dennis Kane</t>
  </si>
  <si>
    <t>CA-2014-169264</t>
  </si>
  <si>
    <t>Avery File Folder Labels</t>
  </si>
  <si>
    <t>CA-2014-108574</t>
  </si>
  <si>
    <t>Mike Gockenbach</t>
  </si>
  <si>
    <t>Logitech G19 Programmable Gaming Keyboard</t>
  </si>
  <si>
    <t>CA-2014-144589</t>
  </si>
  <si>
    <t>Tamara Manning</t>
  </si>
  <si>
    <t>CA-2014-155985</t>
  </si>
  <si>
    <t>Bill Eplett</t>
  </si>
  <si>
    <t>DAX Natural Wood-Tone Poster Frame</t>
  </si>
  <si>
    <t>CA-2012-142041</t>
  </si>
  <si>
    <t>Eleni McCrary</t>
  </si>
  <si>
    <t>CA-2011-151295</t>
  </si>
  <si>
    <t>Xerox 1974</t>
  </si>
  <si>
    <t>CA-2014-168655</t>
  </si>
  <si>
    <t>Michelle Lonsdale</t>
  </si>
  <si>
    <t>Albuquerque</t>
  </si>
  <si>
    <t>WD My Passport Ultra 2TB Portable External Hard Drive</t>
  </si>
  <si>
    <t>CA-2013-107202</t>
  </si>
  <si>
    <t>Linda Cazamias</t>
  </si>
  <si>
    <t>Sparks</t>
  </si>
  <si>
    <t>Machines</t>
  </si>
  <si>
    <t>Panasonic KX MB2061 Multifunction Printer</t>
  </si>
  <si>
    <t>CA-2014-159597</t>
  </si>
  <si>
    <t>Matt Collister</t>
  </si>
  <si>
    <t>Coachella</t>
  </si>
  <si>
    <t>Safco Wire Cube Shelving System, For Use as 4 or 5 14" Cubes, Black</t>
  </si>
  <si>
    <t>CA-2014-100748</t>
  </si>
  <si>
    <t>Ross Baird</t>
  </si>
  <si>
    <t>CA-2014-129805</t>
  </si>
  <si>
    <t>Harry Marie</t>
  </si>
  <si>
    <t>CA-2014-140053</t>
  </si>
  <si>
    <t>Tenex Traditional Chairmats for Medium Pile Carpet, Standard Lip, 36" x 48"</t>
  </si>
  <si>
    <t>CA-2011-164210</t>
  </si>
  <si>
    <t>Pierre Wener</t>
  </si>
  <si>
    <t>Bevis Rectangular Conference Tables</t>
  </si>
  <si>
    <t>CA-2012-100573</t>
  </si>
  <si>
    <t>Anne McFarland</t>
  </si>
  <si>
    <t>#10- 4 1/8" x 9 1/2" Recycled Envelopes</t>
  </si>
  <si>
    <t>CA-2013-140207</t>
  </si>
  <si>
    <t>Cardinal Holdit Data Disk Pockets</t>
  </si>
  <si>
    <t>CA-2012-142419</t>
  </si>
  <si>
    <t>Shahid Collister</t>
  </si>
  <si>
    <t>Xerox 1896</t>
  </si>
  <si>
    <t>CA-2013-114972</t>
  </si>
  <si>
    <t>Global Deluxe High-Back Office Chair in Storm</t>
  </si>
  <si>
    <t>CA-2014-102750</t>
  </si>
  <si>
    <t>Greg Maxwell</t>
  </si>
  <si>
    <t>Chromcraft Bull-Nose Wood Oval Conference Tables &amp; Bases</t>
  </si>
  <si>
    <t>CA-2014-147956</t>
  </si>
  <si>
    <t>Office Impressions Heavy Duty Welded Shelving &amp; Multimedia Storage Drawers</t>
  </si>
  <si>
    <t>CA-2014-126067</t>
  </si>
  <si>
    <t>Anker 24W Portable Micro USB Car Charger</t>
  </si>
  <si>
    <t>CA-2011-113579</t>
  </si>
  <si>
    <t>White GlueTop Scratch Pads</t>
  </si>
  <si>
    <t>CA-2012-122371</t>
  </si>
  <si>
    <t>Bryan Spruell</t>
  </si>
  <si>
    <t>Sortfiler Multipurpose Personal File Organizer, Black</t>
  </si>
  <si>
    <t>CA-2013-126935</t>
  </si>
  <si>
    <t>Bill Tyler</t>
  </si>
  <si>
    <t>CA-2013-149482</t>
  </si>
  <si>
    <t>Ralph Ritter</t>
  </si>
  <si>
    <t>Avery 52</t>
  </si>
  <si>
    <t>CA-2011-143917</t>
  </si>
  <si>
    <t>Fellowes Personal Hanging Folder Files, Navy</t>
  </si>
  <si>
    <t>CA-2014-163902</t>
  </si>
  <si>
    <t>Panasonic KX TS3282B Corded phone</t>
  </si>
  <si>
    <t>CA-2012-143238</t>
  </si>
  <si>
    <t>Lori Olson</t>
  </si>
  <si>
    <t>La Quinta</t>
  </si>
  <si>
    <t>Memorex Mini Travel Drive 8 GB USB 2.0 Flash Drive</t>
  </si>
  <si>
    <t>CA-2012-113404</t>
  </si>
  <si>
    <t>Hon 2090 Pillow Soft Series Mid Back Swivel/Tilt Chairs</t>
  </si>
  <si>
    <t>CA-2013-144792</t>
  </si>
  <si>
    <t>Ken Dana</t>
  </si>
  <si>
    <t>CA-2014-108070</t>
  </si>
  <si>
    <t>Belkin 19" Vented Equipment Shelf, Black</t>
  </si>
  <si>
    <t>US-2012-128090</t>
  </si>
  <si>
    <t>John Murray</t>
  </si>
  <si>
    <t>Newell 346</t>
  </si>
  <si>
    <t>CA-2012-147788</t>
  </si>
  <si>
    <t>O'Sullivan Living Dimensions 3-Shelf Bookcases</t>
  </si>
  <si>
    <t>CA-2014-123967</t>
  </si>
  <si>
    <t>Bellingham</t>
  </si>
  <si>
    <t>GBC Standard Plastic Binding Systems' Combs</t>
  </si>
  <si>
    <t>CA-2013-137729</t>
  </si>
  <si>
    <t>Perma STOR-ALL Hanging File Box, 13 1/8"W x 12 1/4"D x 10 1/2"H</t>
  </si>
  <si>
    <t>CA-2013-154053</t>
  </si>
  <si>
    <t>Michael Granlund</t>
  </si>
  <si>
    <t>Berol Giant Pencil Sharpener</t>
  </si>
  <si>
    <t>CA-2013-137204</t>
  </si>
  <si>
    <t>Bill Overfelt</t>
  </si>
  <si>
    <t>Global Stack Chair without Arms, Black</t>
  </si>
  <si>
    <t>CA-2011-147298</t>
  </si>
  <si>
    <t>Aleksandra Gannaway</t>
  </si>
  <si>
    <t>CA-2014-147942</t>
  </si>
  <si>
    <t>Avery 498</t>
  </si>
  <si>
    <t>CA-2014-115931</t>
  </si>
  <si>
    <t>Jim Mitchum</t>
  </si>
  <si>
    <t>Design Ebony Sketching Pencil</t>
  </si>
  <si>
    <t>US-2014-110604</t>
  </si>
  <si>
    <t>Jason Fortune-</t>
  </si>
  <si>
    <t>24-Hour Round Wall Clock</t>
  </si>
  <si>
    <t>CA-2012-162369</t>
  </si>
  <si>
    <t>Tim Taslimi</t>
  </si>
  <si>
    <t>US-2013-146794</t>
  </si>
  <si>
    <t>Bestar Classic Bookcase</t>
  </si>
  <si>
    <t>CA-2014-112515</t>
  </si>
  <si>
    <t>Alan Schoenberger</t>
  </si>
  <si>
    <t>Avery Non-Stick Binders</t>
  </si>
  <si>
    <t>CA-2013-150343</t>
  </si>
  <si>
    <t>Pete Kriz</t>
  </si>
  <si>
    <t>Convenience Packs of Business Envelopes</t>
  </si>
  <si>
    <t>CA-2012-135538</t>
  </si>
  <si>
    <t>SAFCO Arco Folding Chair</t>
  </si>
  <si>
    <t>US-2012-139759</t>
  </si>
  <si>
    <t>Nancy Lomonaco</t>
  </si>
  <si>
    <t>Global Deluxe Stacking Chair, Gray</t>
  </si>
  <si>
    <t>CA-2014-136875</t>
  </si>
  <si>
    <t>Toby Carlisle</t>
  </si>
  <si>
    <t>Xerox 1888</t>
  </si>
  <si>
    <t>US-2011-160780</t>
  </si>
  <si>
    <t>Stewart Visinsky</t>
  </si>
  <si>
    <t>Wilson Jones 1" Hanging DublLock Ring Binders</t>
  </si>
  <si>
    <t>CA-2014-137085</t>
  </si>
  <si>
    <t>Carol Triggs</t>
  </si>
  <si>
    <t>Satellite Sectional Post Binders</t>
  </si>
  <si>
    <t>CA-2012-153220</t>
  </si>
  <si>
    <t>Adams "While You Were Out" Message Pads</t>
  </si>
  <si>
    <t>US-2013-144211</t>
  </si>
  <si>
    <t>Englewood</t>
  </si>
  <si>
    <t>Wirebound Four 2-3/4 x 5 Forms per Page, 400 Sets per Book</t>
  </si>
  <si>
    <t>CA-2013-138079</t>
  </si>
  <si>
    <t>Anthony Johnson</t>
  </si>
  <si>
    <t>Contract Clock, 14", Brown</t>
  </si>
  <si>
    <t>CA-2014-155873</t>
  </si>
  <si>
    <t>Alejandro Ballentine</t>
  </si>
  <si>
    <t>Acme Elite Stainless Steel Scissors</t>
  </si>
  <si>
    <t>CA-2012-121797</t>
  </si>
  <si>
    <t>Computer Room Manger, 14"</t>
  </si>
  <si>
    <t>CA-2012-103723</t>
  </si>
  <si>
    <t>Prang Drawing Pencil Set</t>
  </si>
  <si>
    <t>CA-2014-144827</t>
  </si>
  <si>
    <t>Sanjit Engle</t>
  </si>
  <si>
    <t>CA-2011-153479</t>
  </si>
  <si>
    <t>David Flashing</t>
  </si>
  <si>
    <t>Avery 512</t>
  </si>
  <si>
    <t>CA-2014-104801</t>
  </si>
  <si>
    <t>Fred Harton</t>
  </si>
  <si>
    <t>CA-2012-129770</t>
  </si>
  <si>
    <t>Las Cruces</t>
  </si>
  <si>
    <t>CA-2011-149244</t>
  </si>
  <si>
    <t>MaryBeth Skach</t>
  </si>
  <si>
    <t>Executive Impressions 12" Wall Clock</t>
  </si>
  <si>
    <t>CA-2012-140144</t>
  </si>
  <si>
    <t>US-2011-141257</t>
  </si>
  <si>
    <t>Carlos Soltero</t>
  </si>
  <si>
    <t>Hon Deluxe Fabric Upholstered Stacking Chairs, Squared Back</t>
  </si>
  <si>
    <t>CA-2011-154669</t>
  </si>
  <si>
    <t>Vacaville</t>
  </si>
  <si>
    <t>Advantus Rolling Drawer Organizers</t>
  </si>
  <si>
    <t>CA-2011-158029</t>
  </si>
  <si>
    <t>Herbert Flentye</t>
  </si>
  <si>
    <t>Hon Olson Stacker Stools</t>
  </si>
  <si>
    <t>CA-2012-155306</t>
  </si>
  <si>
    <t>George Ashbrook</t>
  </si>
  <si>
    <t>CA-2011-129574</t>
  </si>
  <si>
    <t>Dean percer</t>
  </si>
  <si>
    <t>Murray</t>
  </si>
  <si>
    <t>CA-2014-126536</t>
  </si>
  <si>
    <t>Maxell 4.7GB DVD-R 5/Pack</t>
  </si>
  <si>
    <t>CA-2013-144729</t>
  </si>
  <si>
    <t>CA-2012-127019</t>
  </si>
  <si>
    <t>Elpida Rittenbach</t>
  </si>
  <si>
    <t>Belkin 6 Outlet Metallic Surge Strip</t>
  </si>
  <si>
    <t>CA-2012-138534</t>
  </si>
  <si>
    <t>Bakersfield</t>
  </si>
  <si>
    <t>Sauder Camden County Collection Libraries, Planked Cherry Finish</t>
  </si>
  <si>
    <t>CA-2012-149972</t>
  </si>
  <si>
    <t>Hon Every-Day Series Multi-Task Chairs</t>
  </si>
  <si>
    <t>CA-2011-154599</t>
  </si>
  <si>
    <t>Kean Nguyen</t>
  </si>
  <si>
    <t>Redondo Beach</t>
  </si>
  <si>
    <t>Pyle PMP37LED</t>
  </si>
  <si>
    <t>US-2012-110163</t>
  </si>
  <si>
    <t>Guy Armstrong</t>
  </si>
  <si>
    <t>Lumber Crayons</t>
  </si>
  <si>
    <t>CA-2014-143329</t>
  </si>
  <si>
    <t>Denise Leinenbach</t>
  </si>
  <si>
    <t>9-3/4 Diameter Round Wall Clock</t>
  </si>
  <si>
    <t>CA-2012-159380</t>
  </si>
  <si>
    <t>Cindy Stewart</t>
  </si>
  <si>
    <t>Xerox 1962</t>
  </si>
  <si>
    <t>CA-2012-148635</t>
  </si>
  <si>
    <t>Michelle Huthwaite</t>
  </si>
  <si>
    <t>Plymouth Boxed Rubber Bands by Plymouth</t>
  </si>
  <si>
    <t>CA-2013-160500</t>
  </si>
  <si>
    <t>Darrin Martin</t>
  </si>
  <si>
    <t>Computer Printout Index Tabs</t>
  </si>
  <si>
    <t>CA-2014-100202</t>
  </si>
  <si>
    <t>Adtran 1202752G1</t>
  </si>
  <si>
    <t>CA-2011-148915</t>
  </si>
  <si>
    <t>Natalie DeCherney</t>
  </si>
  <si>
    <t>Carina Mini System Audio Rack, Model AR050B</t>
  </si>
  <si>
    <t>CA-2014-110842</t>
  </si>
  <si>
    <t>CA-2013-128594</t>
  </si>
  <si>
    <t>Don Jones</t>
  </si>
  <si>
    <t>Global Troy Executive Leather Low-Back Tilter</t>
  </si>
  <si>
    <t>US-2014-103828</t>
  </si>
  <si>
    <t>CA-2011-148040</t>
  </si>
  <si>
    <t>Beth Fritzler</t>
  </si>
  <si>
    <t>Xerox 1951</t>
  </si>
  <si>
    <t>CA-2014-135167</t>
  </si>
  <si>
    <t>Stuart Calhoun</t>
  </si>
  <si>
    <t>Dixon Prang Watercolor Pencils, 10-Color Set with Brush</t>
  </si>
  <si>
    <t>CA-2014-137022</t>
  </si>
  <si>
    <t>Scott Williamson</t>
  </si>
  <si>
    <t>US-2013-167339</t>
  </si>
  <si>
    <t>Global Super Steno Chair</t>
  </si>
  <si>
    <t>CA-2013-130799</t>
  </si>
  <si>
    <t>Eldon Regeneration Recycled Desk Accessories, Smoke</t>
  </si>
  <si>
    <t>CA-2013-164483</t>
  </si>
  <si>
    <t>US-2013-159856</t>
  </si>
  <si>
    <t>Emily Phan</t>
  </si>
  <si>
    <t>Global Deluxe Steno Chair</t>
  </si>
  <si>
    <t>CA-2014-102099</t>
  </si>
  <si>
    <t>CA-2014-164049</t>
  </si>
  <si>
    <t>Ken Heidel</t>
  </si>
  <si>
    <t>Wirebound Message Books, Four 2 3/4 x 5 Forms per Page, 200 Sets per Book</t>
  </si>
  <si>
    <t>CA-2011-127586</t>
  </si>
  <si>
    <t>Dual Level, Single-Width Filing Carts</t>
  </si>
  <si>
    <t>CA-2014-166415</t>
  </si>
  <si>
    <t>Rubber Band Ball</t>
  </si>
  <si>
    <t>CA-2014-164329</t>
  </si>
  <si>
    <t>Space Solutions Commercial Steel Shelving</t>
  </si>
  <si>
    <t>CA-2012-168564</t>
  </si>
  <si>
    <t>Thomas Thornton</t>
  </si>
  <si>
    <t>US-2013-169040</t>
  </si>
  <si>
    <t>Greg Tran</t>
  </si>
  <si>
    <t>Plantronics Calisto P620-M USB Wireless Speakerphone System</t>
  </si>
  <si>
    <t>CA-2014-126242</t>
  </si>
  <si>
    <t>Mick Crebagga</t>
  </si>
  <si>
    <t>File Shuttle II and Handi-File, Black</t>
  </si>
  <si>
    <t>CA-2013-166443</t>
  </si>
  <si>
    <t>Lisa Hazard</t>
  </si>
  <si>
    <t>Advantus Panel Wall Acrylic Frame</t>
  </si>
  <si>
    <t>CA-2014-169859</t>
  </si>
  <si>
    <t>Eldon 400 Class Desk Accessories, Black Carbon</t>
  </si>
  <si>
    <t>CA-2014-134915</t>
  </si>
  <si>
    <t>Eugene Moren</t>
  </si>
  <si>
    <t>Memorex Micro Travel Drive 8 GB</t>
  </si>
  <si>
    <t>CA-2012-158456</t>
  </si>
  <si>
    <t>CA-2014-143665</t>
  </si>
  <si>
    <t>Philisse Overcash</t>
  </si>
  <si>
    <t>CA-2014-137428</t>
  </si>
  <si>
    <t>Andy Yotov</t>
  </si>
  <si>
    <t>CA-2011-131310</t>
  </si>
  <si>
    <t>Safco Chair Connectors, 6/Carton</t>
  </si>
  <si>
    <t>US-2011-112872</t>
  </si>
  <si>
    <t>Ryan Crowe</t>
  </si>
  <si>
    <t>CA-2013-139010</t>
  </si>
  <si>
    <t>Matthew Clasen</t>
  </si>
  <si>
    <t>SanDisk Ultra 16 GB MicroSDHC Class 10 Memory Card</t>
  </si>
  <si>
    <t>CA-2013-112893</t>
  </si>
  <si>
    <t>VariCap6 Expandable Binder</t>
  </si>
  <si>
    <t>US-2011-150532</t>
  </si>
  <si>
    <t>Eldon Fold 'N Roll Cart System</t>
  </si>
  <si>
    <t>CA-2011-130729</t>
  </si>
  <si>
    <t>Avery Premier Heavy-Duty Binder with Round Locking Rings</t>
  </si>
  <si>
    <t>CA-2014-134845</t>
  </si>
  <si>
    <t>Sharelle Roach</t>
  </si>
  <si>
    <t>Insertable Tab Post Binder Dividers</t>
  </si>
  <si>
    <t>CA-2012-123568</t>
  </si>
  <si>
    <t>Alliance Rubber Bands</t>
  </si>
  <si>
    <t>CA-2011-106719</t>
  </si>
  <si>
    <t>Billings</t>
  </si>
  <si>
    <t>SlimView Poly Binder, 3/8"</t>
  </si>
  <si>
    <t>US-2013-164189</t>
  </si>
  <si>
    <t>Dan Reichenbach</t>
  </si>
  <si>
    <t>Gresham</t>
  </si>
  <si>
    <t>BlackBerry Q10</t>
  </si>
  <si>
    <t>US-2013-114293</t>
  </si>
  <si>
    <t>CA-2014-101749</t>
  </si>
  <si>
    <t>Aaron Smayling</t>
  </si>
  <si>
    <t>Lesro Sheffield Collection Coffee Table, End Table, Center Table, Corner Table</t>
  </si>
  <si>
    <t>CA-2014-149559</t>
  </si>
  <si>
    <t>Xerox 1996</t>
  </si>
  <si>
    <t>CA-2011-137351</t>
  </si>
  <si>
    <t>DXL Angle-View Binders with Locking Rings by Samsill</t>
  </si>
  <si>
    <t>US-2014-148054</t>
  </si>
  <si>
    <t>Meridian</t>
  </si>
  <si>
    <t>Idaho</t>
  </si>
  <si>
    <t>36X48 HARDFLOOR CHAIRMAT</t>
  </si>
  <si>
    <t>CA-2014-131492</t>
  </si>
  <si>
    <t>Ampad #10 Peel &amp; Seel Holiday Envelopes</t>
  </si>
  <si>
    <t>CA-2014-106859</t>
  </si>
  <si>
    <t>Benjamin Farhat</t>
  </si>
  <si>
    <t>SimpliFile Personal File, Black Granite, 15w x 6-15/16d x 11-1/4h</t>
  </si>
  <si>
    <t>CA-2013-125206</t>
  </si>
  <si>
    <t>Recycled Steel Personal File for Hanging File Folders</t>
  </si>
  <si>
    <t>CA-2012-126137</t>
  </si>
  <si>
    <t>CA-2011-104780</t>
  </si>
  <si>
    <t>4009 Highlighters by Sanford</t>
  </si>
  <si>
    <t>CA-2014-101182</t>
  </si>
  <si>
    <t>Katrina Bavinger</t>
  </si>
  <si>
    <t>Apple Valley</t>
  </si>
  <si>
    <t>Xerox 220</t>
  </si>
  <si>
    <t>CA-2013-150350</t>
  </si>
  <si>
    <t>Maxwell Schwartz</t>
  </si>
  <si>
    <t>Okidata C331dn Printer</t>
  </si>
  <si>
    <t>CA-2011-136399</t>
  </si>
  <si>
    <t>Chad Cunningham</t>
  </si>
  <si>
    <t>CA-2014-131828</t>
  </si>
  <si>
    <t>Cari Sayre</t>
  </si>
  <si>
    <t>Global Leather and Oak Executive Chair, Black</t>
  </si>
  <si>
    <t>CA-2011-109218</t>
  </si>
  <si>
    <t>BIC Brite Liner Highlighters, Chisel Tip</t>
  </si>
  <si>
    <t>US-2011-109036</t>
  </si>
  <si>
    <t>Avery 489</t>
  </si>
  <si>
    <t>CA-2011-128986</t>
  </si>
  <si>
    <t>Gary Hansen</t>
  </si>
  <si>
    <t>White Computer Printout Paper by Universal</t>
  </si>
  <si>
    <t>CA-2011-153969</t>
  </si>
  <si>
    <t>US-2014-132059</t>
  </si>
  <si>
    <t>Atlantic Metals Mobile 5-Shelf Bookcases, Custom Colors</t>
  </si>
  <si>
    <t>US-2014-146416</t>
  </si>
  <si>
    <t>Justin Ellison</t>
  </si>
  <si>
    <t>Woodland</t>
  </si>
  <si>
    <t>Avery 510</t>
  </si>
  <si>
    <t>CA-2012-149384</t>
  </si>
  <si>
    <t>Accohide Poly Flexible Ring Binders</t>
  </si>
  <si>
    <t>CA-2011-158372</t>
  </si>
  <si>
    <t>Jabra SPEAK 410</t>
  </si>
  <si>
    <t>CA-2013-108882</t>
  </si>
  <si>
    <t>Logitech G500s Laser Gaming Mouse with Adjustable Weight Tuning</t>
  </si>
  <si>
    <t>CA-2014-150189</t>
  </si>
  <si>
    <t>San Mateo</t>
  </si>
  <si>
    <t>Avery 485</t>
  </si>
  <si>
    <t>CA-2011-114433</t>
  </si>
  <si>
    <t>CA-2011-108189</t>
  </si>
  <si>
    <t>Adams Telephone Message Book W/Dividers/Space For Phone Numbers, 5 1/4"X8 1/2", 300/Messages</t>
  </si>
  <si>
    <t>CA-2013-138933</t>
  </si>
  <si>
    <t>Jack Lebron</t>
  </si>
  <si>
    <t>US-2014-140907</t>
  </si>
  <si>
    <t>Logitech Desktop MK120 Mouse and keyboard Combo</t>
  </si>
  <si>
    <t>CA-2013-159730</t>
  </si>
  <si>
    <t>Sanjit Jacobs</t>
  </si>
  <si>
    <t>Harbour Creations 67200 Series Stacking Chairs</t>
  </si>
  <si>
    <t>CA-2013-155474</t>
  </si>
  <si>
    <t>Chris Cortes</t>
  </si>
  <si>
    <t>Logitech Mobile Speakerphone P710e - speaker phone</t>
  </si>
  <si>
    <t>CA-2011-140662</t>
  </si>
  <si>
    <t>Thomas Seio</t>
  </si>
  <si>
    <t>Case Logic 2.4GHz Wireless Keyboard</t>
  </si>
  <si>
    <t>CA-2012-155145</t>
  </si>
  <si>
    <t>Visalia</t>
  </si>
  <si>
    <t>CA-2012-146038</t>
  </si>
  <si>
    <t>Sarah Jordon</t>
  </si>
  <si>
    <t>CA-2014-133865</t>
  </si>
  <si>
    <t>Penelope Sewall</t>
  </si>
  <si>
    <t>Canon Imageclass D680 Copier / Fax</t>
  </si>
  <si>
    <t>CA-2012-157770</t>
  </si>
  <si>
    <t>Rob Dowd</t>
  </si>
  <si>
    <t>Temecula</t>
  </si>
  <si>
    <t>Plantronics Voyager Pro Legend</t>
  </si>
  <si>
    <t>CA-2011-106264</t>
  </si>
  <si>
    <t>Acme Rosewood Handle Letter Opener</t>
  </si>
  <si>
    <t>US-2012-110569</t>
  </si>
  <si>
    <t>CA-2014-136308</t>
  </si>
  <si>
    <t>Mitch Willingham</t>
  </si>
  <si>
    <t>Bady BDG101FRU Card Printer</t>
  </si>
  <si>
    <t>US-2011-133130</t>
  </si>
  <si>
    <t>CA-2012-165057</t>
  </si>
  <si>
    <t>Boston 19500 Mighty Mite Electric Pencil Sharpener</t>
  </si>
  <si>
    <t>US-2014-109253</t>
  </si>
  <si>
    <t>Patrick Ryan</t>
  </si>
  <si>
    <t>Newell 336</t>
  </si>
  <si>
    <t>CA-2012-112011</t>
  </si>
  <si>
    <t>Odella Nelson</t>
  </si>
  <si>
    <t>Yucaipa</t>
  </si>
  <si>
    <t>50 Colored Long Pencils</t>
  </si>
  <si>
    <t>US-2013-157308</t>
  </si>
  <si>
    <t>US-2011-134733</t>
  </si>
  <si>
    <t>Brian Moss</t>
  </si>
  <si>
    <t>Rush Hierlooms Collection 1" Thick Stackable Bookcases</t>
  </si>
  <si>
    <t>CA-2011-115161</t>
  </si>
  <si>
    <t>Liz Carlisle</t>
  </si>
  <si>
    <t>Sauder Facets Collection Library, Sky Alder Finish</t>
  </si>
  <si>
    <t>CA-2012-115511</t>
  </si>
  <si>
    <t>Hon Metal Bookcases, Putty</t>
  </si>
  <si>
    <t>CA-2014-123778</t>
  </si>
  <si>
    <t>Acco PRESSTEX Data Binder with Storage Hooks, Light Blue, 9 1/2" X 11"</t>
  </si>
  <si>
    <t>CA-2011-166471</t>
  </si>
  <si>
    <t>Matthew Grinstein</t>
  </si>
  <si>
    <t>Cisco Unified IP Phone 7945G VoIP phone</t>
  </si>
  <si>
    <t>CA-2012-152527</t>
  </si>
  <si>
    <t>Charlotte Melton</t>
  </si>
  <si>
    <t>CA-2013-100244</t>
  </si>
  <si>
    <t>Strathmore Photo Frame Cards</t>
  </si>
  <si>
    <t>CA-2012-151841</t>
  </si>
  <si>
    <t>Tony Chapman</t>
  </si>
  <si>
    <t>CA-2013-134803</t>
  </si>
  <si>
    <t>Kensington 7 Outlet MasterPiece HOMEOFFICE Power Control Center</t>
  </si>
  <si>
    <t>CA-2014-148264</t>
  </si>
  <si>
    <t>Luke Foster</t>
  </si>
  <si>
    <t>Akro-Mils 12-Gallon Tote</t>
  </si>
  <si>
    <t>CA-2014-131212</t>
  </si>
  <si>
    <t>GBC Wire Binding Combs</t>
  </si>
  <si>
    <t>CA-2012-144099</t>
  </si>
  <si>
    <t>Phillina Ober</t>
  </si>
  <si>
    <t>Acco PRESSTEX Data Binder with Storage Hooks, Dark Blue, 14 7/8" X 11"</t>
  </si>
  <si>
    <t>CA-2013-162614</t>
  </si>
  <si>
    <t>Tim Brockman</t>
  </si>
  <si>
    <t>GBC Recycled VeloBinder Covers</t>
  </si>
  <si>
    <t>CA-2011-168592</t>
  </si>
  <si>
    <t>Dennis Pardue</t>
  </si>
  <si>
    <t>Holmes Replacement Filter for HEPA Air Cleaner, Medium Room</t>
  </si>
  <si>
    <t>US-2013-150035</t>
  </si>
  <si>
    <t>Carl Ludwig</t>
  </si>
  <si>
    <t>CA-2011-143385</t>
  </si>
  <si>
    <t>Shirley Jackson</t>
  </si>
  <si>
    <t>Santa Fe</t>
  </si>
  <si>
    <t>KeyTronic KT400U2 - Keyboard - Black</t>
  </si>
  <si>
    <t>CA-2013-131289</t>
  </si>
  <si>
    <t>CA-2013-107328</t>
  </si>
  <si>
    <t>Cathy Armstrong</t>
  </si>
  <si>
    <t>Chromcraft 48" x 96" Racetrack Double Pedestal Table</t>
  </si>
  <si>
    <t>CA-2012-168767</t>
  </si>
  <si>
    <t>Dario Medina</t>
  </si>
  <si>
    <t>CA-2013-137673</t>
  </si>
  <si>
    <t>HP Standard 104 key PS/2 Keyboard</t>
  </si>
  <si>
    <t>CA-2013-130680</t>
  </si>
  <si>
    <t>Macally Suction Cup Mount</t>
  </si>
  <si>
    <t>CA-2011-110849</t>
  </si>
  <si>
    <t>Ativa MDM8000 8-Sheet Micro-Cut Shredder</t>
  </si>
  <si>
    <t>CA-2011-120838</t>
  </si>
  <si>
    <t>Patrick O'Donnell</t>
  </si>
  <si>
    <t>CA-2014-118542</t>
  </si>
  <si>
    <t>Xerox 1905</t>
  </si>
  <si>
    <t>CA-2014-152737</t>
  </si>
  <si>
    <t>Tony Sayre</t>
  </si>
  <si>
    <t>Avery Self-Adhesive Photo Pockets for Polaroid Photos</t>
  </si>
  <si>
    <t>CA-2013-130029</t>
  </si>
  <si>
    <t>Guy Thornton</t>
  </si>
  <si>
    <t>Xerox 200</t>
  </si>
  <si>
    <t>CA-2014-168109</t>
  </si>
  <si>
    <t>Jim Kriz</t>
  </si>
  <si>
    <t>CA-2013-103163</t>
  </si>
  <si>
    <t>Avery Hanging File Binders</t>
  </si>
  <si>
    <t>CA-2014-161823</t>
  </si>
  <si>
    <t>CA-2014-138310</t>
  </si>
  <si>
    <t>Kensington Orbit Wireless Mobile Trackball for PC and Mac</t>
  </si>
  <si>
    <t>CA-2014-141929</t>
  </si>
  <si>
    <t>Ralph Arnett</t>
  </si>
  <si>
    <t>CA-2014-113530</t>
  </si>
  <si>
    <t>CA-2011-169726</t>
  </si>
  <si>
    <t>Ibico Ibimaster 300 Manual Binding System</t>
  </si>
  <si>
    <t>CA-2014-132178</t>
  </si>
  <si>
    <t>Darren Budd</t>
  </si>
  <si>
    <t>Multi-Use Personal File Cart and Caster Set, Three Stacking Bins</t>
  </si>
  <si>
    <t>CA-2011-156594</t>
  </si>
  <si>
    <t>CA-2011-146528</t>
  </si>
  <si>
    <t>Vicky Freymann</t>
  </si>
  <si>
    <t>Xerox 1966</t>
  </si>
  <si>
    <t>CA-2013-161676</t>
  </si>
  <si>
    <t>Jennifer Patt</t>
  </si>
  <si>
    <t>Elite 5" Scissors</t>
  </si>
  <si>
    <t>CA-2011-129364</t>
  </si>
  <si>
    <t>CA-2012-156440</t>
  </si>
  <si>
    <t>CA-2013-102792</t>
  </si>
  <si>
    <t>Crayola Colored Pencils</t>
  </si>
  <si>
    <t>CA-2014-140760</t>
  </si>
  <si>
    <t>Denny Ordway</t>
  </si>
  <si>
    <t>US-2012-131359</t>
  </si>
  <si>
    <t>Lexmark S315 Color Inkjet Printer</t>
  </si>
  <si>
    <t>CA-2012-151680</t>
  </si>
  <si>
    <t>Tenex V2T-RE Standard Weight Series Chair Mat, 45" x 53", Lip 25" x 12"</t>
  </si>
  <si>
    <t>CA-2011-140039</t>
  </si>
  <si>
    <t>Eldon File Chest Portable File</t>
  </si>
  <si>
    <t>CA-2014-113670</t>
  </si>
  <si>
    <t>Roland Schwarz</t>
  </si>
  <si>
    <t>Bush Advantage Collection Round Conference Table</t>
  </si>
  <si>
    <t>CA-2014-166198</t>
  </si>
  <si>
    <t>Verbatim Slim CD and DVD Storage Cases, 50/Pack</t>
  </si>
  <si>
    <t>CA-2011-135608</t>
  </si>
  <si>
    <t>Xerox 1964</t>
  </si>
  <si>
    <t>US-2011-169789</t>
  </si>
  <si>
    <t>Maureen Fritzler</t>
  </si>
  <si>
    <t>CA-2013-151512</t>
  </si>
  <si>
    <t>Harmony HEPA Quiet Air Purifiers</t>
  </si>
  <si>
    <t>CA-2014-161956</t>
  </si>
  <si>
    <t>CA-2012-167745</t>
  </si>
  <si>
    <t>Quartet Omega Colored Chalk, 12/Pack</t>
  </si>
  <si>
    <t>CA-2013-155530</t>
  </si>
  <si>
    <t>Charles McCrossin</t>
  </si>
  <si>
    <t>CA-2012-107937</t>
  </si>
  <si>
    <t>Julia Barnett</t>
  </si>
  <si>
    <t>Chula Vista</t>
  </si>
  <si>
    <t>Rubbermaid ClusterMat Chairmats, Mat Size- 66" x 60", Lip 20" x 11" -90 Degree Angle</t>
  </si>
  <si>
    <t>CA-2013-144218</t>
  </si>
  <si>
    <t>Jonathan Doherty</t>
  </si>
  <si>
    <t>CA-2011-107139</t>
  </si>
  <si>
    <t>US-2011-117163</t>
  </si>
  <si>
    <t>Ed Jacobs</t>
  </si>
  <si>
    <t>CA-2011-100363</t>
  </si>
  <si>
    <t>Binder Clips by OIC</t>
  </si>
  <si>
    <t>CA-2011-126760</t>
  </si>
  <si>
    <t>Apple iPhone 5S</t>
  </si>
  <si>
    <t>CA-2011-101931</t>
  </si>
  <si>
    <t>Todd Sumrall</t>
  </si>
  <si>
    <t>US-2014-131849</t>
  </si>
  <si>
    <t>Eldon 300 Class Desk Accessories, Black</t>
  </si>
  <si>
    <t>CA-2011-140816</t>
  </si>
  <si>
    <t>Thornton</t>
  </si>
  <si>
    <t>Logitech G430 Surround Sound Gaming Headset with Dolby 7.1 Technology</t>
  </si>
  <si>
    <t>CA-2014-123246</t>
  </si>
  <si>
    <t>Astrea Jones</t>
  </si>
  <si>
    <t>Economy #2 Pencils</t>
  </si>
  <si>
    <t>CA-2011-124709</t>
  </si>
  <si>
    <t>CA-2012-132486</t>
  </si>
  <si>
    <t>Jay Fein</t>
  </si>
  <si>
    <t>Maxell DVD-RAM Discs</t>
  </si>
  <si>
    <t>CA-2012-129896</t>
  </si>
  <si>
    <t>Peter Fuller</t>
  </si>
  <si>
    <t>Xerox 1895</t>
  </si>
  <si>
    <t>US-2013-163881</t>
  </si>
  <si>
    <t>Plantronics CS510 - Over-the-Head monaural Wireless Headset System</t>
  </si>
  <si>
    <t>US-2012-119312</t>
  </si>
  <si>
    <t>Eldon ProFile File 'N Store Portable File Tub Letter/Legal Size Black</t>
  </si>
  <si>
    <t>US-2014-142573</t>
  </si>
  <si>
    <t>Maris LaWare</t>
  </si>
  <si>
    <t>CA-2011-103940</t>
  </si>
  <si>
    <t>Eldon Gobal File Keepers</t>
  </si>
  <si>
    <t>CA-2014-123001</t>
  </si>
  <si>
    <t>OIC #2 Pencils, Medium Soft</t>
  </si>
  <si>
    <t>CA-2013-133144</t>
  </si>
  <si>
    <t>Xerox 196</t>
  </si>
  <si>
    <t>US-2013-151862</t>
  </si>
  <si>
    <t>RCA ViSYS 25423RE1 Corded phone</t>
  </si>
  <si>
    <t>CA-2013-114951</t>
  </si>
  <si>
    <t>Eldon Expressions Wood Desk Accessories, Oak</t>
  </si>
  <si>
    <t>CA-2014-134838</t>
  </si>
  <si>
    <t>Newell 320</t>
  </si>
  <si>
    <t>CA-2013-146010</t>
  </si>
  <si>
    <t>Eugene Hildebrand</t>
  </si>
  <si>
    <t>GBC Durable Plastic Covers</t>
  </si>
  <si>
    <t>CA-2011-135090</t>
  </si>
  <si>
    <t>Susan Pistek</t>
  </si>
  <si>
    <t>CA-2014-101308</t>
  </si>
  <si>
    <t>CA-2014-119564</t>
  </si>
  <si>
    <t>Paul Lucas</t>
  </si>
  <si>
    <t>Master Giant Foot Doorstop, Safety Yellow</t>
  </si>
  <si>
    <t>CA-2013-135265</t>
  </si>
  <si>
    <t>Christopher Conant</t>
  </si>
  <si>
    <t>CA-2013-108735</t>
  </si>
  <si>
    <t>Lakewood</t>
  </si>
  <si>
    <t>Bush Westfield Collection Bookcases, Fully Assembled</t>
  </si>
  <si>
    <t>CA-2011-116834</t>
  </si>
  <si>
    <t>DAX Cubicle Frames - 8x10</t>
  </si>
  <si>
    <t>CA-2012-107468</t>
  </si>
  <si>
    <t>Michael Kennedy</t>
  </si>
  <si>
    <t>CA-2014-144463</t>
  </si>
  <si>
    <t>Howard Miller 11-1/2" Diameter Brentwood Wall Clock</t>
  </si>
  <si>
    <t>CA-2014-130764</t>
  </si>
  <si>
    <t>Jack O'Briant</t>
  </si>
  <si>
    <t>O'Sullivan Elevations Bookcase, Cherry Finish</t>
  </si>
  <si>
    <t>CA-2013-169957</t>
  </si>
  <si>
    <t>Steve Nguyen</t>
  </si>
  <si>
    <t>Covington</t>
  </si>
  <si>
    <t>Belkin 7 Outlet SurgeMaster II</t>
  </si>
  <si>
    <t>CA-2011-110786</t>
  </si>
  <si>
    <t>Stacking Trays by OIC</t>
  </si>
  <si>
    <t>CA-2012-137750</t>
  </si>
  <si>
    <t>Jill Fjeld</t>
  </si>
  <si>
    <t>Dana Halogen Swing-Arm Architect Lamp</t>
  </si>
  <si>
    <t>CA-2012-124058</t>
  </si>
  <si>
    <t>Gear Head AU3700S Headset</t>
  </si>
  <si>
    <t>US-2012-138716</t>
  </si>
  <si>
    <t>Acco Data Flex Cable Posts For Top &amp; Bottom Load Binders, 6" Capacity</t>
  </si>
  <si>
    <t>CA-2013-140417</t>
  </si>
  <si>
    <t>Katrina Edelman</t>
  </si>
  <si>
    <t>REDIFORM Incoming/Outgoing Call Register, 11" X 8 1/2", 100 Messages</t>
  </si>
  <si>
    <t>CA-2014-163692</t>
  </si>
  <si>
    <t>Wilson Jones Leather-Like Binders with DublLock Round Rings</t>
  </si>
  <si>
    <t>CA-2013-111913</t>
  </si>
  <si>
    <t>Mitel 5320 IP Phone VoIP phone</t>
  </si>
  <si>
    <t>US-2014-155999</t>
  </si>
  <si>
    <t>GE DSL Phone Line Filter</t>
  </si>
  <si>
    <t>CA-2013-163573</t>
  </si>
  <si>
    <t>Amy Cox</t>
  </si>
  <si>
    <t>CA-2012-153416</t>
  </si>
  <si>
    <t>Toby Swindell</t>
  </si>
  <si>
    <t>Avery Reinforcements for Hole-Punch Pages</t>
  </si>
  <si>
    <t>CA-2014-133823</t>
  </si>
  <si>
    <t>CA-2012-121272</t>
  </si>
  <si>
    <t>Acco 6 Outlet Guardian Premium Plus Surge Suppressor</t>
  </si>
  <si>
    <t>CA-2014-105914</t>
  </si>
  <si>
    <t>Performers Binder/Pad Holder, Black</t>
  </si>
  <si>
    <t>CA-2014-112725</t>
  </si>
  <si>
    <t>US-2014-106131</t>
  </si>
  <si>
    <t>Tracy Poddar</t>
  </si>
  <si>
    <t>CA-2011-157924</t>
  </si>
  <si>
    <t>Iris Project Case</t>
  </si>
  <si>
    <t>CA-2012-100216</t>
  </si>
  <si>
    <t>Heather Jas</t>
  </si>
  <si>
    <t>Xerox 210</t>
  </si>
  <si>
    <t>CA-2014-100601</t>
  </si>
  <si>
    <t>CA-2012-154340</t>
  </si>
  <si>
    <t>Eileen Kiefer</t>
  </si>
  <si>
    <t>Boston Electric Pencil Sharpener, Model 1818, Charcoal Black</t>
  </si>
  <si>
    <t>CA-2013-148593</t>
  </si>
  <si>
    <t>Wirebound Message Books, Four 2 3/4" x 5" Forms per Page, 600 Sets per Book</t>
  </si>
  <si>
    <t>US-2014-119039</t>
  </si>
  <si>
    <t>Economy Binders</t>
  </si>
  <si>
    <t>CA-2012-150875</t>
  </si>
  <si>
    <t>Boise</t>
  </si>
  <si>
    <t>CA-2012-154200</t>
  </si>
  <si>
    <t>Bruce Geld</t>
  </si>
  <si>
    <t>BOSTON Ranger #55 Pencil Sharpener, Black</t>
  </si>
  <si>
    <t>CA-2013-124233</t>
  </si>
  <si>
    <t>CA-2012-111234</t>
  </si>
  <si>
    <t>Smead Alpha-Z Color-Coded Second Alphabetical Labels and Starter Set</t>
  </si>
  <si>
    <t>CA-2014-149881</t>
  </si>
  <si>
    <t>Nick Crebassa</t>
  </si>
  <si>
    <t>Safco Value Mate Steel Bookcase, Baked Enamel Finish on Steel, Black</t>
  </si>
  <si>
    <t>CA-2014-134565</t>
  </si>
  <si>
    <t>Xerox 1939</t>
  </si>
  <si>
    <t>CA-2012-154970</t>
  </si>
  <si>
    <t>Steven Roelle</t>
  </si>
  <si>
    <t>CA-2014-147144</t>
  </si>
  <si>
    <t>Boston 1827 Commercial Additional Cutter, Drive Gear &amp; Gear Rack for 1606</t>
  </si>
  <si>
    <t>CA-2011-133704</t>
  </si>
  <si>
    <t>Michelle Arnett</t>
  </si>
  <si>
    <t>CA-2011-138436</t>
  </si>
  <si>
    <t>CA-2012-101924</t>
  </si>
  <si>
    <t>Ken Black</t>
  </si>
  <si>
    <t>Acco Flexible ACCOHIDE Square Ring Data Binder, Dark Blue, 11 1/2" X 14" 7/8"</t>
  </si>
  <si>
    <t>CA-2013-124793</t>
  </si>
  <si>
    <t>Muhammed MacIntyre</t>
  </si>
  <si>
    <t>US-2014-124821</t>
  </si>
  <si>
    <t>Chromcraft Bull-Nose Wood Round Conference Table Top, Wood Base</t>
  </si>
  <si>
    <t>US-2014-158505</t>
  </si>
  <si>
    <t>PayAnywhere Card Reader</t>
  </si>
  <si>
    <t>CA-2012-142692</t>
  </si>
  <si>
    <t>Andrew Gjertsen</t>
  </si>
  <si>
    <t>CA-2014-151358</t>
  </si>
  <si>
    <t>Nicole Fjeld</t>
  </si>
  <si>
    <t>CA-2014-102407</t>
  </si>
  <si>
    <t>Newell 314</t>
  </si>
  <si>
    <t>CA-2014-101581</t>
  </si>
  <si>
    <t>David Wiener</t>
  </si>
  <si>
    <t>CA-2014-169124</t>
  </si>
  <si>
    <t>Citrus Heights</t>
  </si>
  <si>
    <t>CA-2014-117261</t>
  </si>
  <si>
    <t>Tiffany House</t>
  </si>
  <si>
    <t>Rogers Jumbo File, Granite</t>
  </si>
  <si>
    <t>CA-2011-162278</t>
  </si>
  <si>
    <t>Angele Hood</t>
  </si>
  <si>
    <t>CA-2013-161095</t>
  </si>
  <si>
    <t>Chris Selesnick</t>
  </si>
  <si>
    <t>Recycled Pressboard Report Cover with Reinforced Top Hinge</t>
  </si>
  <si>
    <t>CA-2011-125829</t>
  </si>
  <si>
    <t>Polycom SoundPoint Pro SE-225 Corded phone</t>
  </si>
  <si>
    <t>CA-2012-115945</t>
  </si>
  <si>
    <t>CA-2012-136735</t>
  </si>
  <si>
    <t>Airmail Envelopes</t>
  </si>
  <si>
    <t>CA-2011-152345</t>
  </si>
  <si>
    <t>Shui Tom</t>
  </si>
  <si>
    <t>Mediabridge Sport Armband iPhone 5s</t>
  </si>
  <si>
    <t>CA-2014-107909</t>
  </si>
  <si>
    <t>Sung Shariari</t>
  </si>
  <si>
    <t>Logitech LS21 Speaker System - PC Multimedia - 2.1-CH - Wired</t>
  </si>
  <si>
    <t>CA-2012-154795</t>
  </si>
  <si>
    <t>Bullhead City</t>
  </si>
  <si>
    <t>#6 3/4 Gummed Flap White Envelopes</t>
  </si>
  <si>
    <t>CA-2012-125234</t>
  </si>
  <si>
    <t>CA-2014-105410</t>
  </si>
  <si>
    <t>CA-2014-169894</t>
  </si>
  <si>
    <t>Mark Van Huff</t>
  </si>
  <si>
    <t>CA-2014-107748</t>
  </si>
  <si>
    <t>Alex Grayson</t>
  </si>
  <si>
    <t>Jackery Bar Premium Fast-charging Portable Charger</t>
  </si>
  <si>
    <t>CA-2011-166954</t>
  </si>
  <si>
    <t>San Gabriel</t>
  </si>
  <si>
    <t>CA-2012-152891</t>
  </si>
  <si>
    <t>Trudy Brown</t>
  </si>
  <si>
    <t>CA-2013-156811</t>
  </si>
  <si>
    <t>Bart Pistole</t>
  </si>
  <si>
    <t>CA-2013-148740</t>
  </si>
  <si>
    <t>Anna Häberlin</t>
  </si>
  <si>
    <t>Polycom SoundPoint IP 450 VoIP phone</t>
  </si>
  <si>
    <t>CA-2013-114538</t>
  </si>
  <si>
    <t>SANFORD Major Accent Highlighters</t>
  </si>
  <si>
    <t>US-2011-154879</t>
  </si>
  <si>
    <t>CA-2011-153983</t>
  </si>
  <si>
    <t>Wilson SignalBoost 841262 DB PRO Amplifier Kit</t>
  </si>
  <si>
    <t>US-2014-103226</t>
  </si>
  <si>
    <t>Southworth 25% Cotton Linen-Finish Paper &amp; Envelopes</t>
  </si>
  <si>
    <t>CA-2012-121965</t>
  </si>
  <si>
    <t>Eldon 200 Class Desk Accessories</t>
  </si>
  <si>
    <t>CA-2013-147137</t>
  </si>
  <si>
    <t>Anna Andreadi</t>
  </si>
  <si>
    <t>Master Caster Door Stop, Brown</t>
  </si>
  <si>
    <t>US-2012-146745</t>
  </si>
  <si>
    <t>Ann Steele</t>
  </si>
  <si>
    <t>CA-2014-115175</t>
  </si>
  <si>
    <t>Xerox 1891</t>
  </si>
  <si>
    <t>CA-2014-105851</t>
  </si>
  <si>
    <t>Martin Yale Chadless Opener Electric Letter Opener</t>
  </si>
  <si>
    <t>US-2014-125717</t>
  </si>
  <si>
    <t>CA-2012-163895</t>
  </si>
  <si>
    <t>CA-2013-109365</t>
  </si>
  <si>
    <t>Stockwell Push Pins</t>
  </si>
  <si>
    <t>CA-2014-105921</t>
  </si>
  <si>
    <t>Janet Martin</t>
  </si>
  <si>
    <t>Chromcraft Round Conference Tables</t>
  </si>
  <si>
    <t>CA-2014-112753</t>
  </si>
  <si>
    <t>CA-2011-103401</t>
  </si>
  <si>
    <t>Georgia Rosenberg</t>
  </si>
  <si>
    <t>Xerox 211</t>
  </si>
  <si>
    <t>CA-2013-124814</t>
  </si>
  <si>
    <t>Xerox 227</t>
  </si>
  <si>
    <t>US-2011-138247</t>
  </si>
  <si>
    <t>Seidio BD2-HK3IPH5-BK DILEX Case and Holster Combo for Apple iPhone 5/5s - Black</t>
  </si>
  <si>
    <t>CA-2014-167003</t>
  </si>
  <si>
    <t>Vivek Sundaresam</t>
  </si>
  <si>
    <t>CA-2013-118969</t>
  </si>
  <si>
    <t>Liz Preis</t>
  </si>
  <si>
    <t>Premier Elliptical Ring Binder, Black</t>
  </si>
  <si>
    <t>US-2013-128678</t>
  </si>
  <si>
    <t>Rob Beeghly</t>
  </si>
  <si>
    <t>TOPS "Important Message" Pads, Canary, 4-1/4 x 5-1/2, 50 Sheets per Pad</t>
  </si>
  <si>
    <t>CA-2013-101385</t>
  </si>
  <si>
    <t>Julia West</t>
  </si>
  <si>
    <t>BIC Brite Liner Highlighters</t>
  </si>
  <si>
    <t>CA-2014-105445</t>
  </si>
  <si>
    <t>CA-2011-140403</t>
  </si>
  <si>
    <t>CA-2012-163104</t>
  </si>
  <si>
    <t>Mike Caudle</t>
  </si>
  <si>
    <t>CA-2014-138464</t>
  </si>
  <si>
    <t>Master Big Foot Doorstop, Beige</t>
  </si>
  <si>
    <t>US-2011-165862</t>
  </si>
  <si>
    <t>Bevis Round Conference Table Top &amp; Single Column Base</t>
  </si>
  <si>
    <t>US-2011-106334</t>
  </si>
  <si>
    <t>US-2014-117331</t>
  </si>
  <si>
    <t>Lock-Up Easel 'Spel-Binder'</t>
  </si>
  <si>
    <t>CA-2012-118871</t>
  </si>
  <si>
    <t>Tyvek Side-Opening Peel &amp; Seel Expanding Envelopes</t>
  </si>
  <si>
    <t>CA-2011-101175</t>
  </si>
  <si>
    <t>Acco Perma 3000 Stacking Storage Drawers</t>
  </si>
  <si>
    <t>CA-2011-169460</t>
  </si>
  <si>
    <t>Executive Impressions 13" Chairman Wall Clock</t>
  </si>
  <si>
    <t>CA-2014-126662</t>
  </si>
  <si>
    <t>Brother DCP1000 Digital 3 in 1 Multifunction Machine</t>
  </si>
  <si>
    <t>US-2011-121734</t>
  </si>
  <si>
    <t>Lewiston</t>
  </si>
  <si>
    <t>US-2013-100405</t>
  </si>
  <si>
    <t>Tom Stivers</t>
  </si>
  <si>
    <t>Newell Chalk Holder</t>
  </si>
  <si>
    <t>US-2014-163790</t>
  </si>
  <si>
    <t>Danville</t>
  </si>
  <si>
    <t>CA-2013-129868</t>
  </si>
  <si>
    <t>US-2014-141852</t>
  </si>
  <si>
    <t>CA-2014-145219</t>
  </si>
  <si>
    <t>Robert Marley</t>
  </si>
  <si>
    <t>Hewlett Packard LaserJet 3310 Copier</t>
  </si>
  <si>
    <t>CA-2014-168396</t>
  </si>
  <si>
    <t>Bruce Degenhardt</t>
  </si>
  <si>
    <t>CA-2012-130456</t>
  </si>
  <si>
    <t>David Smith</t>
  </si>
  <si>
    <t>Sauder Camden County Collection Library</t>
  </si>
  <si>
    <t>CA-2014-116288</t>
  </si>
  <si>
    <t>Bill Stewart</t>
  </si>
  <si>
    <t>CA-2014-168228</t>
  </si>
  <si>
    <t>Boston School Pro Electric Pencil Sharpener, 1670</t>
  </si>
  <si>
    <t>CA-2014-130141</t>
  </si>
  <si>
    <t>Helen Abelman</t>
  </si>
  <si>
    <t>Storex Flexible Poly Binders with Double Pockets</t>
  </si>
  <si>
    <t>CA-2012-147501</t>
  </si>
  <si>
    <t>Corey-Lock</t>
  </si>
  <si>
    <t>Ibico Presentation Index for Binding Systems</t>
  </si>
  <si>
    <t>CA-2014-129357</t>
  </si>
  <si>
    <t>Xerox 1917</t>
  </si>
  <si>
    <t>CA-2014-150987</t>
  </si>
  <si>
    <t>CA-2014-159107</t>
  </si>
  <si>
    <t>Acco Banker's Clasps, 5 3/4"-Long</t>
  </si>
  <si>
    <t>CA-2013-116547</t>
  </si>
  <si>
    <t>CA-2011-114510</t>
  </si>
  <si>
    <t>Logan</t>
  </si>
  <si>
    <t>CA-2011-138681</t>
  </si>
  <si>
    <t>CA-2014-138149</t>
  </si>
  <si>
    <t>GBC DocuBind TL200 Manual Binding Machine</t>
  </si>
  <si>
    <t>CA-2014-121643</t>
  </si>
  <si>
    <t>Aastra 6757i CT Wireless VoIP phone</t>
  </si>
  <si>
    <t>US-2012-122910</t>
  </si>
  <si>
    <t>VTech DS6151</t>
  </si>
  <si>
    <t>CA-2014-143126</t>
  </si>
  <si>
    <t>Bevis Oval Conference Table, Walnut</t>
  </si>
  <si>
    <t>CA-2012-109736</t>
  </si>
  <si>
    <t>Denny Joy</t>
  </si>
  <si>
    <t>CA-2012-142601</t>
  </si>
  <si>
    <t>Deanra Eno</t>
  </si>
  <si>
    <t>Tennsco Stur-D-Stor Boltless Shelving, 5 Shelves, 24" Deep, Sand</t>
  </si>
  <si>
    <t>US-2014-135230</t>
  </si>
  <si>
    <t>CA-2011-123323</t>
  </si>
  <si>
    <t>Lena Hernandez</t>
  </si>
  <si>
    <t>US-2012-103996</t>
  </si>
  <si>
    <t>Richard Bierner</t>
  </si>
  <si>
    <t>Xerox 1880</t>
  </si>
  <si>
    <t>CA-2012-105725</t>
  </si>
  <si>
    <t>Avery 4027 File Folder Labels for Dot Matrix Printers, 5000 Labels per Box, White</t>
  </si>
  <si>
    <t>CA-2014-164364</t>
  </si>
  <si>
    <t>Christine Sundaresam</t>
  </si>
  <si>
    <t>Avery 483</t>
  </si>
  <si>
    <t>CA-2013-120005</t>
  </si>
  <si>
    <t>Theresa Swint</t>
  </si>
  <si>
    <t>CA-2013-123526</t>
  </si>
  <si>
    <t>Benjamin Venier</t>
  </si>
  <si>
    <t>CA-2013-127649</t>
  </si>
  <si>
    <t>CA-2011-112851</t>
  </si>
  <si>
    <t>Nick Radford</t>
  </si>
  <si>
    <t>Tyvek Interoffice Envelopes, 9 1/2" x 12 1/2", 100/Box</t>
  </si>
  <si>
    <t>CA-2014-123701</t>
  </si>
  <si>
    <t>BIC Liqua Brite Liner</t>
  </si>
  <si>
    <t>US-2013-114888</t>
  </si>
  <si>
    <t>US-2011-167262</t>
  </si>
  <si>
    <t>Avondale</t>
  </si>
  <si>
    <t>CA-2014-108091</t>
  </si>
  <si>
    <t>Newell 328</t>
  </si>
  <si>
    <t>CA-2012-104346</t>
  </si>
  <si>
    <t>Newell 313</t>
  </si>
  <si>
    <t>CA-2012-144722</t>
  </si>
  <si>
    <t>Monica Federle</t>
  </si>
  <si>
    <t>CA-2012-137708</t>
  </si>
  <si>
    <t>Nathan Gelder</t>
  </si>
  <si>
    <t>CA-2013-111696</t>
  </si>
  <si>
    <t>CA-2013-134222</t>
  </si>
  <si>
    <t>Yuma</t>
  </si>
  <si>
    <t>US-2014-136707</t>
  </si>
  <si>
    <t>Jim Epp</t>
  </si>
  <si>
    <t>Acco 3-Hole Punch</t>
  </si>
  <si>
    <t>CA-2014-167661</t>
  </si>
  <si>
    <t>Avery Framed View Binder, EZD Ring (Locking), Navy, 1 1/2"</t>
  </si>
  <si>
    <t>US-2011-128685</t>
  </si>
  <si>
    <t>CA-2011-164469</t>
  </si>
  <si>
    <t>Plantronics 81402</t>
  </si>
  <si>
    <t>CA-2011-107818</t>
  </si>
  <si>
    <t>Pasco</t>
  </si>
  <si>
    <t>Prang Colored Pencils</t>
  </si>
  <si>
    <t>CA-2011-113320</t>
  </si>
  <si>
    <t>CA-2012-137526</t>
  </si>
  <si>
    <t>CA-2014-122490</t>
  </si>
  <si>
    <t>CA-2014-104080</t>
  </si>
  <si>
    <t>Green Canvas Binder for 8-1/2" x 14" Sheets</t>
  </si>
  <si>
    <t>CA-2013-135776</t>
  </si>
  <si>
    <t>Edward Hooks</t>
  </si>
  <si>
    <t>Newell 317</t>
  </si>
  <si>
    <t>CA-2013-130484</t>
  </si>
  <si>
    <t>Sheri Gordon</t>
  </si>
  <si>
    <t>CA-2014-120936</t>
  </si>
  <si>
    <t>Christine Abelman</t>
  </si>
  <si>
    <t xml:space="preserve">Iceberg Mobile Mega Data/Printer Cart </t>
  </si>
  <si>
    <t>CA-2012-161830</t>
  </si>
  <si>
    <t>CA-2014-143651</t>
  </si>
  <si>
    <t>Newell 309</t>
  </si>
  <si>
    <t>CA-2012-106978</t>
  </si>
  <si>
    <t>#10 White Business Envelopes,4 1/8 x 9 1/2</t>
  </si>
  <si>
    <t>CA-2012-155124</t>
  </si>
  <si>
    <t>Karen Seio</t>
  </si>
  <si>
    <t>Lehi</t>
  </si>
  <si>
    <t>SmartStand Mobile Device Holder, Assorted Colors</t>
  </si>
  <si>
    <t>CA-2011-157147</t>
  </si>
  <si>
    <t>Brian Dahlen</t>
  </si>
  <si>
    <t>CA-2013-151372</t>
  </si>
  <si>
    <t>14-7/8 x 11 Blue Bar Computer Printout Paper</t>
  </si>
  <si>
    <t>CA-2011-102085</t>
  </si>
  <si>
    <t>Joy Daniels</t>
  </si>
  <si>
    <t>Avery 519</t>
  </si>
  <si>
    <t>CA-2014-107125</t>
  </si>
  <si>
    <t>CA-2014-117926</t>
  </si>
  <si>
    <t>Belkin 8-Outlet Premiere SurgeMaster II Surge Protectors</t>
  </si>
  <si>
    <t>CA-2011-160262</t>
  </si>
  <si>
    <t>CA-2013-166226</t>
  </si>
  <si>
    <t>Tracy Collins</t>
  </si>
  <si>
    <t>Grandstream GXP2100 Mainstream Business Phone</t>
  </si>
  <si>
    <t>CA-2011-156587</t>
  </si>
  <si>
    <t>Aaron Bergman</t>
  </si>
  <si>
    <t>Global Push Button Manager's Chair, Indigo</t>
  </si>
  <si>
    <t>CA-2013-164896</t>
  </si>
  <si>
    <t>CA-2011-160066</t>
  </si>
  <si>
    <t>Permanent Self-Adhesive File Folder Labels for Typewriters by Universal</t>
  </si>
  <si>
    <t>CA-2013-109925</t>
  </si>
  <si>
    <t>CA-2013-149279</t>
  </si>
  <si>
    <t>Craig Leslie</t>
  </si>
  <si>
    <t>CA-2014-107321</t>
  </si>
  <si>
    <t>Arthur Wiediger</t>
  </si>
  <si>
    <t>Acco Suede Grain Vinyl Round Ring Binder</t>
  </si>
  <si>
    <t>CA-2013-129238</t>
  </si>
  <si>
    <t>Sample Company A</t>
  </si>
  <si>
    <t>AT&amp;T 1080 Phone</t>
  </si>
  <si>
    <t>CA-2014-159688</t>
  </si>
  <si>
    <t>Adam Bellavance</t>
  </si>
  <si>
    <t>Logitech G600 MMO Gaming Mouse</t>
  </si>
  <si>
    <t>CA-2013-155033</t>
  </si>
  <si>
    <t>Cindy Chapman</t>
  </si>
  <si>
    <t>Astroparche Fine Business Paper</t>
  </si>
  <si>
    <t>US-2014-139647</t>
  </si>
  <si>
    <t>CA-2011-127558</t>
  </si>
  <si>
    <t>Shahid Shariari</t>
  </si>
  <si>
    <t>Eldon 100 Class Desk Accessories</t>
  </si>
  <si>
    <t>CA-2013-133795</t>
  </si>
  <si>
    <t>SanDisk Cruzer 64 GB USB Flash Drive</t>
  </si>
  <si>
    <t>CA-2014-139304</t>
  </si>
  <si>
    <t>Newell 339</t>
  </si>
  <si>
    <t>CA-2011-169803</t>
  </si>
  <si>
    <t>CA-2013-158694</t>
  </si>
  <si>
    <t>Arianne Irving</t>
  </si>
  <si>
    <t>Embossed Ink Jet Note Cards</t>
  </si>
  <si>
    <t>CA-2012-150511</t>
  </si>
  <si>
    <t>CA-2012-162166</t>
  </si>
  <si>
    <t>Moreno Valley</t>
  </si>
  <si>
    <t>Xerox 1928</t>
  </si>
  <si>
    <t>CA-2014-160934</t>
  </si>
  <si>
    <t>Tonja Turnell</t>
  </si>
  <si>
    <t>Newell 347</t>
  </si>
  <si>
    <t>CA-2012-145485</t>
  </si>
  <si>
    <t>CA-2014-151071</t>
  </si>
  <si>
    <t>Mick Brown</t>
  </si>
  <si>
    <t>US-2014-133312</t>
  </si>
  <si>
    <t>Bradley Drucker</t>
  </si>
  <si>
    <t>Sauder Forest Hills Library, Woodland Oak Finish</t>
  </si>
  <si>
    <t>CA-2014-132738</t>
  </si>
  <si>
    <t>Loveland</t>
  </si>
  <si>
    <t>Hammermill CopyPlus Copy Paper (20Lb. and 84 Bright)</t>
  </si>
  <si>
    <t>CA-2014-156720</t>
  </si>
  <si>
    <t>Jill Matthias</t>
  </si>
  <si>
    <t>Bagged Rubber Bands</t>
  </si>
  <si>
    <t>CA-2012-141936</t>
  </si>
  <si>
    <t>Parhena Norris</t>
  </si>
  <si>
    <t>Cardinal Hold-It CD Pocket</t>
  </si>
  <si>
    <t>CA-2013-150658</t>
  </si>
  <si>
    <t>CA-2014-146626</t>
  </si>
  <si>
    <t>Nu-Dell Executive Frame</t>
  </si>
  <si>
    <t>CA-2013-151323</t>
  </si>
  <si>
    <t>CA-2012-146696</t>
  </si>
  <si>
    <t>Wilson Jones Standard D-Ring Binders</t>
  </si>
  <si>
    <t>CA-2012-154886</t>
  </si>
  <si>
    <t>Shaun Weien</t>
  </si>
  <si>
    <t>Microsoft Arc Touch Mouse</t>
  </si>
  <si>
    <t>CA-2014-161333</t>
  </si>
  <si>
    <t>CA-2014-128734</t>
  </si>
  <si>
    <t>James Lanier</t>
  </si>
  <si>
    <t>Chandler</t>
  </si>
  <si>
    <t>Acrylic Self-Standing Desk Frames</t>
  </si>
  <si>
    <t>CA-2014-125101</t>
  </si>
  <si>
    <t>CA-2014-169929</t>
  </si>
  <si>
    <t>Luke Schmidt</t>
  </si>
  <si>
    <t>Helena</t>
  </si>
  <si>
    <t>CA-2012-156146</t>
  </si>
  <si>
    <t>Panasonic KX-TG6844B Expandable Digital Cordless Telephone</t>
  </si>
  <si>
    <t>CA-2011-111192</t>
  </si>
  <si>
    <t>CA-2012-161627</t>
  </si>
  <si>
    <t>Novimex Turbo Task Chair</t>
  </si>
  <si>
    <t>CA-2012-107741</t>
  </si>
  <si>
    <t>Fred Chung</t>
  </si>
  <si>
    <t>CA-2013-148908</t>
  </si>
  <si>
    <t>US-2012-120502</t>
  </si>
  <si>
    <t>Flat Face Poster Frame</t>
  </si>
  <si>
    <t>US-2014-141943</t>
  </si>
  <si>
    <t>Darren Koutras</t>
  </si>
  <si>
    <t>Peel &amp; Seel Recycled Catalog Envelopes, Brown</t>
  </si>
  <si>
    <t>CA-2011-159709</t>
  </si>
  <si>
    <t>Strathmore #10 Envelopes, Ultimate White</t>
  </si>
  <si>
    <t>CA-2012-142454</t>
  </si>
  <si>
    <t>Richard Eichhorn</t>
  </si>
  <si>
    <t>Tensor Computer Mounted Lamp</t>
  </si>
  <si>
    <t>CA-2013-145898</t>
  </si>
  <si>
    <t>Advantus Rolling Storage Box</t>
  </si>
  <si>
    <t>CA-2014-134635</t>
  </si>
  <si>
    <t>Xerox 1883</t>
  </si>
  <si>
    <t>US-2014-109582</t>
  </si>
  <si>
    <t>US-2011-147648</t>
  </si>
  <si>
    <t>Xerox 1893</t>
  </si>
  <si>
    <t>CA-2014-124436</t>
  </si>
  <si>
    <t>SpineVue Locking Slant-D Ring Binders by Cardinal</t>
  </si>
  <si>
    <t>CA-2014-131037</t>
  </si>
  <si>
    <t>Tony Molinari</t>
  </si>
  <si>
    <t>CA-2013-116561</t>
  </si>
  <si>
    <t>Eugene Barchas</t>
  </si>
  <si>
    <t>Stur-D-Stor Shelving, Vertical 5-Shelf: 72"H x 36"W x 18 1/2"D</t>
  </si>
  <si>
    <t>CA-2013-110730</t>
  </si>
  <si>
    <t>Candace McMahon</t>
  </si>
  <si>
    <t>Acme Design Stainless Steel Bent Scissors</t>
  </si>
  <si>
    <t>CA-2013-156265</t>
  </si>
  <si>
    <t>Barry Französisch</t>
  </si>
  <si>
    <t>Barricks Non-Folding Utility Table with Steel Legs, Laminate Tops</t>
  </si>
  <si>
    <t>US-2014-110989</t>
  </si>
  <si>
    <t>Eva Jacobs</t>
  </si>
  <si>
    <t>US-2011-131982</t>
  </si>
  <si>
    <t>Catalog Binders with Expanding Posts</t>
  </si>
  <si>
    <t>US-2014-114034</t>
  </si>
  <si>
    <t>Delfina Latchford</t>
  </si>
  <si>
    <t>US-2014-115595</t>
  </si>
  <si>
    <t>Wirebound Message Books, 2 7/8" x 5", 3 Forms per Page</t>
  </si>
  <si>
    <t>CA-2014-147452</t>
  </si>
  <si>
    <t>CA-2014-144484</t>
  </si>
  <si>
    <t>Cassandra Brandow</t>
  </si>
  <si>
    <t>6" Cubicle Wall Clock, Black</t>
  </si>
  <si>
    <t>CA-2014-125913</t>
  </si>
  <si>
    <t>CA-2011-133424</t>
  </si>
  <si>
    <t>Sterilite Show Offs Storage Containers</t>
  </si>
  <si>
    <t>CA-2014-105991</t>
  </si>
  <si>
    <t>US-2014-136784</t>
  </si>
  <si>
    <t>CA-2013-106656</t>
  </si>
  <si>
    <t>CA-2014-137876</t>
  </si>
  <si>
    <t>Seth Thomas 16" Steel Case Clock</t>
  </si>
  <si>
    <t>CA-2012-119508</t>
  </si>
  <si>
    <t>Avery Hi-Liter Fluorescent Desk Style Markers</t>
  </si>
  <si>
    <t>CA-2011-130813</t>
  </si>
  <si>
    <t>Lycoris Saunders</t>
  </si>
  <si>
    <t>Xerox 225</t>
  </si>
  <si>
    <t>CA-2012-169278</t>
  </si>
  <si>
    <t>Ibico Plastic and Wire Spiral Binding Combs</t>
  </si>
  <si>
    <t>CA-2014-111577</t>
  </si>
  <si>
    <t>Anthony Jacobs</t>
  </si>
  <si>
    <t>Green Bar Computer Printout Paper</t>
  </si>
  <si>
    <t>CA-2014-108539</t>
  </si>
  <si>
    <t>CA-2011-113768</t>
  </si>
  <si>
    <t>Aaron Hawkins</t>
  </si>
  <si>
    <t>Iceberg Nesting Folding Chair, 19w x 6d x 43h</t>
  </si>
  <si>
    <t>CA-2013-138037</t>
  </si>
  <si>
    <t>Andy Reiter</t>
  </si>
  <si>
    <t>CA-2011-150490</t>
  </si>
  <si>
    <t>CA-2011-123477</t>
  </si>
  <si>
    <t>CA-2014-158071</t>
  </si>
  <si>
    <t>CA-2014-134152</t>
  </si>
  <si>
    <t>Roy Phan</t>
  </si>
  <si>
    <t>CA-2013-136021</t>
  </si>
  <si>
    <t>Array Memo Cubes</t>
  </si>
  <si>
    <t>CA-2014-164707</t>
  </si>
  <si>
    <t>iHome FM Clock Radio with Lightning Dock</t>
  </si>
  <si>
    <t>CA-2014-163874</t>
  </si>
  <si>
    <t>CA-2011-104829</t>
  </si>
  <si>
    <t>John Grady</t>
  </si>
  <si>
    <t>US-2013-147340</t>
  </si>
  <si>
    <t>CA-2013-145492</t>
  </si>
  <si>
    <t>Matt Connell</t>
  </si>
  <si>
    <t>Bravo II Megaboss 12-Amp Hard Body Upright, Replacement Belts, 2 Belts per Pack</t>
  </si>
  <si>
    <t>CA-2013-117681</t>
  </si>
  <si>
    <t>Bush Somerset Collection Bookcase</t>
  </si>
  <si>
    <t>CA-2014-132262</t>
  </si>
  <si>
    <t>Muhammed Lee</t>
  </si>
  <si>
    <t>US-2013-143280</t>
  </si>
  <si>
    <t>AT&amp;T 1070 Corded Phone</t>
  </si>
  <si>
    <t>CA-2014-108854</t>
  </si>
  <si>
    <t>Denise Monton</t>
  </si>
  <si>
    <t>Standard Line While You Were Out Hardbound Telephone Message Book</t>
  </si>
  <si>
    <t>CA-2014-166856</t>
  </si>
  <si>
    <t>Clovis</t>
  </si>
  <si>
    <t>US-2013-163258</t>
  </si>
  <si>
    <t>Acco Translucent Poly Ring Binders</t>
  </si>
  <si>
    <t>CA-2013-153598</t>
  </si>
  <si>
    <t>Logitech Z-906 Speaker sys - home theater - 5.1-CH</t>
  </si>
  <si>
    <t>US-2013-108497</t>
  </si>
  <si>
    <t>Marc Harrigan</t>
  </si>
  <si>
    <t>Bush Heritage Pine Collection 5-Shelf Bookcase, Albany Pine Finish, *Special Order</t>
  </si>
  <si>
    <t>CA-2013-113096</t>
  </si>
  <si>
    <t>Tenex File Box, Personal Filing Tote with Lid, Black</t>
  </si>
  <si>
    <t>CA-2014-129707</t>
  </si>
  <si>
    <t>Larry Hughes</t>
  </si>
  <si>
    <t>Newell 318</t>
  </si>
  <si>
    <t>CA-2012-160171</t>
  </si>
  <si>
    <t>Sanyo Counter Height Refrigerator with Crisper, 3.6 Cubic Foot, Stainless Steel/Black</t>
  </si>
  <si>
    <t>CA-2014-155929</t>
  </si>
  <si>
    <t>Unpadded Memo Slips</t>
  </si>
  <si>
    <t>CA-2013-140613</t>
  </si>
  <si>
    <t>Fiskars 8" Scissors, 2/Pack</t>
  </si>
  <si>
    <t>CA-2014-130631</t>
  </si>
  <si>
    <t>Acco Glide Clips</t>
  </si>
  <si>
    <t>CA-2014-116680</t>
  </si>
  <si>
    <t>CA-2014-101574</t>
  </si>
  <si>
    <t>Longer-Life Soft White Bulbs</t>
  </si>
  <si>
    <t>CA-2011-146591</t>
  </si>
  <si>
    <t>CA-2013-122448</t>
  </si>
  <si>
    <t>Dean Braden</t>
  </si>
  <si>
    <t>CA-2011-132451</t>
  </si>
  <si>
    <t>Hon Deluxe Fabric Upholstered Stacking Chairs, Rounded Back</t>
  </si>
  <si>
    <t>CA-2014-116946</t>
  </si>
  <si>
    <t>OIC Stacking Trays</t>
  </si>
  <si>
    <t>CA-2014-105487</t>
  </si>
  <si>
    <t>Digium D40 VoIP phone</t>
  </si>
  <si>
    <t>CA-2011-105249</t>
  </si>
  <si>
    <t>Duane Huffman</t>
  </si>
  <si>
    <t>US-2013-162026</t>
  </si>
  <si>
    <t>Xerox 1925</t>
  </si>
  <si>
    <t>CA-2012-168529</t>
  </si>
  <si>
    <t>US-2011-137680</t>
  </si>
  <si>
    <t>Jennifer Halladay</t>
  </si>
  <si>
    <t>Message Book, Wirebound, Four 5 1/2" X 4" Forms/Pg., 200 Dupl. Sets/Book</t>
  </si>
  <si>
    <t>CA-2013-110982</t>
  </si>
  <si>
    <t>Chloris Kastensmidt</t>
  </si>
  <si>
    <t>CA-2013-147123</t>
  </si>
  <si>
    <t>Wirebound Message Books, Four 2 3/4 x 5 White Forms per Page</t>
  </si>
  <si>
    <t>CA-2014-154501</t>
  </si>
  <si>
    <t>Erin Ashbrook</t>
  </si>
  <si>
    <t>Faber Castell Col-Erase Pencils</t>
  </si>
  <si>
    <t>CA-2014-166933</t>
  </si>
  <si>
    <t>Santa Barbara</t>
  </si>
  <si>
    <t>Colored Push Pins</t>
  </si>
  <si>
    <t>CA-2013-134936</t>
  </si>
  <si>
    <t>SAFCO PlanMaster Boards, 60w x 37-1/2d, White Melamine</t>
  </si>
  <si>
    <t>CA-2014-151008</t>
  </si>
  <si>
    <t>Draper</t>
  </si>
  <si>
    <t>DAX Copper Panel Document Frame, 5 x 7 Size</t>
  </si>
  <si>
    <t>CA-2011-159800</t>
  </si>
  <si>
    <t>Acco 6 Outlet Guardian Premium Surge Suppressor</t>
  </si>
  <si>
    <t>US-2012-114741</t>
  </si>
  <si>
    <t>Xerox 20</t>
  </si>
  <si>
    <t>CA-2013-136686</t>
  </si>
  <si>
    <t>Roy Französisch</t>
  </si>
  <si>
    <t>Howard Miller 14-1/2" Diameter Chrome Round Wall Clock</t>
  </si>
  <si>
    <t>CA-2014-137498</t>
  </si>
  <si>
    <t>Newell 35</t>
  </si>
  <si>
    <t>CA-2011-116673</t>
  </si>
  <si>
    <t>Stackable Trays</t>
  </si>
  <si>
    <t>CA-2012-149993</t>
  </si>
  <si>
    <t>CA-2011-168158</t>
  </si>
  <si>
    <t>CA-2013-115224</t>
  </si>
  <si>
    <t>CA-2012-168634</t>
  </si>
  <si>
    <t>Art Ferguson</t>
  </si>
  <si>
    <t>Commercial WindTunnel Clean Air Upright Vacuum, Replacement Belts, Filtration Bags</t>
  </si>
  <si>
    <t>CA-2014-121027</t>
  </si>
  <si>
    <t>Plantronics Savi W720 Multi-Device Wireless Headset System</t>
  </si>
  <si>
    <t>CA-2012-101154</t>
  </si>
  <si>
    <t>CA-2013-121748</t>
  </si>
  <si>
    <t>Micro Innovations USB RF Wireless Keyboard with Mouse</t>
  </si>
  <si>
    <t>CA-2011-126683</t>
  </si>
  <si>
    <t>Paul Prost</t>
  </si>
  <si>
    <t>CA-2014-123022</t>
  </si>
  <si>
    <t>La Mesa</t>
  </si>
  <si>
    <t>CA-2011-154893</t>
  </si>
  <si>
    <t>CA-2014-120719</t>
  </si>
  <si>
    <t>CA-2014-168179</t>
  </si>
  <si>
    <t>Joy Bell-</t>
  </si>
  <si>
    <t>CA-2014-142342</t>
  </si>
  <si>
    <t>Xerox 221</t>
  </si>
  <si>
    <t>US-2011-134187</t>
  </si>
  <si>
    <t>CA-2013-145261</t>
  </si>
  <si>
    <t>CA-2013-108875</t>
  </si>
  <si>
    <t>Electrix 20W Halogen Replacement Bulb for Zoom-In Desk Lamp</t>
  </si>
  <si>
    <t>CA-2013-142405</t>
  </si>
  <si>
    <t>Avery 486</t>
  </si>
  <si>
    <t>CA-2012-141012</t>
  </si>
  <si>
    <t>Pocatello</t>
  </si>
  <si>
    <t>Luxo Adjustable Task Clamp Lamp</t>
  </si>
  <si>
    <t>CA-2013-146318</t>
  </si>
  <si>
    <t>CA-2011-135993</t>
  </si>
  <si>
    <t>Patrick Jones</t>
  </si>
  <si>
    <t>I Need's 3d Hello Kitty Hybrid Silicone Case Cover for HTC One X 4g with 3d Hello Kitty Stylus Pen Green/pink</t>
  </si>
  <si>
    <t>CA-2012-131072</t>
  </si>
  <si>
    <t>Avery Trapezoid Ring Binder, 3" Capacity, Black, 1040 sheets</t>
  </si>
  <si>
    <t>CA-2013-126165</t>
  </si>
  <si>
    <t>Amy Hunt</t>
  </si>
  <si>
    <t>Hon 61000 Series Interactive Training Tables</t>
  </si>
  <si>
    <t>CA-2014-148320</t>
  </si>
  <si>
    <t>Xerox 1992</t>
  </si>
  <si>
    <t>CA-2012-138674</t>
  </si>
  <si>
    <t>Advantus Push Pins</t>
  </si>
  <si>
    <t>CA-2013-165820</t>
  </si>
  <si>
    <t>Dorothy Wardle</t>
  </si>
  <si>
    <t>CA-2011-148614</t>
  </si>
  <si>
    <t>CA-2014-156139</t>
  </si>
  <si>
    <t>Becky Pak</t>
  </si>
  <si>
    <t>GBC Pre-Punched Binding Paper, Plastic, White, 8-1/2" x 11"</t>
  </si>
  <si>
    <t>US-2014-147886</t>
  </si>
  <si>
    <t>Dave Hallsten</t>
  </si>
  <si>
    <t>Xerox 1975</t>
  </si>
  <si>
    <t>CA-2013-125850</t>
  </si>
  <si>
    <t>Avery 475</t>
  </si>
  <si>
    <t>US-2013-111528</t>
  </si>
  <si>
    <t>Julie Prescott</t>
  </si>
  <si>
    <t>CA-2014-158169</t>
  </si>
  <si>
    <t>Lake Forest</t>
  </si>
  <si>
    <t>Avanti 4.4 Cu. Ft. Refrigerator</t>
  </si>
  <si>
    <t>CA-2012-117772</t>
  </si>
  <si>
    <t>Belkin 19" Center-Weighted Shelf, Gray</t>
  </si>
  <si>
    <t>US-2011-126340</t>
  </si>
  <si>
    <t>Redding</t>
  </si>
  <si>
    <t>Toshiba IPT2010-SD IP Telephone</t>
  </si>
  <si>
    <t>CA-2012-103835</t>
  </si>
  <si>
    <t>DAX Value U-Channel Document Frames, Easel Back</t>
  </si>
  <si>
    <t>CA-2013-142398</t>
  </si>
  <si>
    <t>Beth Paige</t>
  </si>
  <si>
    <t>Hon Comfortask Task/Swivel Chairs</t>
  </si>
  <si>
    <t>CA-2013-112060</t>
  </si>
  <si>
    <t>Xerox 1915</t>
  </si>
  <si>
    <t>CA-2011-105270</t>
  </si>
  <si>
    <t>US-2012-159513</t>
  </si>
  <si>
    <t>John Dryer</t>
  </si>
  <si>
    <t>Vtech AT&amp;T CL2940 Corded Speakerphone, Black</t>
  </si>
  <si>
    <t>CA-2012-155586</t>
  </si>
  <si>
    <t>Chico</t>
  </si>
  <si>
    <t>CA-2014-141117</t>
  </si>
  <si>
    <t>Juliana Krohn</t>
  </si>
  <si>
    <t>O'Sullivan 4-Shelf Bookcase in Odessa Pine</t>
  </si>
  <si>
    <t>CA-2014-140186</t>
  </si>
  <si>
    <t>CA-2012-163440</t>
  </si>
  <si>
    <t>US-2012-163279</t>
  </si>
  <si>
    <t>Justin Deggeller</t>
  </si>
  <si>
    <t>CA-2014-117632</t>
  </si>
  <si>
    <t>Charles Sheldon</t>
  </si>
  <si>
    <t>Compact Automatic Electric Letter Opener</t>
  </si>
  <si>
    <t>CA-2012-111206</t>
  </si>
  <si>
    <t>Logitech G35 7.1-Channel Surround Sound Headset</t>
  </si>
  <si>
    <t>CA-2014-133207</t>
  </si>
  <si>
    <t>Doug O'Connell</t>
  </si>
  <si>
    <t>Griffin GC17055 Auxiliary Audio Cable</t>
  </si>
  <si>
    <t>CA-2012-132948</t>
  </si>
  <si>
    <t>Rogers Profile Extra Capacity Storage Tub</t>
  </si>
  <si>
    <t>CA-2012-126725</t>
  </si>
  <si>
    <t>Brian Stugart</t>
  </si>
  <si>
    <t>RCA ViSYS 25825 Wireless digital phone</t>
  </si>
  <si>
    <t>US-2014-153255</t>
  </si>
  <si>
    <t>Joe Kamberova</t>
  </si>
  <si>
    <t>CA-2013-152247</t>
  </si>
  <si>
    <t>Cheyenne</t>
  </si>
  <si>
    <t>Wyoming</t>
  </si>
  <si>
    <t>CA-2013-128223</t>
  </si>
  <si>
    <t>Bush Cubix Conference Tables, Fully Assembled</t>
  </si>
  <si>
    <t>CA-2013-133935</t>
  </si>
  <si>
    <t>CA-2013-136301</t>
  </si>
  <si>
    <t>Westinghouse Mesh Shade Clip-On Gooseneck Lamp, Black</t>
  </si>
  <si>
    <t>US-2011-109456</t>
  </si>
  <si>
    <t>Lynn Smith</t>
  </si>
  <si>
    <t>Avery Non-Stick Heavy Duty View Round Locking Ring Binders</t>
  </si>
  <si>
    <t>CA-2014-100825</t>
  </si>
  <si>
    <t>Keith Dawkins</t>
  </si>
  <si>
    <t>CA-2011-168305</t>
  </si>
  <si>
    <t>CA-2014-108000</t>
  </si>
  <si>
    <t>CA-2012-146465</t>
  </si>
  <si>
    <t>Cardinal Poly Pocket Divider Pockets for Ring Binders</t>
  </si>
  <si>
    <t>US-2014-153948</t>
  </si>
  <si>
    <t>US-2013-113985</t>
  </si>
  <si>
    <t>GBC VeloBind Cover Sets</t>
  </si>
  <si>
    <t>CA-2013-155383</t>
  </si>
  <si>
    <t>Steve Carroll</t>
  </si>
  <si>
    <t>CA-2014-150420</t>
  </si>
  <si>
    <t>Giulietta Dortch</t>
  </si>
  <si>
    <t>Plantronics Audio 995 Wireless Stereo Headset</t>
  </si>
  <si>
    <t>CA-2013-103107</t>
  </si>
  <si>
    <t>CA-2014-112431</t>
  </si>
  <si>
    <t>Robert Waldorf</t>
  </si>
  <si>
    <t>CA-2013-151092</t>
  </si>
  <si>
    <t>CA-2011-104178</t>
  </si>
  <si>
    <t>Janet Molinari</t>
  </si>
  <si>
    <t>Eldon 200 Class Desk Accessories, Smoke</t>
  </si>
  <si>
    <t>CA-2013-127138</t>
  </si>
  <si>
    <t>CA-2014-150602</t>
  </si>
  <si>
    <t>CA-2011-140732</t>
  </si>
  <si>
    <t>Matt Abelman</t>
  </si>
  <si>
    <t>Mophie Juice Pack Helium for iPhone</t>
  </si>
  <si>
    <t>CA-2014-119011</t>
  </si>
  <si>
    <t>Lisa Ryan</t>
  </si>
  <si>
    <t>Acme Kleencut Forged Steel Scissors</t>
  </si>
  <si>
    <t>CA-2011-141726</t>
  </si>
  <si>
    <t>Xerox 189</t>
  </si>
  <si>
    <t>CA-2014-116953</t>
  </si>
  <si>
    <t>Susan Vittorini</t>
  </si>
  <si>
    <t>AT&amp;T 841000 Phone</t>
  </si>
  <si>
    <t>US-2014-163300</t>
  </si>
  <si>
    <t>US-2011-112991</t>
  </si>
  <si>
    <t>Caldwell</t>
  </si>
  <si>
    <t>Office Star - Contemporary Swivel Chair with Padded Adjustable Arms and Flex Back</t>
  </si>
  <si>
    <t>CA-2011-124079</t>
  </si>
  <si>
    <t>Randy Ferguson</t>
  </si>
  <si>
    <t>Electrix Incandescent Magnifying Lamp, Black</t>
  </si>
  <si>
    <t>CA-2014-107244</t>
  </si>
  <si>
    <t>Allen Goldenen</t>
  </si>
  <si>
    <t>CA-2012-135580</t>
  </si>
  <si>
    <t>Xerox 1929</t>
  </si>
  <si>
    <t>CA-2013-159016</t>
  </si>
  <si>
    <t>Rediform Voice Mail Log Books</t>
  </si>
  <si>
    <t>CA-2011-102652</t>
  </si>
  <si>
    <t>Tenex B1-RE Series Chair Mats for Low Pile Carpets</t>
  </si>
  <si>
    <t>CA-2014-136007</t>
  </si>
  <si>
    <t>Ann Chong</t>
  </si>
  <si>
    <t>US-2013-112970</t>
  </si>
  <si>
    <t>CA-2012-130253</t>
  </si>
  <si>
    <t>Master Caster Door Stop, Gray</t>
  </si>
  <si>
    <t>CA-2014-122364</t>
  </si>
  <si>
    <t>Wilson Electronics DB Pro Signal Booster</t>
  </si>
  <si>
    <t>CA-2013-117912</t>
  </si>
  <si>
    <t>Nu-Dell Float Frame 11 x 14 1/2</t>
  </si>
  <si>
    <t>CA-2012-113215</t>
  </si>
  <si>
    <t>Cathy Prescott</t>
  </si>
  <si>
    <t>CA-2012-111780</t>
  </si>
  <si>
    <t>CA-2014-166695</t>
  </si>
  <si>
    <t>CA-2014-121398</t>
  </si>
  <si>
    <t>CA-2012-114048</t>
  </si>
  <si>
    <t>US-2014-162068</t>
  </si>
  <si>
    <t>CA-2013-133802</t>
  </si>
  <si>
    <t>Redwood City</t>
  </si>
  <si>
    <t>CA-2014-143378</t>
  </si>
  <si>
    <t>Justin Ritter</t>
  </si>
  <si>
    <t>CA-2014-145772</t>
  </si>
  <si>
    <t>Saphhira Shifley</t>
  </si>
  <si>
    <t>Kingston Digital DataTraveler 16GB USB 2.0</t>
  </si>
  <si>
    <t>US-2011-158400</t>
  </si>
  <si>
    <t>CA-2013-148096</t>
  </si>
  <si>
    <t>Anthony O'Donnell</t>
  </si>
  <si>
    <t>Barricks 18" x 48" Non-Folding Utility Table with Bottom Storage Shelf</t>
  </si>
  <si>
    <t>CA-2013-146766</t>
  </si>
  <si>
    <t>CA-2011-131247</t>
  </si>
  <si>
    <t>O'Sullivan Living Dimensions 2-Shelf Bookcases</t>
  </si>
  <si>
    <t>US-2012-113593</t>
  </si>
  <si>
    <t>Nathan Cano</t>
  </si>
  <si>
    <t>Santa Maria</t>
  </si>
  <si>
    <t>CA-2011-133543</t>
  </si>
  <si>
    <t>Khloe Miller</t>
  </si>
  <si>
    <t>CA-2014-105130</t>
  </si>
  <si>
    <t>CA-2013-161928</t>
  </si>
  <si>
    <t>Anna Chung</t>
  </si>
  <si>
    <t>Ooma Telo VoIP Home Phone System</t>
  </si>
  <si>
    <t>CA-2014-101322</t>
  </si>
  <si>
    <t>Jason Gross</t>
  </si>
  <si>
    <t>CA-2011-111871</t>
  </si>
  <si>
    <t>CA-2014-139437</t>
  </si>
  <si>
    <t>Rogers Deluxe File Chest</t>
  </si>
  <si>
    <t>CA-2013-161025</t>
  </si>
  <si>
    <t>Fellowes Staxonsteel Drawer Files</t>
  </si>
  <si>
    <t>CA-2012-132815</t>
  </si>
  <si>
    <t>CA-2013-143609</t>
  </si>
  <si>
    <t>Global Fabric Manager's Chair, Dark Gray</t>
  </si>
  <si>
    <t>CA-2014-107986</t>
  </si>
  <si>
    <t>Mitch Webber</t>
  </si>
  <si>
    <t>CA-2013-118332</t>
  </si>
  <si>
    <t>CA-2014-119809</t>
  </si>
  <si>
    <t>Fellowes PB300 Plastic Comb Binding Machine</t>
  </si>
  <si>
    <t>CA-2014-149944</t>
  </si>
  <si>
    <t>Longview</t>
  </si>
  <si>
    <t>CA-2011-128538</t>
  </si>
  <si>
    <t>US-2014-157224</t>
  </si>
  <si>
    <t>Avery 48</t>
  </si>
  <si>
    <t>CA-2012-133445</t>
  </si>
  <si>
    <t>Bush Cubix Collection Bookcases, Fully Assembled</t>
  </si>
  <si>
    <t>US-2014-142188</t>
  </si>
  <si>
    <t>Jennifer Ferguson</t>
  </si>
  <si>
    <t>Office Star - Contemporary Task Swivel Chair</t>
  </si>
  <si>
    <t>CA-2012-134075</t>
  </si>
  <si>
    <t>Eldon Cleatmat Chair Mats for Medium Pile Carpets</t>
  </si>
  <si>
    <t>US-2013-131912</t>
  </si>
  <si>
    <t>XtraLife ClearVue Slant-D Ring Binder, White, 3"</t>
  </si>
  <si>
    <t>CA-2013-165561</t>
  </si>
  <si>
    <t>Clay Rozendal</t>
  </si>
  <si>
    <t>CA-2012-112305</t>
  </si>
  <si>
    <t>CA-2012-162607</t>
  </si>
  <si>
    <t>Rose O'Brian</t>
  </si>
  <si>
    <t>CA-2014-102379</t>
  </si>
  <si>
    <t>Brenda Bowman</t>
  </si>
  <si>
    <t>Anker Astro 15000mAh USB Portable Charger</t>
  </si>
  <si>
    <t>US-2013-139087</t>
  </si>
  <si>
    <t>Eldon Image Series Black Desk Accessories</t>
  </si>
  <si>
    <t>CA-2013-100944</t>
  </si>
  <si>
    <t>CA-2011-100090</t>
  </si>
  <si>
    <t>Hon 2111 Invitation Series Corner Table</t>
  </si>
  <si>
    <t>US-2012-139675</t>
  </si>
  <si>
    <t>CA-2012-151253</t>
  </si>
  <si>
    <t>Annie Zypern</t>
  </si>
  <si>
    <t>CA-2011-169852</t>
  </si>
  <si>
    <t>Sylvia Foulston</t>
  </si>
  <si>
    <t>Plastic Binding Combs</t>
  </si>
  <si>
    <t>CA-2014-107314</t>
  </si>
  <si>
    <t>Contemporary Borderless Frame</t>
  </si>
  <si>
    <t>CA-2013-163328</t>
  </si>
  <si>
    <t>Eugene</t>
  </si>
  <si>
    <t>Serrated Blade or Curved Handle Hand Letter Openers</t>
  </si>
  <si>
    <t>CA-2011-112837</t>
  </si>
  <si>
    <t>Liz Willingham</t>
  </si>
  <si>
    <t>Oxnard</t>
  </si>
  <si>
    <t>Deflect-o DuraMat Lighweight, Studded, Beveled Mat for Low Pile Carpeting</t>
  </si>
  <si>
    <t>CA-2014-161459</t>
  </si>
  <si>
    <t>CA-2012-110289</t>
  </si>
  <si>
    <t>Nona Balk</t>
  </si>
  <si>
    <t>CA-2013-165995</t>
  </si>
  <si>
    <t>Executive Impressions 10" Spectator Wall Clock</t>
  </si>
  <si>
    <t>CA-2012-104486</t>
  </si>
  <si>
    <t>Patrick O'Brill</t>
  </si>
  <si>
    <t>GBC Twin Loop Wire Binding Elements, 9/16" Spine, Black</t>
  </si>
  <si>
    <t>CA-2014-139080</t>
  </si>
  <si>
    <t>Pressboard Hanging Data Binders for Unburst Sheets</t>
  </si>
  <si>
    <t>CA-2012-115693</t>
  </si>
  <si>
    <t>Frank Carlisle</t>
  </si>
  <si>
    <t>US-2011-107993</t>
  </si>
  <si>
    <t>Dixon Ticonderoga Core-Lock Colored Pencils</t>
  </si>
  <si>
    <t>CA-2014-110443</t>
  </si>
  <si>
    <t>Renton</t>
  </si>
  <si>
    <t>US-2014-147998</t>
  </si>
  <si>
    <t>US-2013-116442</t>
  </si>
  <si>
    <t>US-2011-163797</t>
  </si>
  <si>
    <t>Alliance Super-Size Bands, Assorted Sizes</t>
  </si>
  <si>
    <t>CA-2014-154074</t>
  </si>
  <si>
    <t>Bart Watters</t>
  </si>
  <si>
    <t>Hon 4700 Series Mobuis Mid-Back Task Chairs with Adjustable Arms</t>
  </si>
  <si>
    <t>CA-2014-144750</t>
  </si>
  <si>
    <t>Xerox 1941</t>
  </si>
  <si>
    <t>CA-2011-159121</t>
  </si>
  <si>
    <t>Memorex Micro Travel Drive 16 GB</t>
  </si>
  <si>
    <t>CA-2012-149650</t>
  </si>
  <si>
    <t>Robert Dilbeck</t>
  </si>
  <si>
    <t>US-2014-116897</t>
  </si>
  <si>
    <t>CA-2014-161102</t>
  </si>
  <si>
    <t>Erin Creighton</t>
  </si>
  <si>
    <t>CA-2014-153080</t>
  </si>
  <si>
    <t>Maxell 74 Minute CDR, 10/Pack</t>
  </si>
  <si>
    <t>CA-2014-167640</t>
  </si>
  <si>
    <t>Fluorescent Highlighters by Dixon</t>
  </si>
  <si>
    <t>US-2014-116652</t>
  </si>
  <si>
    <t>US-2014-107888</t>
  </si>
  <si>
    <t>Xerox 1933</t>
  </si>
  <si>
    <t>CA-2014-161578</t>
  </si>
  <si>
    <t>CA-2013-160941</t>
  </si>
  <si>
    <t>Ames Color-File Green Diamond Border X-ray Mailers</t>
  </si>
  <si>
    <t>CA-2013-161543</t>
  </si>
  <si>
    <t>Roger Demir</t>
  </si>
  <si>
    <t>Xerox 1965</t>
  </si>
  <si>
    <t>CA-2014-123085</t>
  </si>
  <si>
    <t>Imation Bio 2GB USB Flash Drive Imation Corp</t>
  </si>
  <si>
    <t>CA-2011-103660</t>
  </si>
  <si>
    <t>Polycom VVX 310 VoIP phone</t>
  </si>
  <si>
    <t>CA-2013-169887</t>
  </si>
  <si>
    <t>Xerox 1986</t>
  </si>
  <si>
    <t>CA-2013-148516</t>
  </si>
  <si>
    <t>Logitech Illuminated - Keyboard</t>
  </si>
  <si>
    <t>CA-2012-103716</t>
  </si>
  <si>
    <t>Newell 324</t>
  </si>
  <si>
    <t>CA-2014-146346</t>
  </si>
  <si>
    <t>Commerce City</t>
  </si>
  <si>
    <t>Carina Media Storage Towers in Natural &amp; Black</t>
  </si>
  <si>
    <t>CA-2013-148852</t>
  </si>
  <si>
    <t>CA-2013-168921</t>
  </si>
  <si>
    <t>Fellowes Twister Kit, Gray/Clear, 3/pkg</t>
  </si>
  <si>
    <t>CA-2013-123512</t>
  </si>
  <si>
    <t>Mike Vittorini</t>
  </si>
  <si>
    <t>CA-2011-130449</t>
  </si>
  <si>
    <t>Victoria Pisteka</t>
  </si>
  <si>
    <t>CA-2011-138513</t>
  </si>
  <si>
    <t>Xerox 1999</t>
  </si>
  <si>
    <t>CA-2013-105081</t>
  </si>
  <si>
    <t>Global Executive Mid-Back Manager's Chair</t>
  </si>
  <si>
    <t>CA-2013-166275</t>
  </si>
  <si>
    <t>Razer Tiamat Over Ear 7.1 Surround Sound PC Gaming Headset</t>
  </si>
  <si>
    <t>US-2012-156496</t>
  </si>
  <si>
    <t>AT&amp;T 1080 Corded phone</t>
  </si>
  <si>
    <t>US-2013-127334</t>
  </si>
  <si>
    <t>Bretford Rectangular Conference Table Tops</t>
  </si>
  <si>
    <t>CA-2014-135937</t>
  </si>
  <si>
    <t>CA-2011-154837</t>
  </si>
  <si>
    <t>GBC Linen Binding Covers</t>
  </si>
  <si>
    <t>CA-2012-153794</t>
  </si>
  <si>
    <t>Sean Braxton</t>
  </si>
  <si>
    <t>Hunt PowerHouse Electric Pencil Sharpener, Blue</t>
  </si>
  <si>
    <t>CA-2011-150329</t>
  </si>
  <si>
    <t>Shirley Daniels</t>
  </si>
  <si>
    <t>CA-2011-109134</t>
  </si>
  <si>
    <t>CA-2012-165162</t>
  </si>
  <si>
    <t>Hunter Glantz</t>
  </si>
  <si>
    <t>Tennsco Snap-Together Open Shelving Units, Starter Sets and Add-On Units</t>
  </si>
  <si>
    <t>CA-2014-140494</t>
  </si>
  <si>
    <t>Maxell LTO Ultrium - 800 GB</t>
  </si>
  <si>
    <t>CA-2014-145429</t>
  </si>
  <si>
    <t>Wirebound Message Forms, Four 2 3/4 x 5 Forms per Page, Pink Paper</t>
  </si>
  <si>
    <t>CA-2012-139164</t>
  </si>
  <si>
    <t>Plantronics CS 50-USB - headset - Convertible, Monaural</t>
  </si>
  <si>
    <t>CA-2012-123141</t>
  </si>
  <si>
    <t>Rio Rancho</t>
  </si>
  <si>
    <t>CA-2013-149503</t>
  </si>
  <si>
    <t>Wilson Jones Elliptical Ring 3 1/2" Capacity Binders, 800 sheets</t>
  </si>
  <si>
    <t>CA-2014-102974</t>
  </si>
  <si>
    <t>Microsoft Natural Ergonomic Keyboard 4000</t>
  </si>
  <si>
    <t>CA-2013-128811</t>
  </si>
  <si>
    <t>OIC Bulk Pack Metal Binder Clips</t>
  </si>
  <si>
    <t>CA-2011-120096</t>
  </si>
  <si>
    <t>Xerox 194</t>
  </si>
  <si>
    <t>CA-2013-123358</t>
  </si>
  <si>
    <t>Brian Thompson</t>
  </si>
  <si>
    <t>3M Replacement Filter for Office Air Cleaner for 20' x 33' Room</t>
  </si>
  <si>
    <t>US-2014-101784</t>
  </si>
  <si>
    <t>CA-2014-139402</t>
  </si>
  <si>
    <t>CA-2013-119018</t>
  </si>
  <si>
    <t>CA-2013-124527</t>
  </si>
  <si>
    <t>Ionia McGrath</t>
  </si>
  <si>
    <t>Round Ring Binders</t>
  </si>
  <si>
    <t>CA-2013-162348</t>
  </si>
  <si>
    <t>Eldon Expressions Wood and Plastic Desk Accessories, Oak</t>
  </si>
  <si>
    <t>CA-2013-109827</t>
  </si>
  <si>
    <t>CA-2011-152233</t>
  </si>
  <si>
    <t>CA-2014-162880</t>
  </si>
  <si>
    <t>Everett</t>
  </si>
  <si>
    <t>CA-2011-144414</t>
  </si>
  <si>
    <t>US-2014-115609</t>
  </si>
  <si>
    <t>Fellowes 8 Outlet Superior Workstation Surge Protector w/o Phone/Fax/Modem Protection</t>
  </si>
  <si>
    <t>CA-2013-153101</t>
  </si>
  <si>
    <t>CA-2013-142615</t>
  </si>
  <si>
    <t>Brendan Murry</t>
  </si>
  <si>
    <t>Montebello</t>
  </si>
  <si>
    <t>Sony Micro Vault Click 4 GB USB 2.0 Flash Drive</t>
  </si>
  <si>
    <t>CA-2014-142643</t>
  </si>
  <si>
    <t>CA-2014-107517</t>
  </si>
  <si>
    <t>CA-2011-147543</t>
  </si>
  <si>
    <t>El Cajon</t>
  </si>
  <si>
    <t>Global Comet Stacking Armless Chair</t>
  </si>
  <si>
    <t>US-2013-159093</t>
  </si>
  <si>
    <t>TOPS Money Receipt Book, Consecutively Numbered in Red,</t>
  </si>
  <si>
    <t>CA-2013-162110</t>
  </si>
  <si>
    <t>Nora Paige</t>
  </si>
  <si>
    <t>CA-2011-101462</t>
  </si>
  <si>
    <t>GE 4 Foot Flourescent Tube, 40 Watt</t>
  </si>
  <si>
    <t>CA-2014-128965</t>
  </si>
  <si>
    <t>Rediform S.O.S. 1-Up Phone Message Bk, 4-1/4x3-1/16 Bk, 1 Form/Pg, 40 Messages/Bk, 3/Pk</t>
  </si>
  <si>
    <t>US-2013-126452</t>
  </si>
  <si>
    <t>Scot Coram</t>
  </si>
  <si>
    <t>Avery Durable Slant Ring Binders</t>
  </si>
  <si>
    <t>CA-2012-162544</t>
  </si>
  <si>
    <t>Xerox 190</t>
  </si>
  <si>
    <t>CA-2012-137113</t>
  </si>
  <si>
    <t>CA-2014-120222</t>
  </si>
  <si>
    <t>Telephone Message Books with Fax/Mobile Section, 5 1/2" x 3 3/16"</t>
  </si>
  <si>
    <t>US-2014-135013</t>
  </si>
  <si>
    <t>US-2014-149006</t>
  </si>
  <si>
    <t>Brad Norvell</t>
  </si>
  <si>
    <t>CA-2013-140249</t>
  </si>
  <si>
    <t>Samsung Galaxy S4</t>
  </si>
  <si>
    <t>US-2014-115301</t>
  </si>
  <si>
    <t>Bush Westfield Collection Bookcases, Medium Cherry Finish</t>
  </si>
  <si>
    <t>CA-2014-168942</t>
  </si>
  <si>
    <t>Eric Murdock</t>
  </si>
  <si>
    <t>US-2014-128398</t>
  </si>
  <si>
    <t>Elizabeth Moffitt</t>
  </si>
  <si>
    <t>Logitech MX Performance Wireless Mouse</t>
  </si>
  <si>
    <t>CA-2011-124247</t>
  </si>
  <si>
    <t>Stefanie Holloman</t>
  </si>
  <si>
    <t>Office Star - Professional Matrix Back Chair with 2-to-1 Synchro Tilt and Mesh Fabric Seat</t>
  </si>
  <si>
    <t>CA-2013-105473</t>
  </si>
  <si>
    <t>Bryan Mills</t>
  </si>
  <si>
    <t>Stiletto Hand Letter Openers</t>
  </si>
  <si>
    <t>CA-2014-121706</t>
  </si>
  <si>
    <t>Becky Martin</t>
  </si>
  <si>
    <t>Tripp Lite TLP810NET Broadband Surge for Modem/Fax</t>
  </si>
  <si>
    <t>CA-2013-140046</t>
  </si>
  <si>
    <t>Avery 495</t>
  </si>
  <si>
    <t>CA-2013-140382</t>
  </si>
  <si>
    <t>Mobile Personal File Cube</t>
  </si>
  <si>
    <t>CA-2013-125094</t>
  </si>
  <si>
    <t>Cherry 142-key Programmable Keyboard</t>
  </si>
  <si>
    <t>CA-2012-139248</t>
  </si>
  <si>
    <t>Russell D'Ascenzo</t>
  </si>
  <si>
    <t>Motorola L703CM</t>
  </si>
  <si>
    <t>CA-2012-126466</t>
  </si>
  <si>
    <t>CA-2012-129917</t>
  </si>
  <si>
    <t>Henry MacAllister</t>
  </si>
  <si>
    <t>CA-2012-115420</t>
  </si>
  <si>
    <t>Laser &amp; Ink Jet Business Envelopes</t>
  </si>
  <si>
    <t>CA-2012-167255</t>
  </si>
  <si>
    <t>CA-2014-162096</t>
  </si>
  <si>
    <t>Thomas Brumley</t>
  </si>
  <si>
    <t>12 Colored Short Pencils</t>
  </si>
  <si>
    <t>CA-2013-163937</t>
  </si>
  <si>
    <t>CA-2014-153822</t>
  </si>
  <si>
    <t>Akro Stacking Bins</t>
  </si>
  <si>
    <t>CA-2012-112144</t>
  </si>
  <si>
    <t>CA-2014-149076</t>
  </si>
  <si>
    <t>Sean O'Donnell</t>
  </si>
  <si>
    <t>Xerox 19</t>
  </si>
  <si>
    <t>CA-2012-166800</t>
  </si>
  <si>
    <t>Hoover Commercial Soft Guard Upright Vacuum And Disposable Filtration Bags</t>
  </si>
  <si>
    <t>US-2013-134369</t>
  </si>
  <si>
    <t>CA-2011-133158</t>
  </si>
  <si>
    <t>Deflect-o EconoMat Studded, No Bevel Mat for Low Pile Carpeting</t>
  </si>
  <si>
    <t>CA-2014-141201</t>
  </si>
  <si>
    <t>Daniel Byrd</t>
  </si>
  <si>
    <t>O'Sullivan 3-Shelf Heavy-Duty Bookcases</t>
  </si>
  <si>
    <t>CA-2011-124737</t>
  </si>
  <si>
    <t>Xerox 1976</t>
  </si>
  <si>
    <t>CA-2014-119494</t>
  </si>
  <si>
    <t>CA-2011-150581</t>
  </si>
  <si>
    <t>Nathan Mautz</t>
  </si>
  <si>
    <t>CA-2011-141355</t>
  </si>
  <si>
    <t>CA-2013-165330</t>
  </si>
  <si>
    <t>CA-2012-132633</t>
  </si>
  <si>
    <t>CA-2013-157742</t>
  </si>
  <si>
    <t>CA-2014-127712</t>
  </si>
  <si>
    <t>Acme Kleen Earth Office Shears</t>
  </si>
  <si>
    <t>CA-2011-106726</t>
  </si>
  <si>
    <t>Standard Rollaway File with Lock</t>
  </si>
  <si>
    <t>CA-2013-147473</t>
  </si>
  <si>
    <t>Xerox 228</t>
  </si>
  <si>
    <t>CA-2011-141901</t>
  </si>
  <si>
    <t>Great White Multi-Use Recycled Paper (20Lb. and 84 Bright)</t>
  </si>
  <si>
    <t>CA-2013-167416</t>
  </si>
  <si>
    <t>Manila Recycled Extra-Heavyweight Clasp Envelopes, 6" x 9"</t>
  </si>
  <si>
    <t>CA-2014-118724</t>
  </si>
  <si>
    <t>Nontoxic Chalk</t>
  </si>
  <si>
    <t>US-2014-143175</t>
  </si>
  <si>
    <t>CA-2012-105844</t>
  </si>
  <si>
    <t>Newell 319</t>
  </si>
  <si>
    <t>CA-2014-118864</t>
  </si>
  <si>
    <t>Panasonic KX T7736-B Digital phone</t>
  </si>
  <si>
    <t>CA-2011-159625</t>
  </si>
  <si>
    <t>Sally Matthias</t>
  </si>
  <si>
    <t>CA-2014-147410</t>
  </si>
  <si>
    <t>24 Capacity Maxi Data Binder Racks, Pearl</t>
  </si>
  <si>
    <t>US-2013-102239</t>
  </si>
  <si>
    <t>Global Adaptabilities Conference Tables</t>
  </si>
  <si>
    <t>CA-2011-143168</t>
  </si>
  <si>
    <t>CA-2014-118122</t>
  </si>
  <si>
    <t>CA-2014-166926</t>
  </si>
  <si>
    <t>Xerox 1947</t>
  </si>
  <si>
    <t>CA-2014-142909</t>
  </si>
  <si>
    <t>CA-2013-131380</t>
  </si>
  <si>
    <t>CA-2011-117464</t>
  </si>
  <si>
    <t>CA-2014-125381</t>
  </si>
  <si>
    <t>Speros Goranitis</t>
  </si>
  <si>
    <t>CA-2014-150609</t>
  </si>
  <si>
    <t>CA-2013-164399</t>
  </si>
  <si>
    <t>Panasonic KX TS3282W Corded phone</t>
  </si>
  <si>
    <t>CA-2013-147683</t>
  </si>
  <si>
    <t>DAX Solid Wood Frames</t>
  </si>
  <si>
    <t>CA-2011-116785</t>
  </si>
  <si>
    <t>CA-2014-137414</t>
  </si>
  <si>
    <t>Chad McGuire</t>
  </si>
  <si>
    <t>Dax Clear Box Frame</t>
  </si>
  <si>
    <t>CA-2013-143476</t>
  </si>
  <si>
    <t>US-2013-119046</t>
  </si>
  <si>
    <t>Riverleaf Stik-Withit Designer Note Cubes</t>
  </si>
  <si>
    <t>CA-2014-154949</t>
  </si>
  <si>
    <t>Camarillo</t>
  </si>
  <si>
    <t>Avery 478</t>
  </si>
  <si>
    <t>CA-2012-150770</t>
  </si>
  <si>
    <t>CA-2013-109953</t>
  </si>
  <si>
    <t>Raymond Buch</t>
  </si>
  <si>
    <t>Panasonic Kx-TS550</t>
  </si>
  <si>
    <t>CA-2011-157546</t>
  </si>
  <si>
    <t>CA-2011-138737</t>
  </si>
  <si>
    <t>CA-2013-101651</t>
  </si>
  <si>
    <t>Sean Christensen</t>
  </si>
  <si>
    <t>CA-2014-136651</t>
  </si>
  <si>
    <t>DAX Two-Tone Rosewood/Black Document Frame, Desktop, 5 x 7</t>
  </si>
  <si>
    <t>US-2014-151127</t>
  </si>
  <si>
    <t>Rob Lucas</t>
  </si>
  <si>
    <t>CA-2014-145807</t>
  </si>
  <si>
    <t>Sarah Bern</t>
  </si>
  <si>
    <t>Sensible Storage WireTech Storage Systems</t>
  </si>
  <si>
    <t>CA-2012-158491</t>
  </si>
  <si>
    <t>Logitech Wireless Anywhere Mouse MX for PC and Mac</t>
  </si>
  <si>
    <t>CA-2014-137001</t>
  </si>
  <si>
    <t>George Zrebassa</t>
  </si>
  <si>
    <t>Sanford EarthWrite Recycled Pencils, Medium Soft, #2</t>
  </si>
  <si>
    <t>CA-2013-123337</t>
  </si>
  <si>
    <t>Sauder Forest Hills Library with Doors, Woodland Oak Finish</t>
  </si>
  <si>
    <t>CA-2012-144519</t>
  </si>
  <si>
    <t>CA-2013-157217</t>
  </si>
  <si>
    <t>Griffin GC36547 PowerJolt SE Lightning Charger</t>
  </si>
  <si>
    <t>CA-2013-108224</t>
  </si>
  <si>
    <t>CA-2014-159282</t>
  </si>
  <si>
    <t>Swingline SM12-08 MicroCut Jam Free Shredder</t>
  </si>
  <si>
    <t>CA-2014-151183</t>
  </si>
  <si>
    <t>Verbatim 25 GB 6x Blu-ray Single Layer Recordable Disc, 10/Pack</t>
  </si>
  <si>
    <t>CA-2013-153661</t>
  </si>
  <si>
    <t>CA-2013-113656</t>
  </si>
  <si>
    <t>Christy Brittain</t>
  </si>
  <si>
    <t>DAX Cubicle Frames, 8-1/2 x 11</t>
  </si>
  <si>
    <t>CA-2012-148964</t>
  </si>
  <si>
    <t>DAX Metal Frame, Desktop, Stepped-Edge</t>
  </si>
  <si>
    <t>CA-2013-144092</t>
  </si>
  <si>
    <t>KeyTronic E03601U1 - Keyboard - Beige</t>
  </si>
  <si>
    <t>CA-2014-158120</t>
  </si>
  <si>
    <t>Katharine Harms</t>
  </si>
  <si>
    <t>Hillsboro</t>
  </si>
  <si>
    <t>US-2014-128447</t>
  </si>
  <si>
    <t>Eureka The Boss Lite 10-Amp Upright Vacuum, Blue</t>
  </si>
  <si>
    <t>US-2011-131275</t>
  </si>
  <si>
    <t>Burbank</t>
  </si>
  <si>
    <t>CA-2014-165155</t>
  </si>
  <si>
    <t>Tenex Personal Filing Tote With Secure Closure Lid, Black/Frost</t>
  </si>
  <si>
    <t>CA-2014-141138</t>
  </si>
  <si>
    <t>Modesto</t>
  </si>
  <si>
    <t>Memorex Mini Travel Drive 16 GB USB 2.0 Flash Drive</t>
  </si>
  <si>
    <t>CA-2014-154102</t>
  </si>
  <si>
    <t>CA-2013-114748</t>
  </si>
  <si>
    <t>CA-2013-163594</t>
  </si>
  <si>
    <t>Xerox 206</t>
  </si>
  <si>
    <t>US-2014-123862</t>
  </si>
  <si>
    <t>CA-2014-100580</t>
  </si>
  <si>
    <t>GBC Prepunched Paper, 19-Hole, for Binding Systems, 24-lb</t>
  </si>
  <si>
    <t>CA-2011-132787</t>
  </si>
  <si>
    <t>Decoflex Hanging Personal Folder File, Blue</t>
  </si>
  <si>
    <t>CA-2014-147844</t>
  </si>
  <si>
    <t>Dorothy Dickinson</t>
  </si>
  <si>
    <t>CA-2013-110009</t>
  </si>
  <si>
    <t>CA-2012-100146</t>
  </si>
  <si>
    <t>CA-2013-129728</t>
  </si>
  <si>
    <t>CA-2014-121125</t>
  </si>
  <si>
    <t>LG G3</t>
  </si>
  <si>
    <t>CA-2011-161249</t>
  </si>
  <si>
    <t>Super Bands, 12/Pack</t>
  </si>
  <si>
    <t>CA-2012-148180</t>
  </si>
  <si>
    <t>CA-2011-165568</t>
  </si>
  <si>
    <t>Pressboard Data Binders by Wilson Jones</t>
  </si>
  <si>
    <t>CA-2012-145457</t>
  </si>
  <si>
    <t>Eldon Expressions Punched Metal &amp; Wood Desk Accessories, Black &amp; Cherry</t>
  </si>
  <si>
    <t>US-2014-163657</t>
  </si>
  <si>
    <t>Janet Lee</t>
  </si>
  <si>
    <t>CA-2012-120446</t>
  </si>
  <si>
    <t>Avery 51</t>
  </si>
  <si>
    <t>US-2012-136987</t>
  </si>
  <si>
    <t>Canon PC-428 Personal Copier</t>
  </si>
  <si>
    <t>CA-2012-138485</t>
  </si>
  <si>
    <t>Microsoft Natural Keyboard Elite</t>
  </si>
  <si>
    <t>CA-2013-103709</t>
  </si>
  <si>
    <t>Eberhard Faber 3 1/2" Golf Pencils</t>
  </si>
  <si>
    <t>CA-2013-138282</t>
  </si>
  <si>
    <t>CA-2014-148985</t>
  </si>
  <si>
    <t>CA-2013-139997</t>
  </si>
  <si>
    <t>Hewlett Packard 310 Color Digital Copier</t>
  </si>
  <si>
    <t>CA-2013-124583</t>
  </si>
  <si>
    <t>Laurel Beltran</t>
  </si>
  <si>
    <t>Globe Weis Peel &amp; Seel First Class Envelopes</t>
  </si>
  <si>
    <t>CA-2014-157196</t>
  </si>
  <si>
    <t>CA-2012-108672</t>
  </si>
  <si>
    <t>Seth Thomas 13 1/2" Wall Clock</t>
  </si>
  <si>
    <t>CA-2014-121048</t>
  </si>
  <si>
    <t>US-2014-120117</t>
  </si>
  <si>
    <t>Manco Dry-Lighter Erasable Highlighter</t>
  </si>
  <si>
    <t>CA-2011-115889</t>
  </si>
  <si>
    <t>Shahid Hopkins</t>
  </si>
  <si>
    <t>AT&amp;T CL82213</t>
  </si>
  <si>
    <t>CA-2011-125731</t>
  </si>
  <si>
    <t>Peel &amp; Seel Envelopes</t>
  </si>
  <si>
    <t>US-2014-106145</t>
  </si>
  <si>
    <t>CA-2013-107146</t>
  </si>
  <si>
    <t>Longmont</t>
  </si>
  <si>
    <t>US-2014-160143</t>
  </si>
  <si>
    <t>Acme Tagit Stainless Steel Antibacterial Scissors</t>
  </si>
  <si>
    <t>CA-2013-106460</t>
  </si>
  <si>
    <t>US-2014-112347</t>
  </si>
  <si>
    <t>CA-2014-157672</t>
  </si>
  <si>
    <t>US-2013-166660</t>
  </si>
  <si>
    <t>CA-2011-133830</t>
  </si>
  <si>
    <t>CA-2012-129532</t>
  </si>
  <si>
    <t>CA-2011-134726</t>
  </si>
  <si>
    <t>Steven Ward</t>
  </si>
  <si>
    <t>Maxell 74 Minute CD-R Spindle, 50/Pack</t>
  </si>
  <si>
    <t>CA-2014-122945</t>
  </si>
  <si>
    <t>CA-2012-164567</t>
  </si>
  <si>
    <t>CA-2011-131947</t>
  </si>
  <si>
    <t>CA-2014-163209</t>
  </si>
  <si>
    <t>CA-2011-133354</t>
  </si>
  <si>
    <t>CA-2014-151225</t>
  </si>
  <si>
    <t>Chromcraft Rectangular Conference Tables</t>
  </si>
  <si>
    <t>US-2011-144078</t>
  </si>
  <si>
    <t>US-2012-159499</t>
  </si>
  <si>
    <t>Fellowes Command Center 5-outlet power strip</t>
  </si>
  <si>
    <t>US-2013-157490</t>
  </si>
  <si>
    <t>Zebra GK420t Direct Thermal/Thermal Transfer Printer</t>
  </si>
  <si>
    <t>CA-2012-161452</t>
  </si>
  <si>
    <t>Carol Adams</t>
  </si>
  <si>
    <t>GuestStacker Chair with Chrome Finish Legs</t>
  </si>
  <si>
    <t>CA-2013-138968</t>
  </si>
  <si>
    <t>Avery Round Ring Poly Binders</t>
  </si>
  <si>
    <t>CA-2012-107685</t>
  </si>
  <si>
    <t>DAX Contemporary Wood Frame with Silver Metal Mat, Desktop, 11 x 14 Size</t>
  </si>
  <si>
    <t>US-2011-120740</t>
  </si>
  <si>
    <t>Paul Stevenson</t>
  </si>
  <si>
    <t>US-2014-141509</t>
  </si>
  <si>
    <t>Sonia Cooley</t>
  </si>
  <si>
    <t>CA-2014-133487</t>
  </si>
  <si>
    <t>Trudy Schmidt</t>
  </si>
  <si>
    <t>Eureka The Boss Cordless Rechargeable Stick Vac</t>
  </si>
  <si>
    <t>CA-2011-102330</t>
  </si>
  <si>
    <t>CA-2013-118899</t>
  </si>
  <si>
    <t>Global Stack Chair with Arms, Black</t>
  </si>
  <si>
    <t>CA-2014-100237</t>
  </si>
  <si>
    <t>Stuart Van</t>
  </si>
  <si>
    <t>Avery Hi-Liter Smear-Safe Highlighters</t>
  </si>
  <si>
    <t>US-2012-142811</t>
  </si>
  <si>
    <t>Samsung HM1900 Bluetooth Headset</t>
  </si>
  <si>
    <t>CA-2011-150203</t>
  </si>
  <si>
    <t>Joni Blumstein</t>
  </si>
  <si>
    <t>Fellowes 8 Outlet Superior Workstation Surge Protector</t>
  </si>
  <si>
    <t>CA-2012-149636</t>
  </si>
  <si>
    <t>It's Hot Message Books with Stickers, 2 3/4" x 5"</t>
  </si>
  <si>
    <t>US-2014-146213</t>
  </si>
  <si>
    <t>Microsoft Wireless Mobile Mouse 4000</t>
  </si>
  <si>
    <t>US-2014-138086</t>
  </si>
  <si>
    <t>Hoover Commercial SteamVac</t>
  </si>
  <si>
    <t>CA-2014-104850</t>
  </si>
  <si>
    <t>Global Wood Trimmed Manager's Task Chair, Khaki</t>
  </si>
  <si>
    <t>CA-2014-134418</t>
  </si>
  <si>
    <t>US-2013-106313</t>
  </si>
  <si>
    <t>Deirdre Greer</t>
  </si>
  <si>
    <t>Xerox 202</t>
  </si>
  <si>
    <t>CA-2011-154781</t>
  </si>
  <si>
    <t>Tops Wirebound Message Log Books</t>
  </si>
  <si>
    <t>CA-2012-147816</t>
  </si>
  <si>
    <t>Carlos Meador</t>
  </si>
  <si>
    <t>CA-2014-105326</t>
  </si>
  <si>
    <t>Xerox 203</t>
  </si>
  <si>
    <t>CA-2014-156391</t>
  </si>
  <si>
    <t>Sara Luxemburg</t>
  </si>
  <si>
    <t>CA-2012-169299</t>
  </si>
  <si>
    <t>CA-2013-155978</t>
  </si>
  <si>
    <t>Apple iPhone 5</t>
  </si>
  <si>
    <t>CA-2013-152800</t>
  </si>
  <si>
    <t>CA-2011-166961</t>
  </si>
  <si>
    <t>CA-2012-127481</t>
  </si>
  <si>
    <t>Xerox 1930</t>
  </si>
  <si>
    <t>CA-2011-143637</t>
  </si>
  <si>
    <t>US-2014-109316</t>
  </si>
  <si>
    <t>Maureen Gastineau</t>
  </si>
  <si>
    <t>Riverside Palais Royal Lawyers Bookcase, Royale Cherry Finish</t>
  </si>
  <si>
    <t>CA-2013-138478</t>
  </si>
  <si>
    <t>Panasonic KP-150 Electric Pencil Sharpener</t>
  </si>
  <si>
    <t>CA-2014-150469</t>
  </si>
  <si>
    <t>CA-2011-125150</t>
  </si>
  <si>
    <t>Pauline Webber</t>
  </si>
  <si>
    <t>CA-2012-137302</t>
  </si>
  <si>
    <t>SAFCO Optional Arm Kit for Workspace Cribbage Stacking Chair</t>
  </si>
  <si>
    <t>CA-2012-106257</t>
  </si>
  <si>
    <t>Iceberg OfficeWorks 42" Round Tables</t>
  </si>
  <si>
    <t>CA-2012-149083</t>
  </si>
  <si>
    <t>CA-2012-144890</t>
  </si>
  <si>
    <t>Sean Miller</t>
  </si>
  <si>
    <t>Xerox 1949</t>
  </si>
  <si>
    <t>CA-2012-142993</t>
  </si>
  <si>
    <t>CA-2012-143364</t>
  </si>
  <si>
    <t>CA-2011-100972</t>
  </si>
  <si>
    <t>Dennis Bolton</t>
  </si>
  <si>
    <t>CA-2013-136994</t>
  </si>
  <si>
    <t>CA-2013-101672</t>
  </si>
  <si>
    <t>CA-2014-168403</t>
  </si>
  <si>
    <t>CA-2014-118017</t>
  </si>
  <si>
    <t>Newell 344</t>
  </si>
  <si>
    <t>CA-2013-113117</t>
  </si>
  <si>
    <t>Davis</t>
  </si>
  <si>
    <t>CA-2013-112585</t>
  </si>
  <si>
    <t>Hoover Shoulder Vac Commercial Portable Vacuum</t>
  </si>
  <si>
    <t>CA-2013-149762</t>
  </si>
  <si>
    <t>Morgan Hill</t>
  </si>
  <si>
    <t>CA-2012-152513</t>
  </si>
  <si>
    <t>US-2013-168095</t>
  </si>
  <si>
    <t>Mark Cousins</t>
  </si>
  <si>
    <t>CA-2014-166093</t>
  </si>
  <si>
    <t>CA-2013-146325</t>
  </si>
  <si>
    <t>CA-2014-131807</t>
  </si>
  <si>
    <t>CA-2012-138219</t>
  </si>
  <si>
    <t>CA-2013-157707</t>
  </si>
  <si>
    <t>Corey Catlett</t>
  </si>
  <si>
    <t>Bush Westfield Collection Bookcases, Dark Cherry Finish, Fully Assembled</t>
  </si>
  <si>
    <t>CA-2012-113040</t>
  </si>
  <si>
    <t>Avery Heavy-Duty EZD View Binder with Locking Rings</t>
  </si>
  <si>
    <t>CA-2013-151498</t>
  </si>
  <si>
    <t>US-2012-165743</t>
  </si>
  <si>
    <t>US-2014-105998</t>
  </si>
  <si>
    <t>US-2011-148194</t>
  </si>
  <si>
    <t>Bill Shonely</t>
  </si>
  <si>
    <t>CA-2012-110870</t>
  </si>
  <si>
    <t>Karen Daniels</t>
  </si>
  <si>
    <t>Logitech Wireless Marathon Mouse M705</t>
  </si>
  <si>
    <t>CA-2013-139808</t>
  </si>
  <si>
    <t>US-2012-136427</t>
  </si>
  <si>
    <t>CA-2014-114804</t>
  </si>
  <si>
    <t>CA-2014-109393</t>
  </si>
  <si>
    <t>John Castell</t>
  </si>
  <si>
    <t>CA-2014-121489</t>
  </si>
  <si>
    <t>Padded Folding Chairs, Black, 4/Carton</t>
  </si>
  <si>
    <t>CA-2014-165008</t>
  </si>
  <si>
    <t>CA-2012-121188</t>
  </si>
  <si>
    <t>Hot File 7-Pocket, Floor Stand</t>
  </si>
  <si>
    <t>US-2012-160563</t>
  </si>
  <si>
    <t>Logitech G602 Wireless Gaming Mouse</t>
  </si>
  <si>
    <t>CA-2012-150714</t>
  </si>
  <si>
    <t>Avery 477</t>
  </si>
  <si>
    <t>CA-2013-106621</t>
  </si>
  <si>
    <t>CA-2012-107020</t>
  </si>
  <si>
    <t>Large Capacity Hanging Post Binders</t>
  </si>
  <si>
    <t>CA-2011-101392</t>
  </si>
  <si>
    <t>CA-2012-127502</t>
  </si>
  <si>
    <t>CA-2014-133046</t>
  </si>
  <si>
    <t>CA-2014-122798</t>
  </si>
  <si>
    <t>Eldon Mobile Mega Data Cart  Mega Stackable  Add-On Trays</t>
  </si>
  <si>
    <t>CA-2013-169663</t>
  </si>
  <si>
    <t>CA-2012-149846</t>
  </si>
  <si>
    <t>Sarah Brown</t>
  </si>
  <si>
    <t>Avery 476</t>
  </si>
  <si>
    <t>CA-2014-101014</t>
  </si>
  <si>
    <t>Electrix Fluorescent Magnifier Lamps &amp; Weighted Base</t>
  </si>
  <si>
    <t>US-2014-113201</t>
  </si>
  <si>
    <t>CA-2013-116722</t>
  </si>
  <si>
    <t>Magnifier Swing Arm Lamp</t>
  </si>
  <si>
    <t>US-2014-150070</t>
  </si>
  <si>
    <t>Global Low Back Tilter Chair</t>
  </si>
  <si>
    <t>CA-2011-127866</t>
  </si>
  <si>
    <t>CA-2012-121776</t>
  </si>
  <si>
    <t>CA-2013-100993</t>
  </si>
  <si>
    <t>Avery 508</t>
  </si>
  <si>
    <t>US-2013-131058</t>
  </si>
  <si>
    <t>CA-2014-140151</t>
  </si>
  <si>
    <t>Acco Perma 4000 Stacking Storage Drawers</t>
  </si>
  <si>
    <t>CA-2013-103464</t>
  </si>
  <si>
    <t>CA-2012-168207</t>
  </si>
  <si>
    <t>Contemporary Wood/Metal Frame</t>
  </si>
  <si>
    <t>CA-2013-144148</t>
  </si>
  <si>
    <t>CA-2014-107174</t>
  </si>
  <si>
    <t>CA-2011-114125</t>
  </si>
  <si>
    <t>Avery 49</t>
  </si>
  <si>
    <t>CA-2014-149699</t>
  </si>
  <si>
    <t>Kensington Expert Mouse Optical USB Trackball for PC or Mac</t>
  </si>
  <si>
    <t>CA-2013-166429</t>
  </si>
  <si>
    <t>CA-2012-112767</t>
  </si>
  <si>
    <t>Balt Split Level Computer Training Table</t>
  </si>
  <si>
    <t>CA-2012-136700</t>
  </si>
  <si>
    <t>CA-2013-104633</t>
  </si>
  <si>
    <t>CA-2011-158225</t>
  </si>
  <si>
    <t>CA-2011-109897</t>
  </si>
  <si>
    <t>CA-2014-152310</t>
  </si>
  <si>
    <t>Dana Kaydos</t>
  </si>
  <si>
    <t>CA-2013-139549</t>
  </si>
  <si>
    <t>Muhammed Yedwab</t>
  </si>
  <si>
    <t>Hon Every-Day Chair Series Swivel Task Chairs</t>
  </si>
  <si>
    <t>US-2014-168802</t>
  </si>
  <si>
    <t>Binder Posts</t>
  </si>
  <si>
    <t>US-2011-103338</t>
  </si>
  <si>
    <t>US-2014-167318</t>
  </si>
  <si>
    <t>US-2011-120313</t>
  </si>
  <si>
    <t>CA-2014-135419</t>
  </si>
  <si>
    <t>CA-2013-149335</t>
  </si>
  <si>
    <t>Newell 325</t>
  </si>
  <si>
    <t>CA-2014-135076</t>
  </si>
  <si>
    <t>CA-2014-141481</t>
  </si>
  <si>
    <t>CA-2011-110555</t>
  </si>
  <si>
    <t>Eldon Simplefile Box Office</t>
  </si>
  <si>
    <t>CA-2014-157273</t>
  </si>
  <si>
    <t>CA-2011-109918</t>
  </si>
  <si>
    <t>Acme Design Line 8" Stainless Steel Bent Scissors w/Champagne Handles, 3-1/8" Cut</t>
  </si>
  <si>
    <t>CA-2013-118745</t>
  </si>
  <si>
    <t>Seth Vernon</t>
  </si>
  <si>
    <t>CA-2013-163972</t>
  </si>
  <si>
    <t>CA-2013-113726</t>
  </si>
  <si>
    <t>Howard Miller Distant Time Traveler Alarm Clock</t>
  </si>
  <si>
    <t>CA-2013-152940</t>
  </si>
  <si>
    <t>Acco Perma 2700 Stacking Storage Drawers</t>
  </si>
  <si>
    <t>CA-2012-158701</t>
  </si>
  <si>
    <t>CA-2013-134544</t>
  </si>
  <si>
    <t>CA-2014-137582</t>
  </si>
  <si>
    <t>CA-2014-153227</t>
  </si>
  <si>
    <t>CA-2012-133837</t>
  </si>
  <si>
    <t>CA-2013-154067</t>
  </si>
  <si>
    <t>Suzanne McNair</t>
  </si>
  <si>
    <t>CA-2012-134082</t>
  </si>
  <si>
    <t>CA-2014-118199</t>
  </si>
  <si>
    <t>CA-2012-128356</t>
  </si>
  <si>
    <t>Resi Pölking</t>
  </si>
  <si>
    <t>US-2014-132220</t>
  </si>
  <si>
    <t>CA-2012-151470</t>
  </si>
  <si>
    <t>Wilson Jones Impact Binders</t>
  </si>
  <si>
    <t>CA-2011-108861</t>
  </si>
  <si>
    <t>Magdelene Morse</t>
  </si>
  <si>
    <t>CA-2014-145779</t>
  </si>
  <si>
    <t>CA-2011-131387</t>
  </si>
  <si>
    <t>Samsung Galaxy Mega 6.3</t>
  </si>
  <si>
    <t>CA-2013-154081</t>
  </si>
  <si>
    <t>CA-2011-100881</t>
  </si>
  <si>
    <t>Daniel Raglin</t>
  </si>
  <si>
    <t>AT&amp;T TR1909W</t>
  </si>
  <si>
    <t>CA-2012-144043</t>
  </si>
  <si>
    <t>Belkin Standard 104 key USB Keyboard</t>
  </si>
  <si>
    <t>CA-2013-168557</t>
  </si>
  <si>
    <t>Avery Heavy-Duty EZD  Binder With Locking Rings</t>
  </si>
  <si>
    <t>CA-2014-134880</t>
  </si>
  <si>
    <t>Xerox 1882</t>
  </si>
  <si>
    <t>CA-2014-158736</t>
  </si>
  <si>
    <t>Newell 335</t>
  </si>
  <si>
    <t>US-2013-119270</t>
  </si>
  <si>
    <t>Hammermill Color Copier Paper (28Lb. and 96 Bright)</t>
  </si>
  <si>
    <t>CA-2014-142391</t>
  </si>
  <si>
    <t>CA-2014-124716</t>
  </si>
  <si>
    <t>Brendan Dodson</t>
  </si>
  <si>
    <t>CA-2014-106824</t>
  </si>
  <si>
    <t>Brites Rubber Bands, 1 1/2 oz. Box</t>
  </si>
  <si>
    <t>CA-2013-143154</t>
  </si>
  <si>
    <t>WD My Passport Ultra 1TB Portable External Hard Drive</t>
  </si>
  <si>
    <t>CA-2012-102316</t>
  </si>
  <si>
    <t>CA-2011-164903</t>
  </si>
  <si>
    <t>Xerox 204</t>
  </si>
  <si>
    <t>CA-2014-133074</t>
  </si>
  <si>
    <t>Adams Telephone Message Book w/Frequently-Called Numbers Space, 400 Messages per Book</t>
  </si>
  <si>
    <t>CA-2014-137624</t>
  </si>
  <si>
    <t>Maria Etezadi</t>
  </si>
  <si>
    <t>US-2011-163146</t>
  </si>
  <si>
    <t>Imation Clip USB flash drive - 8 GB</t>
  </si>
  <si>
    <t>CA-2014-147354</t>
  </si>
  <si>
    <t>Karl Braun</t>
  </si>
  <si>
    <t>CA-2012-149566</t>
  </si>
  <si>
    <t>CA-2012-126186</t>
  </si>
  <si>
    <t>Deflect-O Glasstique Clear Desk Accessories</t>
  </si>
  <si>
    <t>CA-2011-159849</t>
  </si>
  <si>
    <t>Revere Boxed Rubber Bands by Revere</t>
  </si>
  <si>
    <t>CA-2011-104808</t>
  </si>
  <si>
    <t>Mark Haberlin</t>
  </si>
  <si>
    <t>CA-2014-162012</t>
  </si>
  <si>
    <t>Logitech P710e Mobile Speakerphone</t>
  </si>
  <si>
    <t>CA-2014-101700</t>
  </si>
  <si>
    <t>Greeley</t>
  </si>
  <si>
    <t>US-2013-117387</t>
  </si>
  <si>
    <t>Pete Armstrong</t>
  </si>
  <si>
    <t>Avery Legal 4-Ring Binder</t>
  </si>
  <si>
    <t>CA-2011-141110</t>
  </si>
  <si>
    <t>US-2011-133949</t>
  </si>
  <si>
    <t>CA-2014-123624</t>
  </si>
  <si>
    <t>Kensington K72356US Mouse-in-a-Box USB Desktop Mouse</t>
  </si>
  <si>
    <t>CA-2013-146437</t>
  </si>
  <si>
    <t>Newell 345</t>
  </si>
  <si>
    <t>CA-2013-138233</t>
  </si>
  <si>
    <t>Logitech Wireless Gaming Headset G930</t>
  </si>
  <si>
    <t>CA-2013-165918</t>
  </si>
  <si>
    <t>Bryan Davis</t>
  </si>
  <si>
    <t>Avery 487</t>
  </si>
  <si>
    <t>CA-2014-117513</t>
  </si>
  <si>
    <t>US-2013-114230</t>
  </si>
  <si>
    <t>Chris McAfee</t>
  </si>
  <si>
    <t>CA-2012-156118</t>
  </si>
  <si>
    <t>Southworth Parchment Paper &amp; Envelopes</t>
  </si>
  <si>
    <t>CA-2014-151281</t>
  </si>
  <si>
    <t>Luxo Economy Swing Arm Lamp</t>
  </si>
  <si>
    <t>CA-2014-147767</t>
  </si>
  <si>
    <t>CA-2013-113341</t>
  </si>
  <si>
    <t>Mark Hamilton</t>
  </si>
  <si>
    <t>CA-2011-142769</t>
  </si>
  <si>
    <t>OIC Thumb-Tacks</t>
  </si>
  <si>
    <t>CA-2014-126634</t>
  </si>
  <si>
    <t>CA-2013-118500</t>
  </si>
  <si>
    <t>CA-2013-149916</t>
  </si>
  <si>
    <t>CA-2012-158918</t>
  </si>
  <si>
    <t>CA-2014-101665</t>
  </si>
  <si>
    <t>CA-2013-155446</t>
  </si>
  <si>
    <t>CA-2013-144015</t>
  </si>
  <si>
    <t>Premier Electric Letter Opener</t>
  </si>
  <si>
    <t>CA-2013-118311</t>
  </si>
  <si>
    <t>NETGEAR N750 Dual Band Wi-Fi Gigabit Router</t>
  </si>
  <si>
    <t>CA-2014-127096</t>
  </si>
  <si>
    <t>US-2011-132745</t>
  </si>
  <si>
    <t>Neil Französisch</t>
  </si>
  <si>
    <t>Sterling Rubber Bands by Alliance</t>
  </si>
  <si>
    <t>CA-2011-119144</t>
  </si>
  <si>
    <t>OtterBox Commuter Series Case - Samsung Galaxy S4</t>
  </si>
  <si>
    <t>CA-2011-105648</t>
  </si>
  <si>
    <t>US-2012-145422</t>
  </si>
  <si>
    <t>CA-2014-136623</t>
  </si>
  <si>
    <t>Belkin iPhone and iPad Lightning Cable</t>
  </si>
  <si>
    <t>CA-2014-148145</t>
  </si>
  <si>
    <t>Deluxe Chalkboard Eraser Cleaner</t>
  </si>
  <si>
    <t>CA-2014-116988</t>
  </si>
  <si>
    <t>Xerox 1997</t>
  </si>
  <si>
    <t>US-2012-144771</t>
  </si>
  <si>
    <t>CA-2014-128076</t>
  </si>
  <si>
    <t>Eldon Antistatic Chair Mats for Low to Medium Pile Carpets</t>
  </si>
  <si>
    <t>CA-2013-112578</t>
  </si>
  <si>
    <t>Frank Olsen</t>
  </si>
  <si>
    <t>Project Tote Personal File</t>
  </si>
  <si>
    <t>CA-2013-151148</t>
  </si>
  <si>
    <t>Lunatik TT5L-002 Taktik Strike Impact Protection System for iPhone 5</t>
  </si>
  <si>
    <t>CA-2012-165813</t>
  </si>
  <si>
    <t>Portable Personal File Box</t>
  </si>
  <si>
    <t>CA-2013-116911</t>
  </si>
  <si>
    <t>Twin Falls</t>
  </si>
  <si>
    <t>CA-2014-145765</t>
  </si>
  <si>
    <t>Panasonic KX TS208W Corded phone</t>
  </si>
  <si>
    <t>CA-2011-162992</t>
  </si>
  <si>
    <t>Avery 516</t>
  </si>
  <si>
    <t>CA-2013-106397</t>
  </si>
  <si>
    <t>US-2014-100398</t>
  </si>
  <si>
    <t>CA-2014-120614</t>
  </si>
  <si>
    <t>CA-2012-127754</t>
  </si>
  <si>
    <t>CA-2013-167983</t>
  </si>
  <si>
    <t>CA-2011-153808</t>
  </si>
  <si>
    <t>Boston Home &amp; Office Model 2000 Electric Pencil Sharpeners</t>
  </si>
  <si>
    <t>US-2013-112396</t>
  </si>
  <si>
    <t>CA-2014-163671</t>
  </si>
  <si>
    <t>GBC Instant Index System for Binding Systems</t>
  </si>
  <si>
    <t>CA-2014-135909</t>
  </si>
  <si>
    <t>Logitech Media Keyboard K200</t>
  </si>
  <si>
    <t>CA-2013-158260</t>
  </si>
  <si>
    <t>Okidata B400 Printer</t>
  </si>
  <si>
    <t>CA-2014-101805</t>
  </si>
  <si>
    <t>US-2012-107944</t>
  </si>
  <si>
    <t>TOPS Carbonless Receipt Book, Four 2-3/4 x 7-1/4 Money Receipts per Page</t>
  </si>
  <si>
    <t>CA-2011-169642</t>
  </si>
  <si>
    <t>SAFCO Commercial Wire Shelving, Black</t>
  </si>
  <si>
    <t>CA-2014-103968</t>
  </si>
  <si>
    <t>CA-2012-111038</t>
  </si>
  <si>
    <t>Lindsay Castell</t>
  </si>
  <si>
    <t>CA-2013-167241</t>
  </si>
  <si>
    <t>Luxo Professional Magnifying Clamp-On Fluorescent Lamps</t>
  </si>
  <si>
    <t>CA-2013-139934</t>
  </si>
  <si>
    <t>CA-2012-109603</t>
  </si>
  <si>
    <t>Xerox 1991</t>
  </si>
  <si>
    <t>CA-2012-143616</t>
  </si>
  <si>
    <t>CA-2012-134117</t>
  </si>
  <si>
    <t>Sanford 52201 APSCO Electric Pencil Sharpener</t>
  </si>
  <si>
    <t>CA-2013-159023</t>
  </si>
  <si>
    <t>CA-2011-154592</t>
  </si>
  <si>
    <t>CA-2011-128622</t>
  </si>
  <si>
    <t>Acme Value Line Scissors</t>
  </si>
  <si>
    <t>CA-2011-132913</t>
  </si>
  <si>
    <t>Adam Shillingsburg</t>
  </si>
  <si>
    <t>Belkin 7-Outlet SurgeMaster Home Series</t>
  </si>
  <si>
    <t>CA-2011-126480</t>
  </si>
  <si>
    <t>Xerox 1900</t>
  </si>
  <si>
    <t>CA-2014-159226</t>
  </si>
  <si>
    <t>US-2014-139577</t>
  </si>
  <si>
    <t>Sony 32GB Class 10 Micro SDHC R40 Memory Card</t>
  </si>
  <si>
    <t>CA-2011-133389</t>
  </si>
  <si>
    <t>Toby Braunhardt</t>
  </si>
  <si>
    <t>CA-2012-102855</t>
  </si>
  <si>
    <t>CA-2014-143084</t>
  </si>
  <si>
    <t>Barry Pond</t>
  </si>
  <si>
    <t>CA-2013-131639</t>
  </si>
  <si>
    <t>CA-2013-161361</t>
  </si>
  <si>
    <t>US-2013-141880</t>
  </si>
  <si>
    <t>CA-2014-128041</t>
  </si>
  <si>
    <t>Honeywell Quietcare HEPA Air Cleaner</t>
  </si>
  <si>
    <t>CA-2011-138177</t>
  </si>
  <si>
    <t>Neil Ducich</t>
  </si>
  <si>
    <t>Hon 2111 Invitation Series Straight Table</t>
  </si>
  <si>
    <t>CA-2012-168760</t>
  </si>
  <si>
    <t>CA-2013-168830</t>
  </si>
  <si>
    <t>CA-2014-137463</t>
  </si>
  <si>
    <t>Kalyca Meade</t>
  </si>
  <si>
    <t>CA-2012-165554</t>
  </si>
  <si>
    <t>Wirebound Message Book, 4 per Page</t>
  </si>
  <si>
    <t>CA-2011-141838</t>
  </si>
  <si>
    <t>Newell 308</t>
  </si>
  <si>
    <t>CA-2014-117009</t>
  </si>
  <si>
    <t>CA-2012-128993</t>
  </si>
  <si>
    <t>Memorex Froggy Flash Drive 4 GB</t>
  </si>
  <si>
    <t>CA-2012-149097</t>
  </si>
  <si>
    <t>Nu-Dell Oak Frame</t>
  </si>
  <si>
    <t>CA-2013-132304</t>
  </si>
  <si>
    <t>CA-2012-136420</t>
  </si>
  <si>
    <t>CA-2013-106278</t>
  </si>
  <si>
    <t>CA-2014-166898</t>
  </si>
  <si>
    <t>OtterBox Defender Series Case - Samsung Galaxy S4</t>
  </si>
  <si>
    <t>CA-2013-126102</t>
  </si>
  <si>
    <t>Ibico EB-19 Dual Function Manual Binding System</t>
  </si>
  <si>
    <t>CA-2013-135461</t>
  </si>
  <si>
    <t>US-2013-155971</t>
  </si>
  <si>
    <t>Avery 488</t>
  </si>
  <si>
    <t>CA-2014-122007</t>
  </si>
  <si>
    <t>Jason Klamczynski</t>
  </si>
  <si>
    <t>Fellowes Basic Home/Office Series Surge Protectors</t>
  </si>
  <si>
    <t>CA-2014-162250</t>
  </si>
  <si>
    <t>Southworth 100% Résumé Paper, 24lb.</t>
  </si>
  <si>
    <t>CA-2012-157028</t>
  </si>
  <si>
    <t>US-2014-147655</t>
  </si>
  <si>
    <t>Avery Trapezoid Extra Heavy Duty 4" Binders</t>
  </si>
  <si>
    <t>CA-2012-157805</t>
  </si>
  <si>
    <t>CA-2014-123029</t>
  </si>
  <si>
    <t>Razer Kraken PRO Over Ear PC and Music Headset</t>
  </si>
  <si>
    <t>US-2014-166688</t>
  </si>
  <si>
    <t>US-2012-106873</t>
  </si>
  <si>
    <t>CA-2011-102645</t>
  </si>
  <si>
    <t>CA-2013-100300</t>
  </si>
  <si>
    <t>Okidata MB760 Printer</t>
  </si>
  <si>
    <t>US-2013-155768</t>
  </si>
  <si>
    <t>CA-2014-119424</t>
  </si>
  <si>
    <t>CA-2014-156776</t>
  </si>
  <si>
    <t>Jeremy Lonsdale</t>
  </si>
  <si>
    <t>Polycom VoiceStation 500 Conference phone</t>
  </si>
  <si>
    <t>CA-2011-146843</t>
  </si>
  <si>
    <t>Acme Office Executive Series Stainless Steel Trimmers</t>
  </si>
  <si>
    <t>CA-2011-103310</t>
  </si>
  <si>
    <t>Southworth 25% Cotton Premium Laser Paper and Envelopes</t>
  </si>
  <si>
    <t>CA-2013-104689</t>
  </si>
  <si>
    <t>Sanford Colorific Colored Pencils, 12/Box</t>
  </si>
  <si>
    <t>CA-2014-141747</t>
  </si>
  <si>
    <t>Letter/Legal File Tote with Clear Snap-On Lid, Black Granite</t>
  </si>
  <si>
    <t>CA-2012-167479</t>
  </si>
  <si>
    <t>Xerox 223</t>
  </si>
  <si>
    <t>CA-2011-144071</t>
  </si>
  <si>
    <t>CA-2013-152646</t>
  </si>
  <si>
    <t>Xerox 222</t>
  </si>
  <si>
    <t>CA-2014-140515</t>
  </si>
  <si>
    <t>Belkin 5 Outlet SurgeMaster Power Centers</t>
  </si>
  <si>
    <t>CA-2011-153619</t>
  </si>
  <si>
    <t>CA-2014-133718</t>
  </si>
  <si>
    <t>Cardinal HOLDit! Binder Insert Strips,Extra Strips</t>
  </si>
  <si>
    <t>CA-2011-148383</t>
  </si>
  <si>
    <t>GBC DocuBind 300 Electric Binding Machine</t>
  </si>
  <si>
    <t>CA-2013-126732</t>
  </si>
  <si>
    <t>CA-2011-113271</t>
  </si>
  <si>
    <t>Avery Hidden Tab Dividers for Binding Systems</t>
  </si>
  <si>
    <t>CA-2014-130106</t>
  </si>
  <si>
    <t>Newell 350</t>
  </si>
  <si>
    <t>CA-2014-155712</t>
  </si>
  <si>
    <t>CA-2014-111388</t>
  </si>
  <si>
    <t>Stephanie Ulpright</t>
  </si>
  <si>
    <t>CA-2011-125759</t>
  </si>
  <si>
    <t>Master Caster Door Stop, Large Brown</t>
  </si>
  <si>
    <t>US-2011-134054</t>
  </si>
  <si>
    <t>Dixon Ticonderoga Core-Lock Colored Pencils, 48-Color Set</t>
  </si>
  <si>
    <t>CA-2013-166772</t>
  </si>
  <si>
    <t>O'Sullivan 5-Shelf Heavy-Duty Bookcases</t>
  </si>
  <si>
    <t>CA-2014-102218</t>
  </si>
  <si>
    <t>CA-2011-111857</t>
  </si>
  <si>
    <t>CA-2012-137603</t>
  </si>
  <si>
    <t>Newell 323</t>
  </si>
  <si>
    <t>CA-2011-128237</t>
  </si>
  <si>
    <t>CA-2014-121853</t>
  </si>
  <si>
    <t>Duane Benoit</t>
  </si>
  <si>
    <t>Xerox 1909</t>
  </si>
  <si>
    <t>US-2014-130687</t>
  </si>
  <si>
    <t>DAX Two-Tone Silver Metal Document Frame</t>
  </si>
  <si>
    <t>CA-2012-164497</t>
  </si>
  <si>
    <t>Ashley Jarboe</t>
  </si>
  <si>
    <t>Holmes Visible Mist Ultrasonic Humidifier with 2.3-Gallon Output per Day, Replacement Filter</t>
  </si>
  <si>
    <t>CA-2013-108056</t>
  </si>
  <si>
    <t>CA-2014-130715</t>
  </si>
  <si>
    <t>OIC Colored Binder Clips, Assorted Sizes</t>
  </si>
  <si>
    <t>CA-2011-155264</t>
  </si>
  <si>
    <t>CA-2013-119123</t>
  </si>
  <si>
    <t>CA-2013-114860</t>
  </si>
  <si>
    <t>Deflect-o DuraMat Antistatic Studded Beveled Mat for Medium Pile Carpeting</t>
  </si>
  <si>
    <t>CA-2013-159009</t>
  </si>
  <si>
    <t>CA-2014-111591</t>
  </si>
  <si>
    <t>C-Line Peel &amp; Stick Add-On Filing Pockets, 8-3/4 x 5-1/8, 10/Pack</t>
  </si>
  <si>
    <t>CA-2014-102820</t>
  </si>
  <si>
    <t>Blue Parrot B250XT Professional Grade Wireless Bluetooth Headset with</t>
  </si>
  <si>
    <t>CA-2013-149671</t>
  </si>
  <si>
    <t>Ken Brennan</t>
  </si>
  <si>
    <t>Acme Box Cutter Scissors</t>
  </si>
  <si>
    <t>CA-2012-126347</t>
  </si>
  <si>
    <t>CA-2014-163097</t>
  </si>
  <si>
    <t>CA-2012-130848</t>
  </si>
  <si>
    <t>Global Highback Leather Tilter in Burgundy</t>
  </si>
  <si>
    <t>CA-2011-159814</t>
  </si>
  <si>
    <t>CA-2013-108959</t>
  </si>
  <si>
    <t>Mini 13-1/2 Capacity Data Binder Rack, Pearl</t>
  </si>
  <si>
    <t>CA-2012-164777</t>
  </si>
  <si>
    <t>CA-2012-127824</t>
  </si>
  <si>
    <t>CA-2011-145254</t>
  </si>
  <si>
    <t>CA-2013-160479</t>
  </si>
  <si>
    <t>CA-2012-119627</t>
  </si>
  <si>
    <t>CA-2014-107853</t>
  </si>
  <si>
    <t>Xerox 201</t>
  </si>
  <si>
    <t>US-2013-148957</t>
  </si>
  <si>
    <t>Avery 481</t>
  </si>
  <si>
    <t>CA-2011-140032</t>
  </si>
  <si>
    <t>CA-2014-145506</t>
  </si>
  <si>
    <t>CA-2012-129546</t>
  </si>
  <si>
    <t>Acco Smartsocket Table Surge Protector, 6 Color-Coded Adapter Outlets</t>
  </si>
  <si>
    <t>CA-2011-138240</t>
  </si>
  <si>
    <t>CA-2011-100867</t>
  </si>
  <si>
    <t>CA-2013-126858</t>
  </si>
  <si>
    <t>CA-2011-122679</t>
  </si>
  <si>
    <t>CA-2012-156566</t>
  </si>
  <si>
    <t>CA-2014-111738</t>
  </si>
  <si>
    <t>Christopher Martinez</t>
  </si>
  <si>
    <t>GBC ProClick 150 Presentation Binding System</t>
  </si>
  <si>
    <t>US-2013-123610</t>
  </si>
  <si>
    <t>Vivian Mathis</t>
  </si>
  <si>
    <t>Memorex Mini Travel Drive 32 GB USB 2.0 Flash Drive</t>
  </si>
  <si>
    <t>US-2012-158589</t>
  </si>
  <si>
    <t>Kelly Williams</t>
  </si>
  <si>
    <t>Dana Swing-Arm Lamps</t>
  </si>
  <si>
    <t>US-2014-104451</t>
  </si>
  <si>
    <t>CA-2013-101189</t>
  </si>
  <si>
    <t>Safco Commercial Shelving</t>
  </si>
  <si>
    <t>CA-2014-156958</t>
  </si>
  <si>
    <t>GBC Premium Transparent Covers with Diagonal Lined Pattern</t>
  </si>
  <si>
    <t>CA-2014-111759</t>
  </si>
  <si>
    <t>Mathew Reese</t>
  </si>
  <si>
    <t>CA-2013-148747</t>
  </si>
  <si>
    <t>CA-2012-135727</t>
  </si>
  <si>
    <t>Global Chrome Stack Chair</t>
  </si>
  <si>
    <t>CA-2012-160864</t>
  </si>
  <si>
    <t>Avery Binding System Hidden Tab Executive Style Index Sets</t>
  </si>
  <si>
    <t>CA-2013-125724</t>
  </si>
  <si>
    <t>CA-2012-161242</t>
  </si>
  <si>
    <t>Catherine Glotzbach</t>
  </si>
  <si>
    <t>CA-2012-148495</t>
  </si>
  <si>
    <t>Sandra Flanagan</t>
  </si>
  <si>
    <t>CA-2013-108630</t>
  </si>
  <si>
    <t>Bobby Elias</t>
  </si>
  <si>
    <t>Recycled Premium Regency Composition Covers</t>
  </si>
  <si>
    <t>CA-2014-104619</t>
  </si>
  <si>
    <t>Acco Six-Outlet Power Strip, 4' Cord Length</t>
  </si>
  <si>
    <t>CA-2012-149517</t>
  </si>
  <si>
    <t>Seth Thomas 8 1/2" Cubicle Clock</t>
  </si>
  <si>
    <t>CA-2012-116841</t>
  </si>
  <si>
    <t>Theone Pippenger</t>
  </si>
  <si>
    <t>CA-2013-130638</t>
  </si>
  <si>
    <t>Tenex Carpeted, Granite-Look or Clear Contemporary Contour Shape Chair Mats</t>
  </si>
  <si>
    <t>CA-2013-110086</t>
  </si>
  <si>
    <t>Polycom CX300 Desktop Phone USB VoIP phone</t>
  </si>
  <si>
    <t>CA-2011-128524</t>
  </si>
  <si>
    <t>Belkin F5C206VTEL 6 Outlet Surge</t>
  </si>
  <si>
    <t>CA-2013-140256</t>
  </si>
  <si>
    <t>CA-2011-124702</t>
  </si>
  <si>
    <t>Howard Miller 13-1/2" Diameter Rosebrook Wall Clock</t>
  </si>
  <si>
    <t>US-2014-125808</t>
  </si>
  <si>
    <t>Xerox 1899</t>
  </si>
  <si>
    <t>CA-2011-104563</t>
  </si>
  <si>
    <t>Craig Molinari</t>
  </si>
  <si>
    <t>US-2014-107979</t>
  </si>
  <si>
    <t>CA-2013-107104</t>
  </si>
  <si>
    <t>DMI Eclipse Executive Suite Bookcases</t>
  </si>
  <si>
    <t>CA-2014-161893</t>
  </si>
  <si>
    <t>CA-2011-100860</t>
  </si>
  <si>
    <t>Smead Alpha-Z Color-Coded Name Labels First Letter Starter Set</t>
  </si>
  <si>
    <t>CA-2013-160717</t>
  </si>
  <si>
    <t>CA-2014-132619</t>
  </si>
  <si>
    <t>US-2012-120957</t>
  </si>
  <si>
    <t>CA-2014-157448</t>
  </si>
  <si>
    <t>Eldon Radial Chair Mat for Low to Medium Pile Carpets</t>
  </si>
  <si>
    <t>CA-2013-126270</t>
  </si>
  <si>
    <t>San Clemente</t>
  </si>
  <si>
    <t>US-2014-140312</t>
  </si>
  <si>
    <t>Dublin</t>
  </si>
  <si>
    <t>Samsung Replacement EH64AVFWE Premium Headset</t>
  </si>
  <si>
    <t>CA-2013-137393</t>
  </si>
  <si>
    <t>Executive Impressions 8-1/2" Career Panel/Partition Cubicle Clock</t>
  </si>
  <si>
    <t>CA-2012-130113</t>
  </si>
  <si>
    <t>CA-2014-122770</t>
  </si>
  <si>
    <t>CA-2014-118668</t>
  </si>
  <si>
    <t>Fred Wasserman</t>
  </si>
  <si>
    <t>CA-2014-116498</t>
  </si>
  <si>
    <t>Dixon My First Ticonderoga Pencil, #2</t>
  </si>
  <si>
    <t>CA-2014-130148</t>
  </si>
  <si>
    <t>CA-2014-154116</t>
  </si>
  <si>
    <t>CA-2013-105291</t>
  </si>
  <si>
    <t>San Luis Obispo</t>
  </si>
  <si>
    <t>Assorted Color Push Pins</t>
  </si>
  <si>
    <t>CA-2014-125990</t>
  </si>
  <si>
    <t>Joy Smith</t>
  </si>
  <si>
    <t>JM Magazine Binder</t>
  </si>
  <si>
    <t>CA-2013-161746</t>
  </si>
  <si>
    <t>Office Star Flex Back Scooter Chair with Aluminum Finish Frame</t>
  </si>
  <si>
    <t>CA-2013-116379</t>
  </si>
  <si>
    <t>GBC VeloBinder Manual Binding System</t>
  </si>
  <si>
    <t>CA-2014-142293</t>
  </si>
  <si>
    <t>Logitech Trackman Marble Mouse</t>
  </si>
  <si>
    <t>CA-2011-111962</t>
  </si>
  <si>
    <t>Evan Bailliet</t>
  </si>
  <si>
    <t>CA-2014-124261</t>
  </si>
  <si>
    <t>CA-2014-129294</t>
  </si>
  <si>
    <t>CA-2014-131303</t>
  </si>
  <si>
    <t>Round Specialty Laser Printer Labels</t>
  </si>
  <si>
    <t>CA-2014-137505</t>
  </si>
  <si>
    <t>Hon Practical Foundations 30 x 60 Training Table, Light Gray/Charcoal</t>
  </si>
  <si>
    <t>US-2013-158680</t>
  </si>
  <si>
    <t>CA-2013-146913</t>
  </si>
  <si>
    <t>CA-2011-121762</t>
  </si>
  <si>
    <t>CA-2011-123855</t>
  </si>
  <si>
    <t>Plantronics Cordless Phone Headset with In-line Volume - M214C</t>
  </si>
  <si>
    <t>CA-2014-142328</t>
  </si>
  <si>
    <t>CA-2014-137918</t>
  </si>
  <si>
    <t>Lodi</t>
  </si>
  <si>
    <t>Acme Hot Forged Carbon Steel Scissors with Nickel-Plated Handles, 3 7/8" Cut, 8"L</t>
  </si>
  <si>
    <t>US-2011-139640</t>
  </si>
  <si>
    <t>Troy Blackwell</t>
  </si>
  <si>
    <t>Xerox 1995</t>
  </si>
  <si>
    <t>US-2011-164406</t>
  </si>
  <si>
    <t>US-2013-125402</t>
  </si>
  <si>
    <t>Dan Lawera</t>
  </si>
  <si>
    <t>Ampad Evidence Wirebond Steno Books, 6" x 9"</t>
  </si>
  <si>
    <t>CA-2014-169327</t>
  </si>
  <si>
    <t>CA-2011-142979</t>
  </si>
  <si>
    <t>Prismacolor Color Pencil Set</t>
  </si>
  <si>
    <t>CA-2014-138870</t>
  </si>
  <si>
    <t>CA-2012-164301</t>
  </si>
  <si>
    <t>Bush Advantage Collection Racetrack Conference Table</t>
  </si>
  <si>
    <t>CA-2011-112291</t>
  </si>
  <si>
    <t>CA-2014-117646</t>
  </si>
  <si>
    <t>Sung Chung</t>
  </si>
  <si>
    <t>Recycled Data-Pak for Archival Bound Computer Printouts, 12-1/2 x 12-1/2 x 16</t>
  </si>
  <si>
    <t>US-2012-129007</t>
  </si>
  <si>
    <t>CA-2012-132388</t>
  </si>
  <si>
    <t>CA-2013-129630</t>
  </si>
  <si>
    <t>CA-2012-104948</t>
  </si>
  <si>
    <t>Universal Recycled Hanging Pressboard Report Binders, Letter Size</t>
  </si>
  <si>
    <t>CA-2013-164889</t>
  </si>
  <si>
    <t>CA-2014-164028</t>
  </si>
  <si>
    <t>CA-2011-143371</t>
  </si>
  <si>
    <t>Maribeth Dona</t>
  </si>
  <si>
    <t>CA-2012-145415</t>
  </si>
  <si>
    <t>CA-2012-141593</t>
  </si>
  <si>
    <t>Ibico Recycled Grain-Textured Covers</t>
  </si>
  <si>
    <t>CA-2014-137421</t>
  </si>
  <si>
    <t>US-2013-103674</t>
  </si>
  <si>
    <t>Anne Pryor</t>
  </si>
  <si>
    <t>Avaya 5410 Digital phone</t>
  </si>
  <si>
    <t>CA-2013-125794</t>
  </si>
  <si>
    <t>Memorex Mini Travel Drive 64 GB USB 2.0 Flash Drive</t>
  </si>
  <si>
    <t>CA-2014-121258</t>
  </si>
  <si>
    <t>CA-2014-119914</t>
  </si>
  <si>
    <t>Acco 7-Outlet Masterpiece Power Center, Wihtout Fax/Phone Line Protection</t>
  </si>
  <si>
    <t>Month</t>
  </si>
  <si>
    <t>Count of Order ID</t>
  </si>
  <si>
    <t>Sum of Sales</t>
  </si>
  <si>
    <t>Row Labels</t>
  </si>
  <si>
    <t>January</t>
  </si>
  <si>
    <t>February</t>
  </si>
  <si>
    <t>March</t>
  </si>
  <si>
    <t>April</t>
  </si>
  <si>
    <t>May</t>
  </si>
  <si>
    <t>June</t>
  </si>
  <si>
    <t>July</t>
  </si>
  <si>
    <t>August</t>
  </si>
  <si>
    <t>September</t>
  </si>
  <si>
    <t>October</t>
  </si>
  <si>
    <t>November</t>
  </si>
  <si>
    <t>December</t>
  </si>
  <si>
    <t>Grand Total</t>
  </si>
  <si>
    <t>Delivery Status</t>
  </si>
  <si>
    <t>Sales Value</t>
  </si>
  <si>
    <t xml:space="preserve">Order Type </t>
  </si>
  <si>
    <t>Walmart Sales Performance Report</t>
  </si>
  <si>
    <t>Delayed</t>
  </si>
  <si>
    <t>On time</t>
  </si>
  <si>
    <t>High Value</t>
  </si>
  <si>
    <t>Low Value</t>
  </si>
  <si>
    <t>Medium Value</t>
  </si>
  <si>
    <t>Bulk</t>
  </si>
  <si>
    <t>Multi</t>
  </si>
  <si>
    <t>Single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</si>
</sst>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8"/>
      <color theme="0"/>
      <name val="Aptos Narrow"/>
      <family val="2"/>
      <scheme val="minor"/>
    </font>
  </fonts>
  <fills count="4">
    <fill>
      <patternFill patternType="none"/>
    </fill>
    <fill>
      <patternFill patternType="gray125"/>
    </fill>
    <fill>
      <patternFill patternType="solid">
        <fgColor theme="5"/>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1" fillId="2" borderId="0" xfId="0" applyFont="1" applyFill="1" applyAlignment="1">
      <alignment horizontal="center"/>
    </xf>
    <xf numFmtId="0" fontId="0" fillId="0" borderId="0" xfId="0" applyNumberFormat="1"/>
  </cellXfs>
  <cellStyles count="1">
    <cellStyle name="Normal" xfId="0" builtinId="0"/>
  </cellStyles>
  <dxfs count="13">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86F10B4F-4B65-4089-95E9-855C870FF8F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Dashboard.xlsx]Orders vs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vs Sales</a:t>
            </a:r>
          </a:p>
        </c:rich>
      </c:tx>
      <c:layout>
        <c:manualLayout>
          <c:xMode val="edge"/>
          <c:yMode val="edge"/>
          <c:x val="0.10067344706911636"/>
          <c:y val="2.7777777777777776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750055496794245"/>
          <c:y val="0.17171315293334813"/>
          <c:w val="0.74934383202099741"/>
          <c:h val="0.60673009623797025"/>
        </c:manualLayout>
      </c:layout>
      <c:barChart>
        <c:barDir val="col"/>
        <c:grouping val="clustered"/>
        <c:varyColors val="0"/>
        <c:ser>
          <c:idx val="0"/>
          <c:order val="0"/>
          <c:tx>
            <c:strRef>
              <c:f>'Orders vs Sales'!$B$3</c:f>
              <c:strCache>
                <c:ptCount val="1"/>
                <c:pt idx="0">
                  <c:v>Count of Order ID</c:v>
                </c:pt>
              </c:strCache>
            </c:strRef>
          </c:tx>
          <c:spPr>
            <a:solidFill>
              <a:schemeClr val="accent1"/>
            </a:solidFill>
            <a:ln>
              <a:noFill/>
            </a:ln>
            <a:effectLst/>
          </c:spPr>
          <c:invertIfNegative val="0"/>
          <c:cat>
            <c:strRef>
              <c:f>'Orders vs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'Orders vs Sales'!$B$4:$B$16</c:f>
              <c:numCache>
                <c:formatCode>General</c:formatCode>
                <c:ptCount val="12"/>
                <c:pt idx="0">
                  <c:v>58</c:v>
                </c:pt>
                <c:pt idx="1">
                  <c:v>54</c:v>
                </c:pt>
                <c:pt idx="2">
                  <c:v>108</c:v>
                </c:pt>
                <c:pt idx="3">
                  <c:v>103</c:v>
                </c:pt>
                <c:pt idx="4">
                  <c:v>119</c:v>
                </c:pt>
                <c:pt idx="5">
                  <c:v>106</c:v>
                </c:pt>
                <c:pt idx="6">
                  <c:v>111</c:v>
                </c:pt>
                <c:pt idx="7">
                  <c:v>112</c:v>
                </c:pt>
                <c:pt idx="8">
                  <c:v>227</c:v>
                </c:pt>
                <c:pt idx="9">
                  <c:v>145</c:v>
                </c:pt>
                <c:pt idx="10">
                  <c:v>234</c:v>
                </c:pt>
                <c:pt idx="11">
                  <c:v>234</c:v>
                </c:pt>
              </c:numCache>
            </c:numRef>
          </c:val>
          <c:extLst>
            <c:ext xmlns:c16="http://schemas.microsoft.com/office/drawing/2014/chart" uri="{C3380CC4-5D6E-409C-BE32-E72D297353CC}">
              <c16:uniqueId val="{00000006-2239-45A1-BC7F-C5AA9FC407CF}"/>
            </c:ext>
          </c:extLst>
        </c:ser>
        <c:dLbls>
          <c:showLegendKey val="0"/>
          <c:showVal val="0"/>
          <c:showCatName val="0"/>
          <c:showSerName val="0"/>
          <c:showPercent val="0"/>
          <c:showBubbleSize val="0"/>
        </c:dLbls>
        <c:gapWidth val="219"/>
        <c:overlap val="-27"/>
        <c:axId val="1142064463"/>
        <c:axId val="1142048143"/>
      </c:barChart>
      <c:lineChart>
        <c:grouping val="standard"/>
        <c:varyColors val="0"/>
        <c:ser>
          <c:idx val="1"/>
          <c:order val="1"/>
          <c:tx>
            <c:strRef>
              <c:f>'Orders vs Sales'!$C$3</c:f>
              <c:strCache>
                <c:ptCount val="1"/>
                <c:pt idx="0">
                  <c:v>Sum of Sales</c:v>
                </c:pt>
              </c:strCache>
            </c:strRef>
          </c:tx>
          <c:spPr>
            <a:ln w="28575" cap="rnd">
              <a:solidFill>
                <a:schemeClr val="accent2"/>
              </a:solidFill>
              <a:round/>
            </a:ln>
            <a:effectLst/>
          </c:spPr>
          <c:marker>
            <c:symbol val="none"/>
          </c:marker>
          <c:cat>
            <c:strRef>
              <c:f>'Orders vs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'Orders vs Sales'!$C$4:$C$16</c:f>
              <c:numCache>
                <c:formatCode>General</c:formatCode>
                <c:ptCount val="12"/>
                <c:pt idx="0">
                  <c:v>15856.630000000001</c:v>
                </c:pt>
                <c:pt idx="1">
                  <c:v>8331.1099999999988</c:v>
                </c:pt>
                <c:pt idx="2">
                  <c:v>23531.74</c:v>
                </c:pt>
                <c:pt idx="3">
                  <c:v>18767.529999999992</c:v>
                </c:pt>
                <c:pt idx="4">
                  <c:v>25339.149999999987</c:v>
                </c:pt>
                <c:pt idx="5">
                  <c:v>28907.519999999993</c:v>
                </c:pt>
                <c:pt idx="6">
                  <c:v>25746.659999999993</c:v>
                </c:pt>
                <c:pt idx="7">
                  <c:v>29396.589999999997</c:v>
                </c:pt>
                <c:pt idx="8">
                  <c:v>32379.450000000012</c:v>
                </c:pt>
                <c:pt idx="9">
                  <c:v>21163.289999999986</c:v>
                </c:pt>
                <c:pt idx="10">
                  <c:v>45597.220000000008</c:v>
                </c:pt>
                <c:pt idx="11">
                  <c:v>57426.899999999994</c:v>
                </c:pt>
              </c:numCache>
            </c:numRef>
          </c:val>
          <c:smooth val="0"/>
          <c:extLst>
            <c:ext xmlns:c16="http://schemas.microsoft.com/office/drawing/2014/chart" uri="{C3380CC4-5D6E-409C-BE32-E72D297353CC}">
              <c16:uniqueId val="{00000008-2239-45A1-BC7F-C5AA9FC407CF}"/>
            </c:ext>
          </c:extLst>
        </c:ser>
        <c:dLbls>
          <c:showLegendKey val="0"/>
          <c:showVal val="0"/>
          <c:showCatName val="0"/>
          <c:showSerName val="0"/>
          <c:showPercent val="0"/>
          <c:showBubbleSize val="0"/>
        </c:dLbls>
        <c:marker val="1"/>
        <c:smooth val="0"/>
        <c:axId val="1142071663"/>
        <c:axId val="1142071183"/>
      </c:lineChart>
      <c:catAx>
        <c:axId val="114206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48143"/>
        <c:crosses val="autoZero"/>
        <c:auto val="1"/>
        <c:lblAlgn val="ctr"/>
        <c:lblOffset val="100"/>
        <c:noMultiLvlLbl val="0"/>
      </c:catAx>
      <c:valAx>
        <c:axId val="1142048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64463"/>
        <c:crosses val="autoZero"/>
        <c:crossBetween val="between"/>
      </c:valAx>
      <c:valAx>
        <c:axId val="1142071183"/>
        <c:scaling>
          <c:orientation val="minMax"/>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71663"/>
        <c:crosses val="max"/>
        <c:crossBetween val="between"/>
      </c:valAx>
      <c:catAx>
        <c:axId val="1142071663"/>
        <c:scaling>
          <c:orientation val="minMax"/>
        </c:scaling>
        <c:delete val="1"/>
        <c:axPos val="b"/>
        <c:numFmt formatCode="General" sourceLinked="1"/>
        <c:majorTickMark val="out"/>
        <c:minorTickMark val="none"/>
        <c:tickLblPos val="nextTo"/>
        <c:crossAx val="1142071183"/>
        <c:crosses val="autoZero"/>
        <c:auto val="1"/>
        <c:lblAlgn val="ctr"/>
        <c:lblOffset val="100"/>
        <c:noMultiLvlLbl val="0"/>
      </c:catAx>
    </c:plotArea>
    <c:legend>
      <c:legendPos val="r"/>
      <c:layout>
        <c:manualLayout>
          <c:xMode val="edge"/>
          <c:yMode val="edge"/>
          <c:x val="0.52535158851412234"/>
          <c:y val="2.9807123581383318E-2"/>
          <c:w val="0.44562685261357265"/>
          <c:h val="0.15452848323537022"/>
        </c:manualLayout>
      </c:layout>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Dashboard.xlsx]Top 5 States!PivotTable2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Top</a:t>
            </a:r>
            <a:r>
              <a:rPr lang="en-US" baseline="0"/>
              <a:t>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46591026515386"/>
          <c:y val="0.19721311475409839"/>
          <c:w val="0.73102227871122405"/>
          <c:h val="0.67099307258723806"/>
        </c:manualLayout>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cat>
            <c:strRef>
              <c:f>'Top 5 States'!$A$4:$A$9</c:f>
              <c:strCache>
                <c:ptCount val="5"/>
                <c:pt idx="0">
                  <c:v>Arizona</c:v>
                </c:pt>
                <c:pt idx="1">
                  <c:v>California</c:v>
                </c:pt>
                <c:pt idx="2">
                  <c:v>Colorado</c:v>
                </c:pt>
                <c:pt idx="3">
                  <c:v>Nevada</c:v>
                </c:pt>
                <c:pt idx="4">
                  <c:v>Washington</c:v>
                </c:pt>
              </c:strCache>
            </c:strRef>
          </c:cat>
          <c:val>
            <c:numRef>
              <c:f>'Top 5 States'!$B$4:$B$9</c:f>
              <c:numCache>
                <c:formatCode>General</c:formatCode>
                <c:ptCount val="5"/>
                <c:pt idx="0">
                  <c:v>16393.22</c:v>
                </c:pt>
                <c:pt idx="1">
                  <c:v>213274.66000000027</c:v>
                </c:pt>
                <c:pt idx="2">
                  <c:v>12211.46000000001</c:v>
                </c:pt>
                <c:pt idx="3">
                  <c:v>8177.1999999999989</c:v>
                </c:pt>
                <c:pt idx="4">
                  <c:v>57309.15</c:v>
                </c:pt>
              </c:numCache>
            </c:numRef>
          </c:val>
          <c:extLst>
            <c:ext xmlns:c16="http://schemas.microsoft.com/office/drawing/2014/chart" uri="{C3380CC4-5D6E-409C-BE32-E72D297353CC}">
              <c16:uniqueId val="{00000000-AEDD-473B-9F96-88A6D8B63023}"/>
            </c:ext>
          </c:extLst>
        </c:ser>
        <c:dLbls>
          <c:showLegendKey val="0"/>
          <c:showVal val="0"/>
          <c:showCatName val="0"/>
          <c:showSerName val="0"/>
          <c:showPercent val="0"/>
          <c:showBubbleSize val="0"/>
        </c:dLbls>
        <c:gapWidth val="182"/>
        <c:axId val="1372947023"/>
        <c:axId val="1372947503"/>
      </c:barChart>
      <c:catAx>
        <c:axId val="137294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47503"/>
        <c:crosses val="autoZero"/>
        <c:auto val="1"/>
        <c:lblAlgn val="ctr"/>
        <c:lblOffset val="100"/>
        <c:noMultiLvlLbl val="0"/>
      </c:catAx>
      <c:valAx>
        <c:axId val="1372947503"/>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4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Dashboard.xlsx]Category Sales!PivotTable3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Categorized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Sales'!$B$4:$B$21</c:f>
              <c:numCache>
                <c:formatCode>General</c:formatCode>
                <c:ptCount val="17"/>
                <c:pt idx="0">
                  <c:v>26541.569999999996</c:v>
                </c:pt>
                <c:pt idx="1">
                  <c:v>12788.890000000001</c:v>
                </c:pt>
                <c:pt idx="2">
                  <c:v>5967.8300000000045</c:v>
                </c:pt>
                <c:pt idx="3">
                  <c:v>25200.969999999994</c:v>
                </c:pt>
                <c:pt idx="4">
                  <c:v>22775.429999999997</c:v>
                </c:pt>
                <c:pt idx="5">
                  <c:v>52765.659999999953</c:v>
                </c:pt>
                <c:pt idx="6">
                  <c:v>18439.599999999999</c:v>
                </c:pt>
                <c:pt idx="7">
                  <c:v>2115.46</c:v>
                </c:pt>
                <c:pt idx="8">
                  <c:v>525.08000000000004</c:v>
                </c:pt>
                <c:pt idx="9">
                  <c:v>17813.38</c:v>
                </c:pt>
                <c:pt idx="10">
                  <c:v>1533.3600000000006</c:v>
                </c:pt>
                <c:pt idx="11">
                  <c:v>12878.419999999998</c:v>
                </c:pt>
                <c:pt idx="12">
                  <c:v>12246.739999999989</c:v>
                </c:pt>
                <c:pt idx="13">
                  <c:v>44671.78</c:v>
                </c:pt>
                <c:pt idx="14">
                  <c:v>34158.359999999979</c:v>
                </c:pt>
                <c:pt idx="15">
                  <c:v>2616.9199999999996</c:v>
                </c:pt>
                <c:pt idx="16">
                  <c:v>39404.339999999997</c:v>
                </c:pt>
              </c:numCache>
            </c:numRef>
          </c:val>
          <c:extLst>
            <c:ext xmlns:c16="http://schemas.microsoft.com/office/drawing/2014/chart" uri="{C3380CC4-5D6E-409C-BE32-E72D297353CC}">
              <c16:uniqueId val="{00000000-5543-4EA9-94CF-409A169DFB22}"/>
            </c:ext>
          </c:extLst>
        </c:ser>
        <c:dLbls>
          <c:showLegendKey val="0"/>
          <c:showVal val="0"/>
          <c:showCatName val="0"/>
          <c:showSerName val="0"/>
          <c:showPercent val="0"/>
          <c:showBubbleSize val="0"/>
        </c:dLbls>
        <c:gapWidth val="219"/>
        <c:overlap val="-27"/>
        <c:axId val="1110253983"/>
        <c:axId val="1110254463"/>
      </c:barChart>
      <c:catAx>
        <c:axId val="11102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54463"/>
        <c:crosses val="autoZero"/>
        <c:auto val="1"/>
        <c:lblAlgn val="ctr"/>
        <c:lblOffset val="100"/>
        <c:noMultiLvlLbl val="0"/>
      </c:catAx>
      <c:valAx>
        <c:axId val="1110254463"/>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Dashboard.xlsx]Delivery progress!PivotTable4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Progress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1"/>
        <c:spPr>
          <a:solidFill>
            <a:schemeClr val="accent2"/>
          </a:solidFill>
          <a:ln w="19050">
            <a:solidFill>
              <a:schemeClr val="lt1"/>
            </a:solidFill>
          </a:ln>
          <a:effectLst/>
        </c:spP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3.5971223021582732E-2"/>
              <c:y val="2.372479240806640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7499999999999999"/>
              <c:y val="-0.2083333333333334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8876"/>
                    <a:gd name="adj2" fmla="val 15170"/>
                  </a:avLst>
                </a:prstGeom>
                <a:noFill/>
                <a:ln>
                  <a:noFill/>
                </a:ln>
              </c15:spPr>
            </c:ext>
          </c:extLst>
        </c:dLbl>
      </c:pivotFmt>
    </c:pivotFmts>
    <c:plotArea>
      <c:layout>
        <c:manualLayout>
          <c:layoutTarget val="inner"/>
          <c:xMode val="edge"/>
          <c:yMode val="edge"/>
          <c:x val="0.29976224846894139"/>
          <c:y val="0.22203412073490814"/>
          <c:w val="0.40047572178477692"/>
          <c:h val="0.66745953630796151"/>
        </c:manualLayout>
      </c:layout>
      <c:pieChart>
        <c:varyColors val="1"/>
        <c:ser>
          <c:idx val="0"/>
          <c:order val="0"/>
          <c:tx>
            <c:strRef>
              <c:f>'Delivery progress'!$B$3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10-4296-A507-34C27B1441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10-4296-A507-34C27B14419A}"/>
              </c:ext>
            </c:extLst>
          </c:dPt>
          <c:dLbls>
            <c:dLbl>
              <c:idx val="0"/>
              <c:layout>
                <c:manualLayout>
                  <c:x val="3.5971223021582732E-2"/>
                  <c:y val="2.372479240806640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10-4296-A507-34C27B14419A}"/>
                </c:ext>
              </c:extLst>
            </c:dLbl>
            <c:dLbl>
              <c:idx val="1"/>
              <c:layout>
                <c:manualLayout>
                  <c:x val="-0.17499999999999999"/>
                  <c:y val="-0.2083333333333334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8876"/>
                        <a:gd name="adj2" fmla="val 15170"/>
                      </a:avLst>
                    </a:prstGeom>
                    <a:noFill/>
                    <a:ln>
                      <a:noFill/>
                    </a:ln>
                  </c15:spPr>
                </c:ext>
                <c:ext xmlns:c16="http://schemas.microsoft.com/office/drawing/2014/chart" uri="{C3380CC4-5D6E-409C-BE32-E72D297353CC}">
                  <c16:uniqueId val="{00000003-A310-4296-A507-34C27B14419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 progress'!$A$4:$A$6</c:f>
              <c:strCache>
                <c:ptCount val="2"/>
                <c:pt idx="0">
                  <c:v>Delayed</c:v>
                </c:pt>
                <c:pt idx="1">
                  <c:v>On time</c:v>
                </c:pt>
              </c:strCache>
            </c:strRef>
          </c:cat>
          <c:val>
            <c:numRef>
              <c:f>'Delivery progress'!$B$4:$B$6</c:f>
              <c:numCache>
                <c:formatCode>General</c:formatCode>
                <c:ptCount val="2"/>
                <c:pt idx="0">
                  <c:v>112</c:v>
                </c:pt>
                <c:pt idx="1">
                  <c:v>1499</c:v>
                </c:pt>
              </c:numCache>
            </c:numRef>
          </c:val>
          <c:extLst>
            <c:ext xmlns:c16="http://schemas.microsoft.com/office/drawing/2014/chart" uri="{C3380CC4-5D6E-409C-BE32-E72D297353CC}">
              <c16:uniqueId val="{00000004-A310-4296-A507-34C27B14419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Dashboard.xlsx]Order Value!PivotTable5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Value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3588859903150405"/>
          <c:y val="0.26472635022734836"/>
          <c:w val="0.52822320082330132"/>
          <c:h val="0.611920538981923"/>
        </c:manualLayout>
      </c:layout>
      <c:pieChart>
        <c:varyColors val="1"/>
        <c:ser>
          <c:idx val="0"/>
          <c:order val="0"/>
          <c:tx>
            <c:strRef>
              <c:f>'Order Value'!$B$3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04-416B-9E67-B2DD9C0C95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04-416B-9E67-B2DD9C0C95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04-416B-9E67-B2DD9C0C95F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Value'!$A$4:$A$7</c:f>
              <c:strCache>
                <c:ptCount val="3"/>
                <c:pt idx="0">
                  <c:v>High Value</c:v>
                </c:pt>
                <c:pt idx="1">
                  <c:v>Low Value</c:v>
                </c:pt>
                <c:pt idx="2">
                  <c:v>Medium Value</c:v>
                </c:pt>
              </c:strCache>
            </c:strRef>
          </c:cat>
          <c:val>
            <c:numRef>
              <c:f>'Order Value'!$B$4:$B$7</c:f>
              <c:numCache>
                <c:formatCode>General</c:formatCode>
                <c:ptCount val="3"/>
                <c:pt idx="0">
                  <c:v>75</c:v>
                </c:pt>
                <c:pt idx="1">
                  <c:v>1434</c:v>
                </c:pt>
                <c:pt idx="2">
                  <c:v>102</c:v>
                </c:pt>
              </c:numCache>
            </c:numRef>
          </c:val>
          <c:extLst>
            <c:ext xmlns:c16="http://schemas.microsoft.com/office/drawing/2014/chart" uri="{C3380CC4-5D6E-409C-BE32-E72D297353CC}">
              <c16:uniqueId val="{00000006-E104-416B-9E67-B2DD9C0C95FF}"/>
            </c:ext>
          </c:extLst>
        </c:ser>
        <c:dLbls>
          <c:showLegendKey val="0"/>
          <c:showVal val="0"/>
          <c:showCatName val="0"/>
          <c:showSerName val="0"/>
          <c:showPercent val="0"/>
          <c:showBubbleSize val="0"/>
          <c:showLeaderLines val="0"/>
        </c:dLbls>
        <c:firstSliceAng val="6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Dashboard.xlsx]Order Type!PivotTable6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8055555555555555"/>
              <c:y val="-0.1620370370370371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92"/>
                    <a:gd name="adj2" fmla="val -28397"/>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layout>
            <c:manualLayout>
              <c:x val="-0.18055555555555555"/>
              <c:y val="-0.1620370370370371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92"/>
                    <a:gd name="adj2" fmla="val -28397"/>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0.18055555555555555"/>
              <c:y val="-0.1620370370370371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92"/>
                    <a:gd name="adj2" fmla="val -28397"/>
                  </a:avLst>
                </a:prstGeom>
                <a:noFill/>
                <a:ln>
                  <a:noFill/>
                </a:ln>
              </c15:spPr>
            </c:ext>
          </c:extLst>
        </c:dLbl>
      </c:pivotFmt>
      <c:pivotFmt>
        <c:idx val="9"/>
        <c:spPr>
          <a:solidFill>
            <a:schemeClr val="accent1"/>
          </a:solidFill>
          <a:ln w="19050">
            <a:solidFill>
              <a:schemeClr val="lt1"/>
            </a:solidFill>
          </a:ln>
          <a:effectLst/>
        </c:spPr>
        <c:dLbl>
          <c:idx val="0"/>
          <c:layout>
            <c:manualLayout>
              <c:x val="-2.063983488132095E-2"/>
              <c:y val="1.650165016501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04-4C22-ACEF-4D3924DEE3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04-4C22-ACEF-4D3924DEE3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04-4C22-ACEF-4D3924DEE3EA}"/>
              </c:ext>
            </c:extLst>
          </c:dPt>
          <c:dLbls>
            <c:dLbl>
              <c:idx val="1"/>
              <c:layout>
                <c:manualLayout>
                  <c:x val="-0.18055555555555555"/>
                  <c:y val="-0.1620370370370371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92"/>
                        <a:gd name="adj2" fmla="val -28397"/>
                      </a:avLst>
                    </a:prstGeom>
                    <a:noFill/>
                    <a:ln>
                      <a:noFill/>
                    </a:ln>
                  </c15:spPr>
                </c:ext>
                <c:ext xmlns:c16="http://schemas.microsoft.com/office/drawing/2014/chart" uri="{C3380CC4-5D6E-409C-BE32-E72D297353CC}">
                  <c16:uniqueId val="{00000003-5F04-4C22-ACEF-4D3924DEE3EA}"/>
                </c:ext>
              </c:extLst>
            </c:dLbl>
            <c:dLbl>
              <c:idx val="2"/>
              <c:layout>
                <c:manualLayout>
                  <c:x val="-2.063983488132095E-2"/>
                  <c:y val="1.6501650165016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04-4C22-ACEF-4D3924DEE3E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Type'!$A$4:$A$7</c:f>
              <c:strCache>
                <c:ptCount val="3"/>
                <c:pt idx="0">
                  <c:v>Bulk</c:v>
                </c:pt>
                <c:pt idx="1">
                  <c:v>Multi</c:v>
                </c:pt>
                <c:pt idx="2">
                  <c:v>Single</c:v>
                </c:pt>
              </c:strCache>
            </c:strRef>
          </c:cat>
          <c:val>
            <c:numRef>
              <c:f>'Order Type'!$B$4:$B$7</c:f>
              <c:numCache>
                <c:formatCode>General</c:formatCode>
                <c:ptCount val="3"/>
                <c:pt idx="0">
                  <c:v>219</c:v>
                </c:pt>
                <c:pt idx="1">
                  <c:v>1254</c:v>
                </c:pt>
                <c:pt idx="2">
                  <c:v>138</c:v>
                </c:pt>
              </c:numCache>
            </c:numRef>
          </c:val>
          <c:extLst>
            <c:ext xmlns:c16="http://schemas.microsoft.com/office/drawing/2014/chart" uri="{C3380CC4-5D6E-409C-BE32-E72D297353CC}">
              <c16:uniqueId val="{00000006-8D2F-4639-9629-31774264413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Dashboard.xlsx]Top 10 Customers!PivotTable7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Alan Dominguez</c:v>
                </c:pt>
                <c:pt idx="1">
                  <c:v>Ellis Ballard</c:v>
                </c:pt>
                <c:pt idx="2">
                  <c:v>Grace Kelly</c:v>
                </c:pt>
                <c:pt idx="3">
                  <c:v>Harold Ryan</c:v>
                </c:pt>
                <c:pt idx="4">
                  <c:v>Maria Etezadi</c:v>
                </c:pt>
                <c:pt idx="5">
                  <c:v>Maribeth Schnelling</c:v>
                </c:pt>
                <c:pt idx="6">
                  <c:v>Max Jones</c:v>
                </c:pt>
                <c:pt idx="7">
                  <c:v>Penelope Sewall</c:v>
                </c:pt>
                <c:pt idx="8">
                  <c:v>Robert Marley</c:v>
                </c:pt>
                <c:pt idx="9">
                  <c:v>Yana Sorensen</c:v>
                </c:pt>
              </c:strCache>
            </c:strRef>
          </c:cat>
          <c:val>
            <c:numRef>
              <c:f>'Top 10 Customers'!$B$4:$B$14</c:f>
              <c:numCache>
                <c:formatCode>General</c:formatCode>
                <c:ptCount val="10"/>
                <c:pt idx="0">
                  <c:v>3163.91</c:v>
                </c:pt>
                <c:pt idx="1">
                  <c:v>3485.52</c:v>
                </c:pt>
                <c:pt idx="2">
                  <c:v>3668.2200000000003</c:v>
                </c:pt>
                <c:pt idx="3">
                  <c:v>3295.9</c:v>
                </c:pt>
                <c:pt idx="4">
                  <c:v>3265.35</c:v>
                </c:pt>
                <c:pt idx="5">
                  <c:v>3529.45</c:v>
                </c:pt>
                <c:pt idx="6">
                  <c:v>4517.4400000000005</c:v>
                </c:pt>
                <c:pt idx="7">
                  <c:v>3372.85</c:v>
                </c:pt>
                <c:pt idx="8">
                  <c:v>4520.6499999999996</c:v>
                </c:pt>
                <c:pt idx="9">
                  <c:v>4452.21</c:v>
                </c:pt>
              </c:numCache>
            </c:numRef>
          </c:val>
          <c:extLst>
            <c:ext xmlns:c16="http://schemas.microsoft.com/office/drawing/2014/chart" uri="{C3380CC4-5D6E-409C-BE32-E72D297353CC}">
              <c16:uniqueId val="{00000000-1864-4C66-B3B7-1A7BFB34ED3F}"/>
            </c:ext>
          </c:extLst>
        </c:ser>
        <c:dLbls>
          <c:dLblPos val="outEnd"/>
          <c:showLegendKey val="0"/>
          <c:showVal val="1"/>
          <c:showCatName val="0"/>
          <c:showSerName val="0"/>
          <c:showPercent val="0"/>
          <c:showBubbleSize val="0"/>
        </c:dLbls>
        <c:gapWidth val="182"/>
        <c:axId val="1855060687"/>
        <c:axId val="1855054447"/>
      </c:barChart>
      <c:catAx>
        <c:axId val="185506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54447"/>
        <c:crosses val="autoZero"/>
        <c:auto val="1"/>
        <c:lblAlgn val="ctr"/>
        <c:lblOffset val="100"/>
        <c:noMultiLvlLbl val="0"/>
      </c:catAx>
      <c:valAx>
        <c:axId val="1855054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6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Dashboard.xlsx]Orders vs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006734470691163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36482939632546E-2"/>
          <c:y val="0.17171296296296296"/>
          <c:w val="0.82340638670166233"/>
          <c:h val="0.60673009623797025"/>
        </c:manualLayout>
      </c:layout>
      <c:barChart>
        <c:barDir val="col"/>
        <c:grouping val="clustered"/>
        <c:varyColors val="0"/>
        <c:ser>
          <c:idx val="0"/>
          <c:order val="0"/>
          <c:tx>
            <c:strRef>
              <c:f>'Orders vs Sales'!$B$3</c:f>
              <c:strCache>
                <c:ptCount val="1"/>
                <c:pt idx="0">
                  <c:v>Count of Order ID</c:v>
                </c:pt>
              </c:strCache>
            </c:strRef>
          </c:tx>
          <c:spPr>
            <a:solidFill>
              <a:schemeClr val="accent1"/>
            </a:solidFill>
            <a:ln>
              <a:noFill/>
            </a:ln>
            <a:effectLst/>
          </c:spPr>
          <c:invertIfNegative val="0"/>
          <c:cat>
            <c:strRef>
              <c:f>'Orders vs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'Orders vs Sales'!$B$4:$B$16</c:f>
              <c:numCache>
                <c:formatCode>General</c:formatCode>
                <c:ptCount val="12"/>
                <c:pt idx="0">
                  <c:v>58</c:v>
                </c:pt>
                <c:pt idx="1">
                  <c:v>54</c:v>
                </c:pt>
                <c:pt idx="2">
                  <c:v>108</c:v>
                </c:pt>
                <c:pt idx="3">
                  <c:v>103</c:v>
                </c:pt>
                <c:pt idx="4">
                  <c:v>119</c:v>
                </c:pt>
                <c:pt idx="5">
                  <c:v>106</c:v>
                </c:pt>
                <c:pt idx="6">
                  <c:v>111</c:v>
                </c:pt>
                <c:pt idx="7">
                  <c:v>112</c:v>
                </c:pt>
                <c:pt idx="8">
                  <c:v>227</c:v>
                </c:pt>
                <c:pt idx="9">
                  <c:v>145</c:v>
                </c:pt>
                <c:pt idx="10">
                  <c:v>234</c:v>
                </c:pt>
                <c:pt idx="11">
                  <c:v>234</c:v>
                </c:pt>
              </c:numCache>
            </c:numRef>
          </c:val>
          <c:extLst>
            <c:ext xmlns:c16="http://schemas.microsoft.com/office/drawing/2014/chart" uri="{C3380CC4-5D6E-409C-BE32-E72D297353CC}">
              <c16:uniqueId val="{00000000-8F21-467C-9861-86BAA23BA106}"/>
            </c:ext>
          </c:extLst>
        </c:ser>
        <c:dLbls>
          <c:showLegendKey val="0"/>
          <c:showVal val="0"/>
          <c:showCatName val="0"/>
          <c:showSerName val="0"/>
          <c:showPercent val="0"/>
          <c:showBubbleSize val="0"/>
        </c:dLbls>
        <c:gapWidth val="219"/>
        <c:overlap val="-27"/>
        <c:axId val="1142064463"/>
        <c:axId val="1142048143"/>
      </c:barChart>
      <c:lineChart>
        <c:grouping val="standard"/>
        <c:varyColors val="0"/>
        <c:ser>
          <c:idx val="1"/>
          <c:order val="1"/>
          <c:tx>
            <c:strRef>
              <c:f>'Orders vs Sales'!$C$3</c:f>
              <c:strCache>
                <c:ptCount val="1"/>
                <c:pt idx="0">
                  <c:v>Sum of Sales</c:v>
                </c:pt>
              </c:strCache>
            </c:strRef>
          </c:tx>
          <c:spPr>
            <a:ln w="28575" cap="rnd">
              <a:solidFill>
                <a:schemeClr val="accent2"/>
              </a:solidFill>
              <a:round/>
            </a:ln>
            <a:effectLst/>
          </c:spPr>
          <c:marker>
            <c:symbol val="none"/>
          </c:marker>
          <c:cat>
            <c:strRef>
              <c:f>'Orders vs 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'Orders vs Sales'!$C$4:$C$16</c:f>
              <c:numCache>
                <c:formatCode>General</c:formatCode>
                <c:ptCount val="12"/>
                <c:pt idx="0">
                  <c:v>15856.630000000001</c:v>
                </c:pt>
                <c:pt idx="1">
                  <c:v>8331.1099999999988</c:v>
                </c:pt>
                <c:pt idx="2">
                  <c:v>23531.74</c:v>
                </c:pt>
                <c:pt idx="3">
                  <c:v>18767.529999999992</c:v>
                </c:pt>
                <c:pt idx="4">
                  <c:v>25339.149999999987</c:v>
                </c:pt>
                <c:pt idx="5">
                  <c:v>28907.519999999993</c:v>
                </c:pt>
                <c:pt idx="6">
                  <c:v>25746.659999999993</c:v>
                </c:pt>
                <c:pt idx="7">
                  <c:v>29396.589999999997</c:v>
                </c:pt>
                <c:pt idx="8">
                  <c:v>32379.450000000012</c:v>
                </c:pt>
                <c:pt idx="9">
                  <c:v>21163.289999999986</c:v>
                </c:pt>
                <c:pt idx="10">
                  <c:v>45597.220000000008</c:v>
                </c:pt>
                <c:pt idx="11">
                  <c:v>57426.899999999994</c:v>
                </c:pt>
              </c:numCache>
            </c:numRef>
          </c:val>
          <c:smooth val="0"/>
          <c:extLst>
            <c:ext xmlns:c16="http://schemas.microsoft.com/office/drawing/2014/chart" uri="{C3380CC4-5D6E-409C-BE32-E72D297353CC}">
              <c16:uniqueId val="{00000001-8F21-467C-9861-86BAA23BA106}"/>
            </c:ext>
          </c:extLst>
        </c:ser>
        <c:dLbls>
          <c:showLegendKey val="0"/>
          <c:showVal val="0"/>
          <c:showCatName val="0"/>
          <c:showSerName val="0"/>
          <c:showPercent val="0"/>
          <c:showBubbleSize val="0"/>
        </c:dLbls>
        <c:marker val="1"/>
        <c:smooth val="0"/>
        <c:axId val="1142071663"/>
        <c:axId val="1142071183"/>
      </c:lineChart>
      <c:catAx>
        <c:axId val="1142064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48143"/>
        <c:crosses val="autoZero"/>
        <c:auto val="1"/>
        <c:lblAlgn val="ctr"/>
        <c:lblOffset val="100"/>
        <c:noMultiLvlLbl val="0"/>
      </c:catAx>
      <c:valAx>
        <c:axId val="11420481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64463"/>
        <c:crosses val="autoZero"/>
        <c:crossBetween val="between"/>
      </c:valAx>
      <c:valAx>
        <c:axId val="1142071183"/>
        <c:scaling>
          <c:orientation val="minMax"/>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071663"/>
        <c:crosses val="max"/>
        <c:crossBetween val="between"/>
      </c:valAx>
      <c:catAx>
        <c:axId val="1142071663"/>
        <c:scaling>
          <c:orientation val="minMax"/>
        </c:scaling>
        <c:delete val="1"/>
        <c:axPos val="b"/>
        <c:numFmt formatCode="General" sourceLinked="1"/>
        <c:majorTickMark val="out"/>
        <c:minorTickMark val="none"/>
        <c:tickLblPos val="nextTo"/>
        <c:crossAx val="1142071183"/>
        <c:auto val="1"/>
        <c:lblAlgn val="ctr"/>
        <c:lblOffset val="100"/>
        <c:noMultiLvlLbl val="0"/>
      </c:catAx>
      <c:spPr>
        <a:noFill/>
        <a:ln>
          <a:noFill/>
        </a:ln>
        <a:effectLst/>
      </c:spPr>
    </c:plotArea>
    <c:legend>
      <c:legendPos val="r"/>
      <c:layout>
        <c:manualLayout>
          <c:xMode val="edge"/>
          <c:yMode val="edge"/>
          <c:x val="0.42345713035870514"/>
          <c:y val="3.3193715368912219E-2"/>
          <c:w val="0.55154286964129484"/>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Dashboard.xlsx]Top 5 States!PivotTable2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Top</a:t>
            </a:r>
            <a:r>
              <a:rPr lang="en-US" baseline="0"/>
              <a:t> 5 States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States'!$B$3</c:f>
              <c:strCache>
                <c:ptCount val="1"/>
                <c:pt idx="0">
                  <c:v>Total</c:v>
                </c:pt>
              </c:strCache>
            </c:strRef>
          </c:tx>
          <c:spPr>
            <a:solidFill>
              <a:schemeClr val="accent1"/>
            </a:solidFill>
            <a:ln>
              <a:noFill/>
            </a:ln>
            <a:effectLst/>
          </c:spPr>
          <c:invertIfNegative val="0"/>
          <c:cat>
            <c:strRef>
              <c:f>'Top 5 States'!$A$4:$A$9</c:f>
              <c:strCache>
                <c:ptCount val="5"/>
                <c:pt idx="0">
                  <c:v>Arizona</c:v>
                </c:pt>
                <c:pt idx="1">
                  <c:v>California</c:v>
                </c:pt>
                <c:pt idx="2">
                  <c:v>Colorado</c:v>
                </c:pt>
                <c:pt idx="3">
                  <c:v>Nevada</c:v>
                </c:pt>
                <c:pt idx="4">
                  <c:v>Washington</c:v>
                </c:pt>
              </c:strCache>
            </c:strRef>
          </c:cat>
          <c:val>
            <c:numRef>
              <c:f>'Top 5 States'!$B$4:$B$9</c:f>
              <c:numCache>
                <c:formatCode>General</c:formatCode>
                <c:ptCount val="5"/>
                <c:pt idx="0">
                  <c:v>16393.22</c:v>
                </c:pt>
                <c:pt idx="1">
                  <c:v>213274.66000000027</c:v>
                </c:pt>
                <c:pt idx="2">
                  <c:v>12211.46000000001</c:v>
                </c:pt>
                <c:pt idx="3">
                  <c:v>8177.1999999999989</c:v>
                </c:pt>
                <c:pt idx="4">
                  <c:v>57309.15</c:v>
                </c:pt>
              </c:numCache>
            </c:numRef>
          </c:val>
          <c:extLst>
            <c:ext xmlns:c16="http://schemas.microsoft.com/office/drawing/2014/chart" uri="{C3380CC4-5D6E-409C-BE32-E72D297353CC}">
              <c16:uniqueId val="{00000000-118E-46D4-84A4-6DD859FB3A85}"/>
            </c:ext>
          </c:extLst>
        </c:ser>
        <c:dLbls>
          <c:showLegendKey val="0"/>
          <c:showVal val="0"/>
          <c:showCatName val="0"/>
          <c:showSerName val="0"/>
          <c:showPercent val="0"/>
          <c:showBubbleSize val="0"/>
        </c:dLbls>
        <c:gapWidth val="182"/>
        <c:axId val="1372947023"/>
        <c:axId val="1372947503"/>
      </c:barChart>
      <c:catAx>
        <c:axId val="137294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47503"/>
        <c:crosses val="autoZero"/>
        <c:auto val="1"/>
        <c:lblAlgn val="ctr"/>
        <c:lblOffset val="100"/>
        <c:noMultiLvlLbl val="0"/>
      </c:catAx>
      <c:valAx>
        <c:axId val="1372947503"/>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94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Dashboard.xlsx]Category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Categorized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Sales'!$B$3</c:f>
              <c:strCache>
                <c:ptCount val="1"/>
                <c:pt idx="0">
                  <c:v>Total</c:v>
                </c:pt>
              </c:strCache>
            </c:strRef>
          </c:tx>
          <c:spPr>
            <a:solidFill>
              <a:schemeClr val="accent1"/>
            </a:solidFill>
            <a:ln>
              <a:noFill/>
            </a:ln>
            <a:effectLst/>
          </c:spPr>
          <c:invertIfNegative val="0"/>
          <c:cat>
            <c:strRef>
              <c:f>'Category Sales'!$A$4:$A$21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'Category Sales'!$B$4:$B$21</c:f>
              <c:numCache>
                <c:formatCode>General</c:formatCode>
                <c:ptCount val="17"/>
                <c:pt idx="0">
                  <c:v>26541.569999999996</c:v>
                </c:pt>
                <c:pt idx="1">
                  <c:v>12788.890000000001</c:v>
                </c:pt>
                <c:pt idx="2">
                  <c:v>5967.8300000000045</c:v>
                </c:pt>
                <c:pt idx="3">
                  <c:v>25200.969999999994</c:v>
                </c:pt>
                <c:pt idx="4">
                  <c:v>22775.429999999997</c:v>
                </c:pt>
                <c:pt idx="5">
                  <c:v>52765.659999999953</c:v>
                </c:pt>
                <c:pt idx="6">
                  <c:v>18439.599999999999</c:v>
                </c:pt>
                <c:pt idx="7">
                  <c:v>2115.46</c:v>
                </c:pt>
                <c:pt idx="8">
                  <c:v>525.08000000000004</c:v>
                </c:pt>
                <c:pt idx="9">
                  <c:v>17813.38</c:v>
                </c:pt>
                <c:pt idx="10">
                  <c:v>1533.3600000000006</c:v>
                </c:pt>
                <c:pt idx="11">
                  <c:v>12878.419999999998</c:v>
                </c:pt>
                <c:pt idx="12">
                  <c:v>12246.739999999989</c:v>
                </c:pt>
                <c:pt idx="13">
                  <c:v>44671.78</c:v>
                </c:pt>
                <c:pt idx="14">
                  <c:v>34158.359999999979</c:v>
                </c:pt>
                <c:pt idx="15">
                  <c:v>2616.9199999999996</c:v>
                </c:pt>
                <c:pt idx="16">
                  <c:v>39404.339999999997</c:v>
                </c:pt>
              </c:numCache>
            </c:numRef>
          </c:val>
          <c:extLst>
            <c:ext xmlns:c16="http://schemas.microsoft.com/office/drawing/2014/chart" uri="{C3380CC4-5D6E-409C-BE32-E72D297353CC}">
              <c16:uniqueId val="{00000000-30E0-4204-A1D3-6A8770D96FA7}"/>
            </c:ext>
          </c:extLst>
        </c:ser>
        <c:dLbls>
          <c:showLegendKey val="0"/>
          <c:showVal val="0"/>
          <c:showCatName val="0"/>
          <c:showSerName val="0"/>
          <c:showPercent val="0"/>
          <c:showBubbleSize val="0"/>
        </c:dLbls>
        <c:gapWidth val="219"/>
        <c:overlap val="-27"/>
        <c:axId val="1110253983"/>
        <c:axId val="1110254463"/>
      </c:barChart>
      <c:catAx>
        <c:axId val="111025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54463"/>
        <c:crosses val="autoZero"/>
        <c:auto val="1"/>
        <c:lblAlgn val="ctr"/>
        <c:lblOffset val="100"/>
        <c:noMultiLvlLbl val="0"/>
      </c:catAx>
      <c:valAx>
        <c:axId val="1110254463"/>
        <c:scaling>
          <c:orientation val="minMax"/>
        </c:scaling>
        <c:delete val="0"/>
        <c:axPos val="l"/>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25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Dashboard.xlsx]Delivery progress!PivotTable4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Delivery</a:t>
            </a:r>
            <a:r>
              <a:rPr lang="en-US" baseline="0"/>
              <a:t> Progress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7499999999999999"/>
              <c:y val="-0.2083333333333334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8876"/>
                    <a:gd name="adj2" fmla="val 15170"/>
                  </a:avLst>
                </a:prstGeom>
                <a:noFill/>
                <a:ln>
                  <a:noFill/>
                </a:ln>
              </c15:spPr>
            </c:ext>
          </c:extLst>
        </c:dLbl>
      </c:pivotFmt>
    </c:pivotFmts>
    <c:plotArea>
      <c:layout>
        <c:manualLayout>
          <c:layoutTarget val="inner"/>
          <c:xMode val="edge"/>
          <c:yMode val="edge"/>
          <c:x val="0.29976224846894139"/>
          <c:y val="0.22203412073490814"/>
          <c:w val="0.40047572178477692"/>
          <c:h val="0.66745953630796151"/>
        </c:manualLayout>
      </c:layout>
      <c:pieChart>
        <c:varyColors val="1"/>
        <c:ser>
          <c:idx val="0"/>
          <c:order val="0"/>
          <c:tx>
            <c:strRef>
              <c:f>'Delivery progress'!$B$3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A2D-4E52-A247-85BFB806D758}"/>
              </c:ext>
            </c:extLst>
          </c:dPt>
          <c:dLbls>
            <c:dLbl>
              <c:idx val="1"/>
              <c:layout>
                <c:manualLayout>
                  <c:x val="-0.17499999999999999"/>
                  <c:y val="-0.20833333333333343"/>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8876"/>
                        <a:gd name="adj2" fmla="val 15170"/>
                      </a:avLst>
                    </a:prstGeom>
                    <a:noFill/>
                    <a:ln>
                      <a:noFill/>
                    </a:ln>
                  </c15:spPr>
                </c:ext>
                <c:ext xmlns:c16="http://schemas.microsoft.com/office/drawing/2014/chart" uri="{C3380CC4-5D6E-409C-BE32-E72D297353CC}">
                  <c16:uniqueId val="{00000002-AA2D-4E52-A247-85BFB806D75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 progress'!$A$4:$A$6</c:f>
              <c:strCache>
                <c:ptCount val="2"/>
                <c:pt idx="0">
                  <c:v>Delayed</c:v>
                </c:pt>
                <c:pt idx="1">
                  <c:v>On time</c:v>
                </c:pt>
              </c:strCache>
            </c:strRef>
          </c:cat>
          <c:val>
            <c:numRef>
              <c:f>'Delivery progress'!$B$4:$B$6</c:f>
              <c:numCache>
                <c:formatCode>General</c:formatCode>
                <c:ptCount val="2"/>
                <c:pt idx="0">
                  <c:v>112</c:v>
                </c:pt>
                <c:pt idx="1">
                  <c:v>1499</c:v>
                </c:pt>
              </c:numCache>
            </c:numRef>
          </c:val>
          <c:extLst>
            <c:ext xmlns:c16="http://schemas.microsoft.com/office/drawing/2014/chart" uri="{C3380CC4-5D6E-409C-BE32-E72D297353CC}">
              <c16:uniqueId val="{00000000-AA2D-4E52-A247-85BFB806D75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Dashboard.xlsx]Order Value!PivotTable5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Value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'Order Value'!$B$3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Value'!$A$4:$A$7</c:f>
              <c:strCache>
                <c:ptCount val="3"/>
                <c:pt idx="0">
                  <c:v>High Value</c:v>
                </c:pt>
                <c:pt idx="1">
                  <c:v>Low Value</c:v>
                </c:pt>
                <c:pt idx="2">
                  <c:v>Medium Value</c:v>
                </c:pt>
              </c:strCache>
            </c:strRef>
          </c:cat>
          <c:val>
            <c:numRef>
              <c:f>'Order Value'!$B$4:$B$7</c:f>
              <c:numCache>
                <c:formatCode>General</c:formatCode>
                <c:ptCount val="3"/>
                <c:pt idx="0">
                  <c:v>75</c:v>
                </c:pt>
                <c:pt idx="1">
                  <c:v>1434</c:v>
                </c:pt>
                <c:pt idx="2">
                  <c:v>102</c:v>
                </c:pt>
              </c:numCache>
            </c:numRef>
          </c:val>
          <c:extLst>
            <c:ext xmlns:c16="http://schemas.microsoft.com/office/drawing/2014/chart" uri="{C3380CC4-5D6E-409C-BE32-E72D297353CC}">
              <c16:uniqueId val="{00000000-8035-45FB-A8FB-F208E9FCB746}"/>
            </c:ext>
          </c:extLst>
        </c:ser>
        <c:dLbls>
          <c:showLegendKey val="0"/>
          <c:showVal val="0"/>
          <c:showCatName val="0"/>
          <c:showSerName val="0"/>
          <c:showPercent val="0"/>
          <c:showBubbleSize val="0"/>
          <c:showLeaderLines val="0"/>
        </c:dLbls>
        <c:firstSliceAng val="66"/>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Dashboard.xlsx]Order Type!PivotTable6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8055555555555555"/>
              <c:y val="-0.1620370370370371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92"/>
                    <a:gd name="adj2" fmla="val -28397"/>
                  </a:avLst>
                </a:prstGeom>
                <a:noFill/>
                <a:ln>
                  <a:noFill/>
                </a:ln>
              </c15:spPr>
            </c:ext>
          </c:extLst>
        </c:dLbl>
      </c:pivotFmt>
    </c:pivotFmts>
    <c:plotArea>
      <c:layout/>
      <c:pieChart>
        <c:varyColors val="1"/>
        <c:ser>
          <c:idx val="0"/>
          <c:order val="0"/>
          <c:tx>
            <c:strRef>
              <c:f>'Order Type'!$B$3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2EB-4C54-B99B-49E73119A9CF}"/>
              </c:ext>
            </c:extLst>
          </c:dPt>
          <c:dPt>
            <c:idx val="2"/>
            <c:bubble3D val="0"/>
            <c:spPr>
              <a:solidFill>
                <a:schemeClr val="accent3"/>
              </a:solidFill>
              <a:ln w="19050">
                <a:solidFill>
                  <a:schemeClr val="lt1"/>
                </a:solidFill>
              </a:ln>
              <a:effectLst/>
            </c:spPr>
          </c:dPt>
          <c:dLbls>
            <c:dLbl>
              <c:idx val="1"/>
              <c:layout>
                <c:manualLayout>
                  <c:x val="-0.18055555555555555"/>
                  <c:y val="-0.1620370370370371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01992"/>
                        <a:gd name="adj2" fmla="val -28397"/>
                      </a:avLst>
                    </a:prstGeom>
                    <a:noFill/>
                    <a:ln>
                      <a:noFill/>
                    </a:ln>
                  </c15:spPr>
                </c:ext>
                <c:ext xmlns:c16="http://schemas.microsoft.com/office/drawing/2014/chart" uri="{C3380CC4-5D6E-409C-BE32-E72D297353CC}">
                  <c16:uniqueId val="{00000002-42EB-4C54-B99B-49E73119A9C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Type'!$A$4:$A$7</c:f>
              <c:strCache>
                <c:ptCount val="3"/>
                <c:pt idx="0">
                  <c:v>Bulk</c:v>
                </c:pt>
                <c:pt idx="1">
                  <c:v>Multi</c:v>
                </c:pt>
                <c:pt idx="2">
                  <c:v>Single</c:v>
                </c:pt>
              </c:strCache>
            </c:strRef>
          </c:cat>
          <c:val>
            <c:numRef>
              <c:f>'Order Type'!$B$4:$B$7</c:f>
              <c:numCache>
                <c:formatCode>General</c:formatCode>
                <c:ptCount val="3"/>
                <c:pt idx="0">
                  <c:v>219</c:v>
                </c:pt>
                <c:pt idx="1">
                  <c:v>1254</c:v>
                </c:pt>
                <c:pt idx="2">
                  <c:v>138</c:v>
                </c:pt>
              </c:numCache>
            </c:numRef>
          </c:val>
          <c:extLst>
            <c:ext xmlns:c16="http://schemas.microsoft.com/office/drawing/2014/chart" uri="{C3380CC4-5D6E-409C-BE32-E72D297353CC}">
              <c16:uniqueId val="{00000000-42EB-4C54-B99B-49E73119A9C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 Sales Performance Dashboard.xlsx]Top 10 Customers!PivotTable7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Alan Dominguez</c:v>
                </c:pt>
                <c:pt idx="1">
                  <c:v>Ellis Ballard</c:v>
                </c:pt>
                <c:pt idx="2">
                  <c:v>Grace Kelly</c:v>
                </c:pt>
                <c:pt idx="3">
                  <c:v>Harold Ryan</c:v>
                </c:pt>
                <c:pt idx="4">
                  <c:v>Maria Etezadi</c:v>
                </c:pt>
                <c:pt idx="5">
                  <c:v>Maribeth Schnelling</c:v>
                </c:pt>
                <c:pt idx="6">
                  <c:v>Max Jones</c:v>
                </c:pt>
                <c:pt idx="7">
                  <c:v>Penelope Sewall</c:v>
                </c:pt>
                <c:pt idx="8">
                  <c:v>Robert Marley</c:v>
                </c:pt>
                <c:pt idx="9">
                  <c:v>Yana Sorensen</c:v>
                </c:pt>
              </c:strCache>
            </c:strRef>
          </c:cat>
          <c:val>
            <c:numRef>
              <c:f>'Top 10 Customers'!$B$4:$B$14</c:f>
              <c:numCache>
                <c:formatCode>General</c:formatCode>
                <c:ptCount val="10"/>
                <c:pt idx="0">
                  <c:v>3163.91</c:v>
                </c:pt>
                <c:pt idx="1">
                  <c:v>3485.52</c:v>
                </c:pt>
                <c:pt idx="2">
                  <c:v>3668.2200000000003</c:v>
                </c:pt>
                <c:pt idx="3">
                  <c:v>3295.9</c:v>
                </c:pt>
                <c:pt idx="4">
                  <c:v>3265.35</c:v>
                </c:pt>
                <c:pt idx="5">
                  <c:v>3529.45</c:v>
                </c:pt>
                <c:pt idx="6">
                  <c:v>4517.4400000000005</c:v>
                </c:pt>
                <c:pt idx="7">
                  <c:v>3372.85</c:v>
                </c:pt>
                <c:pt idx="8">
                  <c:v>4520.6499999999996</c:v>
                </c:pt>
                <c:pt idx="9">
                  <c:v>4452.21</c:v>
                </c:pt>
              </c:numCache>
            </c:numRef>
          </c:val>
          <c:extLst>
            <c:ext xmlns:c16="http://schemas.microsoft.com/office/drawing/2014/chart" uri="{C3380CC4-5D6E-409C-BE32-E72D297353CC}">
              <c16:uniqueId val="{00000000-0CEB-41B1-989A-E1E2C4CEF374}"/>
            </c:ext>
          </c:extLst>
        </c:ser>
        <c:dLbls>
          <c:dLblPos val="outEnd"/>
          <c:showLegendKey val="0"/>
          <c:showVal val="1"/>
          <c:showCatName val="0"/>
          <c:showSerName val="0"/>
          <c:showPercent val="0"/>
          <c:showBubbleSize val="0"/>
        </c:dLbls>
        <c:gapWidth val="182"/>
        <c:axId val="1855060687"/>
        <c:axId val="1855054447"/>
      </c:barChart>
      <c:catAx>
        <c:axId val="185506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54447"/>
        <c:crosses val="autoZero"/>
        <c:auto val="1"/>
        <c:lblAlgn val="ctr"/>
        <c:lblOffset val="100"/>
        <c:noMultiLvlLbl val="0"/>
      </c:catAx>
      <c:valAx>
        <c:axId val="1855054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06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457200</xdr:colOff>
      <xdr:row>1</xdr:row>
      <xdr:rowOff>137160</xdr:rowOff>
    </xdr:from>
    <xdr:to>
      <xdr:col>14</xdr:col>
      <xdr:colOff>38100</xdr:colOff>
      <xdr:row>13</xdr:row>
      <xdr:rowOff>106680</xdr:rowOff>
    </xdr:to>
    <xdr:graphicFrame macro="">
      <xdr:nvGraphicFramePr>
        <xdr:cNvPr id="2" name="Chart 1">
          <a:extLst>
            <a:ext uri="{FF2B5EF4-FFF2-40B4-BE49-F238E27FC236}">
              <a16:creationId xmlns:a16="http://schemas.microsoft.com/office/drawing/2014/main" id="{541139E8-F922-43FF-9456-ACE925218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xdr:colOff>
      <xdr:row>13</xdr:row>
      <xdr:rowOff>160020</xdr:rowOff>
    </xdr:from>
    <xdr:to>
      <xdr:col>10</xdr:col>
      <xdr:colOff>289560</xdr:colOff>
      <xdr:row>26</xdr:row>
      <xdr:rowOff>106680</xdr:rowOff>
    </xdr:to>
    <xdr:graphicFrame macro="">
      <xdr:nvGraphicFramePr>
        <xdr:cNvPr id="4" name="Chart 3">
          <a:extLst>
            <a:ext uri="{FF2B5EF4-FFF2-40B4-BE49-F238E27FC236}">
              <a16:creationId xmlns:a16="http://schemas.microsoft.com/office/drawing/2014/main" id="{3B43EA13-2A3C-44F4-A705-0A3A81360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350520</xdr:colOff>
      <xdr:row>13</xdr:row>
      <xdr:rowOff>152400</xdr:rowOff>
    </xdr:from>
    <xdr:to>
      <xdr:col>18</xdr:col>
      <xdr:colOff>106680</xdr:colOff>
      <xdr:row>26</xdr:row>
      <xdr:rowOff>106680</xdr:rowOff>
    </xdr:to>
    <xdr:graphicFrame macro="">
      <xdr:nvGraphicFramePr>
        <xdr:cNvPr id="5" name="Chart 4">
          <a:extLst>
            <a:ext uri="{FF2B5EF4-FFF2-40B4-BE49-F238E27FC236}">
              <a16:creationId xmlns:a16="http://schemas.microsoft.com/office/drawing/2014/main" id="{58C4852E-BF20-49A8-AC53-8235020BC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213360</xdr:colOff>
      <xdr:row>13</xdr:row>
      <xdr:rowOff>167640</xdr:rowOff>
    </xdr:from>
    <xdr:to>
      <xdr:col>22</xdr:col>
      <xdr:colOff>533400</xdr:colOff>
      <xdr:row>26</xdr:row>
      <xdr:rowOff>68580</xdr:rowOff>
    </xdr:to>
    <xdr:graphicFrame macro="">
      <xdr:nvGraphicFramePr>
        <xdr:cNvPr id="6" name="Chart 5">
          <a:extLst>
            <a:ext uri="{FF2B5EF4-FFF2-40B4-BE49-F238E27FC236}">
              <a16:creationId xmlns:a16="http://schemas.microsoft.com/office/drawing/2014/main" id="{FE2009C8-F55C-4BF1-BF12-B831CA7FC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426720</xdr:colOff>
      <xdr:row>1</xdr:row>
      <xdr:rowOff>152400</xdr:rowOff>
    </xdr:from>
    <xdr:to>
      <xdr:col>22</xdr:col>
      <xdr:colOff>541020</xdr:colOff>
      <xdr:row>13</xdr:row>
      <xdr:rowOff>91440</xdr:rowOff>
    </xdr:to>
    <xdr:graphicFrame macro="">
      <xdr:nvGraphicFramePr>
        <xdr:cNvPr id="7" name="Chart 6">
          <a:extLst>
            <a:ext uri="{FF2B5EF4-FFF2-40B4-BE49-F238E27FC236}">
              <a16:creationId xmlns:a16="http://schemas.microsoft.com/office/drawing/2014/main" id="{6422B46D-FBE7-4273-A494-91B9E603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114300</xdr:colOff>
      <xdr:row>1</xdr:row>
      <xdr:rowOff>160020</xdr:rowOff>
    </xdr:from>
    <xdr:to>
      <xdr:col>18</xdr:col>
      <xdr:colOff>358140</xdr:colOff>
      <xdr:row>13</xdr:row>
      <xdr:rowOff>91440</xdr:rowOff>
    </xdr:to>
    <xdr:graphicFrame macro="">
      <xdr:nvGraphicFramePr>
        <xdr:cNvPr id="8" name="Chart 7">
          <a:extLst>
            <a:ext uri="{FF2B5EF4-FFF2-40B4-BE49-F238E27FC236}">
              <a16:creationId xmlns:a16="http://schemas.microsoft.com/office/drawing/2014/main" id="{0998CDDE-CB31-484F-9D3A-282FE920A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68580</xdr:colOff>
      <xdr:row>1</xdr:row>
      <xdr:rowOff>114300</xdr:rowOff>
    </xdr:from>
    <xdr:to>
      <xdr:col>3</xdr:col>
      <xdr:colOff>0</xdr:colOff>
      <xdr:row>9</xdr:row>
      <xdr:rowOff>91440</xdr:rowOff>
    </xdr:to>
    <mc:AlternateContent xmlns:mc="http://schemas.openxmlformats.org/markup-compatibility/2006">
      <mc:Choice xmlns:tsle="http://schemas.microsoft.com/office/drawing/2012/timeslicer" Requires="tsle">
        <xdr:graphicFrame macro="">
          <xdr:nvGraphicFramePr>
            <xdr:cNvPr id="10" name="Order Date">
              <a:extLst>
                <a:ext uri="{FF2B5EF4-FFF2-40B4-BE49-F238E27FC236}">
                  <a16:creationId xmlns:a16="http://schemas.microsoft.com/office/drawing/2014/main" id="{66A1C496-A274-30A2-2B67-AB5E5303265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8580" y="407988"/>
              <a:ext cx="1764983" cy="1437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83820</xdr:colOff>
      <xdr:row>1</xdr:row>
      <xdr:rowOff>129540</xdr:rowOff>
    </xdr:from>
    <xdr:to>
      <xdr:col>8</xdr:col>
      <xdr:colOff>350520</xdr:colOff>
      <xdr:row>13</xdr:row>
      <xdr:rowOff>106680</xdr:rowOff>
    </xdr:to>
    <xdr:graphicFrame macro="">
      <xdr:nvGraphicFramePr>
        <xdr:cNvPr id="12" name="Chart 11">
          <a:extLst>
            <a:ext uri="{FF2B5EF4-FFF2-40B4-BE49-F238E27FC236}">
              <a16:creationId xmlns:a16="http://schemas.microsoft.com/office/drawing/2014/main" id="{16896F2A-C4D6-4F75-AE3B-1E5F69B988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91440</xdr:colOff>
      <xdr:row>10</xdr:row>
      <xdr:rowOff>91440</xdr:rowOff>
    </xdr:from>
    <xdr:to>
      <xdr:col>2</xdr:col>
      <xdr:colOff>571500</xdr:colOff>
      <xdr:row>26</xdr:row>
      <xdr:rowOff>106680</xdr:rowOff>
    </xdr:to>
    <mc:AlternateContent xmlns:mc="http://schemas.openxmlformats.org/markup-compatibility/2006">
      <mc:Choice xmlns:a14="http://schemas.microsoft.com/office/drawing/2010/main" Requires="a14">
        <xdr:graphicFrame macro="">
          <xdr:nvGraphicFramePr>
            <xdr:cNvPr id="13" name="City">
              <a:extLst>
                <a:ext uri="{FF2B5EF4-FFF2-40B4-BE49-F238E27FC236}">
                  <a16:creationId xmlns:a16="http://schemas.microsoft.com/office/drawing/2014/main" id="{81F40418-F099-2816-94D2-A464F2389A5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91440" y="2028190"/>
              <a:ext cx="1702435" cy="2936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160020</xdr:colOff>
      <xdr:row>8</xdr:row>
      <xdr:rowOff>53340</xdr:rowOff>
    </xdr:from>
    <xdr:to>
      <xdr:col>10</xdr:col>
      <xdr:colOff>464820</xdr:colOff>
      <xdr:row>23</xdr:row>
      <xdr:rowOff>53340</xdr:rowOff>
    </xdr:to>
    <xdr:graphicFrame macro="">
      <xdr:nvGraphicFramePr>
        <xdr:cNvPr id="2" name="Chart 1">
          <a:extLst>
            <a:ext uri="{FF2B5EF4-FFF2-40B4-BE49-F238E27FC236}">
              <a16:creationId xmlns:a16="http://schemas.microsoft.com/office/drawing/2014/main" id="{514A5236-00CE-7D0D-7419-F1CA0947B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205740</xdr:colOff>
      <xdr:row>6</xdr:row>
      <xdr:rowOff>45720</xdr:rowOff>
    </xdr:from>
    <xdr:to>
      <xdr:col>9</xdr:col>
      <xdr:colOff>510540</xdr:colOff>
      <xdr:row>21</xdr:row>
      <xdr:rowOff>45720</xdr:rowOff>
    </xdr:to>
    <xdr:graphicFrame macro="">
      <xdr:nvGraphicFramePr>
        <xdr:cNvPr id="2" name="Chart 1">
          <a:extLst>
            <a:ext uri="{FF2B5EF4-FFF2-40B4-BE49-F238E27FC236}">
              <a16:creationId xmlns:a16="http://schemas.microsoft.com/office/drawing/2014/main" id="{ACADC364-C644-04D2-A204-28303A5B6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205740</xdr:colOff>
      <xdr:row>6</xdr:row>
      <xdr:rowOff>45720</xdr:rowOff>
    </xdr:from>
    <xdr:to>
      <xdr:col>9</xdr:col>
      <xdr:colOff>510540</xdr:colOff>
      <xdr:row>21</xdr:row>
      <xdr:rowOff>45720</xdr:rowOff>
    </xdr:to>
    <xdr:graphicFrame macro="">
      <xdr:nvGraphicFramePr>
        <xdr:cNvPr id="2" name="Chart 1">
          <a:extLst>
            <a:ext uri="{FF2B5EF4-FFF2-40B4-BE49-F238E27FC236}">
              <a16:creationId xmlns:a16="http://schemas.microsoft.com/office/drawing/2014/main" id="{CC15147D-DEE2-81DA-34EA-FA3A7B526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998220</xdr:colOff>
      <xdr:row>6</xdr:row>
      <xdr:rowOff>45720</xdr:rowOff>
    </xdr:from>
    <xdr:to>
      <xdr:col>9</xdr:col>
      <xdr:colOff>266700</xdr:colOff>
      <xdr:row>21</xdr:row>
      <xdr:rowOff>45720</xdr:rowOff>
    </xdr:to>
    <xdr:graphicFrame macro="">
      <xdr:nvGraphicFramePr>
        <xdr:cNvPr id="2" name="Chart 1">
          <a:extLst>
            <a:ext uri="{FF2B5EF4-FFF2-40B4-BE49-F238E27FC236}">
              <a16:creationId xmlns:a16="http://schemas.microsoft.com/office/drawing/2014/main" id="{13EE0935-6CA4-BC17-02A0-3055B3113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998220</xdr:colOff>
      <xdr:row>6</xdr:row>
      <xdr:rowOff>45720</xdr:rowOff>
    </xdr:from>
    <xdr:to>
      <xdr:col>9</xdr:col>
      <xdr:colOff>266700</xdr:colOff>
      <xdr:row>21</xdr:row>
      <xdr:rowOff>45720</xdr:rowOff>
    </xdr:to>
    <xdr:graphicFrame macro="">
      <xdr:nvGraphicFramePr>
        <xdr:cNvPr id="2" name="Chart 1">
          <a:extLst>
            <a:ext uri="{FF2B5EF4-FFF2-40B4-BE49-F238E27FC236}">
              <a16:creationId xmlns:a16="http://schemas.microsoft.com/office/drawing/2014/main" id="{D10442B9-8240-86DE-CE67-7A64137BB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998220</xdr:colOff>
      <xdr:row>6</xdr:row>
      <xdr:rowOff>45720</xdr:rowOff>
    </xdr:from>
    <xdr:to>
      <xdr:col>9</xdr:col>
      <xdr:colOff>266700</xdr:colOff>
      <xdr:row>21</xdr:row>
      <xdr:rowOff>45720</xdr:rowOff>
    </xdr:to>
    <xdr:graphicFrame macro="">
      <xdr:nvGraphicFramePr>
        <xdr:cNvPr id="2" name="Chart 1">
          <a:extLst>
            <a:ext uri="{FF2B5EF4-FFF2-40B4-BE49-F238E27FC236}">
              <a16:creationId xmlns:a16="http://schemas.microsoft.com/office/drawing/2014/main" id="{A3A5CECA-B50C-849D-133A-AD9F9563E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396240</xdr:colOff>
      <xdr:row>6</xdr:row>
      <xdr:rowOff>45720</xdr:rowOff>
    </xdr:from>
    <xdr:to>
      <xdr:col>11</xdr:col>
      <xdr:colOff>91440</xdr:colOff>
      <xdr:row>21</xdr:row>
      <xdr:rowOff>45720</xdr:rowOff>
    </xdr:to>
    <xdr:graphicFrame macro="">
      <xdr:nvGraphicFramePr>
        <xdr:cNvPr id="2" name="Chart 1">
          <a:extLst>
            <a:ext uri="{FF2B5EF4-FFF2-40B4-BE49-F238E27FC236}">
              <a16:creationId xmlns:a16="http://schemas.microsoft.com/office/drawing/2014/main" id="{F6764947-0851-0B7E-912D-C8616DED8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va" refreshedDate="46225.975073263886" createdVersion="8" refreshedVersion="8" minRefreshableVersion="3" recordCount="1611" xr:uid="{93069C8E-2807-4233-AB80-89BA5CC31115}">
  <cacheSource type="worksheet">
    <worksheetSource name="Walmart"/>
  </cacheSource>
  <cacheFields count="16">
    <cacheField name="Order ID" numFmtId="0">
      <sharedItems/>
    </cacheField>
    <cacheField name="Order Date" numFmtId="14">
      <sharedItems containsSemiMixedTypes="0" containsNonDate="0" containsDate="1" containsString="0" minDate="2011-01-07T00:00:00" maxDate="2015-01-01T00:00:00" count="845">
        <d v="2013-06-13T00:00:00"/>
        <d v="2011-06-09T00:00:00"/>
        <d v="2013-12-06T00:00:00"/>
        <d v="2011-05-13T00:00:00"/>
        <d v="2011-08-27T00:00:00"/>
        <d v="2012-09-25T00:00:00"/>
        <d v="2013-01-16T00:00:00"/>
        <d v="2013-07-18T00:00:00"/>
        <d v="2012-11-24T00:00:00"/>
        <d v="2011-12-05T00:00:00"/>
        <d v="2011-10-12T00:00:00"/>
        <d v="2013-09-18T00:00:00"/>
        <d v="2014-11-07T00:00:00"/>
        <d v="2014-06-18T00:00:00"/>
        <d v="2012-11-13T00:00:00"/>
        <d v="2012-03-02T00:00:00"/>
        <d v="2014-11-06T00:00:00"/>
        <d v="2013-11-07T00:00:00"/>
        <d v="2013-10-14T00:00:00"/>
        <d v="2014-09-19T00:00:00"/>
        <d v="2012-09-07T00:00:00"/>
        <d v="2013-03-14T00:00:00"/>
        <d v="2012-05-31T00:00:00"/>
        <d v="2012-05-28T00:00:00"/>
        <d v="2011-03-01T00:00:00"/>
        <d v="2013-05-12T00:00:00"/>
        <d v="2013-11-17T00:00:00"/>
        <d v="2013-11-08T00:00:00"/>
        <d v="2011-08-05T00:00:00"/>
        <d v="2011-08-26T00:00:00"/>
        <d v="2012-10-31T00:00:00"/>
        <d v="2011-08-03T00:00:00"/>
        <d v="2014-12-10T00:00:00"/>
        <d v="2013-10-29T00:00:00"/>
        <d v="2014-11-13T00:00:00"/>
        <d v="2013-12-11T00:00:00"/>
        <d v="2013-09-12T00:00:00"/>
        <d v="2012-11-10T00:00:00"/>
        <d v="2014-12-29T00:00:00"/>
        <d v="2012-07-30T00:00:00"/>
        <d v="2014-09-17T00:00:00"/>
        <d v="2012-11-02T00:00:00"/>
        <d v="2012-09-26T00:00:00"/>
        <d v="2011-12-26T00:00:00"/>
        <d v="2013-09-13T00:00:00"/>
        <d v="2011-09-19T00:00:00"/>
        <d v="2013-04-24T00:00:00"/>
        <d v="2012-09-01T00:00:00"/>
        <d v="2011-07-12T00:00:00"/>
        <d v="2012-06-22T00:00:00"/>
        <d v="2014-06-16T00:00:00"/>
        <d v="2011-09-24T00:00:00"/>
        <d v="2011-07-23T00:00:00"/>
        <d v="2011-09-21T00:00:00"/>
        <d v="2014-07-01T00:00:00"/>
        <d v="2014-12-09T00:00:00"/>
        <d v="2014-11-04T00:00:00"/>
        <d v="2014-06-25T00:00:00"/>
        <d v="2013-04-15T00:00:00"/>
        <d v="2014-03-05T00:00:00"/>
        <d v="2011-06-22T00:00:00"/>
        <d v="2011-02-13T00:00:00"/>
        <d v="2012-12-15T00:00:00"/>
        <d v="2013-04-23T00:00:00"/>
        <d v="2011-11-09T00:00:00"/>
        <d v="2013-07-13T00:00:00"/>
        <d v="2011-10-06T00:00:00"/>
        <d v="2014-06-11T00:00:00"/>
        <d v="2013-05-10T00:00:00"/>
        <d v="2013-07-26T00:00:00"/>
        <d v="2013-05-31T00:00:00"/>
        <d v="2014-12-22T00:00:00"/>
        <d v="2014-01-23T00:00:00"/>
        <d v="2013-05-22T00:00:00"/>
        <d v="2012-11-07T00:00:00"/>
        <d v="2014-09-08T00:00:00"/>
        <d v="2013-07-11T00:00:00"/>
        <d v="2013-07-15T00:00:00"/>
        <d v="2013-04-16T00:00:00"/>
        <d v="2014-06-30T00:00:00"/>
        <d v="2013-06-11T00:00:00"/>
        <d v="2014-11-21T00:00:00"/>
        <d v="2012-12-07T00:00:00"/>
        <d v="2014-12-08T00:00:00"/>
        <d v="2014-10-02T00:00:00"/>
        <d v="2013-11-04T00:00:00"/>
        <d v="2012-09-18T00:00:00"/>
        <d v="2012-09-10T00:00:00"/>
        <d v="2014-12-02T00:00:00"/>
        <d v="2013-03-21T00:00:00"/>
        <d v="2011-08-08T00:00:00"/>
        <d v="2014-05-20T00:00:00"/>
        <d v="2014-12-18T00:00:00"/>
        <d v="2013-12-12T00:00:00"/>
        <d v="2013-08-16T00:00:00"/>
        <d v="2013-05-21T00:00:00"/>
        <d v="2014-07-31T00:00:00"/>
        <d v="2013-04-02T00:00:00"/>
        <d v="2012-03-28T00:00:00"/>
        <d v="2013-11-05T00:00:00"/>
        <d v="2012-04-09T00:00:00"/>
        <d v="2011-07-01T00:00:00"/>
        <d v="2011-06-02T00:00:00"/>
        <d v="2013-02-13T00:00:00"/>
        <d v="2014-01-22T00:00:00"/>
        <d v="2011-09-08T00:00:00"/>
        <d v="2011-05-27T00:00:00"/>
        <d v="2013-04-08T00:00:00"/>
        <d v="2012-08-31T00:00:00"/>
        <d v="2012-08-21T00:00:00"/>
        <d v="2014-03-18T00:00:00"/>
        <d v="2012-12-12T00:00:00"/>
        <d v="2011-09-20T00:00:00"/>
        <d v="2012-11-27T00:00:00"/>
        <d v="2014-02-21T00:00:00"/>
        <d v="2014-04-23T00:00:00"/>
        <d v="2011-11-01T00:00:00"/>
        <d v="2011-10-13T00:00:00"/>
        <d v="2014-05-15T00:00:00"/>
        <d v="2011-05-09T00:00:00"/>
        <d v="2013-06-21T00:00:00"/>
        <d v="2014-12-24T00:00:00"/>
        <d v="2012-04-25T00:00:00"/>
        <d v="2014-06-27T00:00:00"/>
        <d v="2011-12-09T00:00:00"/>
        <d v="2013-11-11T00:00:00"/>
        <d v="2013-04-09T00:00:00"/>
        <d v="2012-12-13T00:00:00"/>
        <d v="2013-06-20T00:00:00"/>
        <d v="2013-12-14T00:00:00"/>
        <d v="2012-05-29T00:00:00"/>
        <d v="2012-07-26T00:00:00"/>
        <d v="2014-05-16T00:00:00"/>
        <d v="2012-09-22T00:00:00"/>
        <d v="2014-11-15T00:00:00"/>
        <d v="2013-09-02T00:00:00"/>
        <d v="2014-07-10T00:00:00"/>
        <d v="2011-11-11T00:00:00"/>
        <d v="2013-08-27T00:00:00"/>
        <d v="2013-11-14T00:00:00"/>
        <d v="2012-08-27T00:00:00"/>
        <d v="2012-11-06T00:00:00"/>
        <d v="2011-11-24T00:00:00"/>
        <d v="2012-12-21T00:00:00"/>
        <d v="2012-09-17T00:00:00"/>
        <d v="2012-06-13T00:00:00"/>
        <d v="2014-12-11T00:00:00"/>
        <d v="2013-10-02T00:00:00"/>
        <d v="2012-11-20T00:00:00"/>
        <d v="2013-04-29T00:00:00"/>
        <d v="2013-11-13T00:00:00"/>
        <d v="2014-09-24T00:00:00"/>
        <d v="2012-12-06T00:00:00"/>
        <d v="2011-06-25T00:00:00"/>
        <d v="2013-06-15T00:00:00"/>
        <d v="2013-10-22T00:00:00"/>
        <d v="2014-12-19T00:00:00"/>
        <d v="2013-07-23T00:00:00"/>
        <d v="2013-12-07T00:00:00"/>
        <d v="2011-09-29T00:00:00"/>
        <d v="2014-01-01T00:00:00"/>
        <d v="2013-07-03T00:00:00"/>
        <d v="2011-09-01T00:00:00"/>
        <d v="2011-04-21T00:00:00"/>
        <d v="2011-12-27T00:00:00"/>
        <d v="2014-02-27T00:00:00"/>
        <d v="2013-07-19T00:00:00"/>
        <d v="2011-08-11T00:00:00"/>
        <d v="2011-12-12T00:00:00"/>
        <d v="2014-09-03T00:00:00"/>
        <d v="2011-12-24T00:00:00"/>
        <d v="2012-05-25T00:00:00"/>
        <d v="2014-12-31T00:00:00"/>
        <d v="2012-10-04T00:00:00"/>
        <d v="2013-12-19T00:00:00"/>
        <d v="2014-10-16T00:00:00"/>
        <d v="2013-05-24T00:00:00"/>
        <d v="2011-05-06T00:00:00"/>
        <d v="2014-04-03T00:00:00"/>
        <d v="2014-05-05T00:00:00"/>
        <d v="2011-09-26T00:00:00"/>
        <d v="2014-11-11T00:00:00"/>
        <d v="2014-07-09T00:00:00"/>
        <d v="2012-12-24T00:00:00"/>
        <d v="2011-04-01T00:00:00"/>
        <d v="2012-09-14T00:00:00"/>
        <d v="2011-08-04T00:00:00"/>
        <d v="2013-09-26T00:00:00"/>
        <d v="2014-01-29T00:00:00"/>
        <d v="2013-12-27T00:00:00"/>
        <d v="2014-12-20T00:00:00"/>
        <d v="2012-10-01T00:00:00"/>
        <d v="2012-05-01T00:00:00"/>
        <d v="2012-07-19T00:00:00"/>
        <d v="2012-12-01T00:00:00"/>
        <d v="2014-07-12T00:00:00"/>
        <d v="2014-11-20T00:00:00"/>
        <d v="2013-12-03T00:00:00"/>
        <d v="2013-10-15T00:00:00"/>
        <d v="2012-11-03T00:00:00"/>
        <d v="2014-10-31T00:00:00"/>
        <d v="2013-10-18T00:00:00"/>
        <d v="2013-11-25T00:00:00"/>
        <d v="2012-08-01T00:00:00"/>
        <d v="2014-09-13T00:00:00"/>
        <d v="2011-02-04T00:00:00"/>
        <d v="2014-02-12T00:00:00"/>
        <d v="2014-09-01T00:00:00"/>
        <d v="2014-02-11T00:00:00"/>
        <d v="2011-02-05T00:00:00"/>
        <d v="2013-06-18T00:00:00"/>
        <d v="2012-02-06T00:00:00"/>
        <d v="2012-03-16T00:00:00"/>
        <d v="2013-04-10T00:00:00"/>
        <d v="2011-04-04T00:00:00"/>
        <d v="2014-09-06T00:00:00"/>
        <d v="2012-03-19T00:00:00"/>
        <d v="2014-06-12T00:00:00"/>
        <d v="2011-11-23T00:00:00"/>
        <d v="2012-06-23T00:00:00"/>
        <d v="2011-10-19T00:00:00"/>
        <d v="2013-04-20T00:00:00"/>
        <d v="2011-05-26T00:00:00"/>
        <d v="2012-12-19T00:00:00"/>
        <d v="2011-11-26T00:00:00"/>
        <d v="2011-08-29T00:00:00"/>
        <d v="2014-11-19T00:00:00"/>
        <d v="2014-01-21T00:00:00"/>
        <d v="2013-03-23T00:00:00"/>
        <d v="2013-05-19T00:00:00"/>
        <d v="2013-09-30T00:00:00"/>
        <d v="2012-12-27T00:00:00"/>
        <d v="2011-06-03T00:00:00"/>
        <d v="2011-02-03T00:00:00"/>
        <d v="2013-03-09T00:00:00"/>
        <d v="2014-10-08T00:00:00"/>
        <d v="2012-09-03T00:00:00"/>
        <d v="2011-08-09T00:00:00"/>
        <d v="2014-10-15T00:00:00"/>
        <d v="2014-12-03T00:00:00"/>
        <d v="2012-09-05T00:00:00"/>
        <d v="2013-07-08T00:00:00"/>
        <d v="2013-12-26T00:00:00"/>
        <d v="2012-06-04T00:00:00"/>
        <d v="2013-12-23T00:00:00"/>
        <d v="2014-07-30T00:00:00"/>
        <d v="2014-09-11T00:00:00"/>
        <d v="2011-06-13T00:00:00"/>
        <d v="2014-04-16T00:00:00"/>
        <d v="2011-07-21T00:00:00"/>
        <d v="2014-11-22T00:00:00"/>
        <d v="2014-12-30T00:00:00"/>
        <d v="2011-03-14T00:00:00"/>
        <d v="2012-12-31T00:00:00"/>
        <d v="2014-10-22T00:00:00"/>
        <d v="2012-02-03T00:00:00"/>
        <d v="2013-11-16T00:00:00"/>
        <d v="2014-12-06T00:00:00"/>
        <d v="2014-03-10T00:00:00"/>
        <d v="2013-06-10T00:00:00"/>
        <d v="2014-11-29T00:00:00"/>
        <d v="2014-03-17T00:00:00"/>
        <d v="2013-11-28T00:00:00"/>
        <d v="2014-11-28T00:00:00"/>
        <d v="2013-07-09T00:00:00"/>
        <d v="2012-05-08T00:00:00"/>
        <d v="2011-11-25T00:00:00"/>
        <d v="2014-06-26T00:00:00"/>
        <d v="2014-04-12T00:00:00"/>
        <d v="2014-08-21T00:00:00"/>
        <d v="2012-03-13T00:00:00"/>
        <d v="2013-09-09T00:00:00"/>
        <d v="2012-01-23T00:00:00"/>
        <d v="2012-06-18T00:00:00"/>
        <d v="2012-10-02T00:00:00"/>
        <d v="2011-10-31T00:00:00"/>
        <d v="2012-04-13T00:00:00"/>
        <d v="2013-11-27T00:00:00"/>
        <d v="2014-11-08T00:00:00"/>
        <d v="2011-12-01T00:00:00"/>
        <d v="2014-02-24T00:00:00"/>
        <d v="2012-10-26T00:00:00"/>
        <d v="2011-03-10T00:00:00"/>
        <d v="2011-07-18T00:00:00"/>
        <d v="2013-09-20T00:00:00"/>
        <d v="2014-04-14T00:00:00"/>
        <d v="2014-11-10T00:00:00"/>
        <d v="2013-01-07T00:00:00"/>
        <d v="2014-03-14T00:00:00"/>
        <d v="2011-08-01T00:00:00"/>
        <d v="2013-10-16T00:00:00"/>
        <d v="2014-08-02T00:00:00"/>
        <d v="2013-06-26T00:00:00"/>
        <d v="2012-09-06T00:00:00"/>
        <d v="2014-07-29T00:00:00"/>
        <d v="2013-03-20T00:00:00"/>
        <d v="2011-03-31T00:00:00"/>
        <d v="2012-12-14T00:00:00"/>
        <d v="2013-07-16T00:00:00"/>
        <d v="2012-02-15T00:00:00"/>
        <d v="2012-09-28T00:00:00"/>
        <d v="2014-06-17T00:00:00"/>
        <d v="2012-11-08T00:00:00"/>
        <d v="2014-09-18T00:00:00"/>
        <d v="2012-09-21T00:00:00"/>
        <d v="2012-03-06T00:00:00"/>
        <d v="2011-10-03T00:00:00"/>
        <d v="2014-01-09T00:00:00"/>
        <d v="2014-03-21T00:00:00"/>
        <d v="2013-09-25T00:00:00"/>
        <d v="2014-03-26T00:00:00"/>
        <d v="2014-08-15T00:00:00"/>
        <d v="2014-03-24T00:00:00"/>
        <d v="2012-06-07T00:00:00"/>
        <d v="2011-11-12T00:00:00"/>
        <d v="2014-10-13T00:00:00"/>
        <d v="2014-05-14T00:00:00"/>
        <d v="2014-07-04T00:00:00"/>
        <d v="2011-11-18T00:00:00"/>
        <d v="2013-11-06T00:00:00"/>
        <d v="2012-07-11T00:00:00"/>
        <d v="2014-09-05T00:00:00"/>
        <d v="2014-12-25T00:00:00"/>
        <d v="2014-08-29T00:00:00"/>
        <d v="2011-12-13T00:00:00"/>
        <d v="2013-05-20T00:00:00"/>
        <d v="2013-11-15T00:00:00"/>
        <d v="2011-07-25T00:00:00"/>
        <d v="2014-03-03T00:00:00"/>
        <d v="2012-07-16T00:00:00"/>
        <d v="2013-05-01T00:00:00"/>
        <d v="2014-04-17T00:00:00"/>
        <d v="2012-08-16T00:00:00"/>
        <d v="2014-11-02T00:00:00"/>
        <d v="2013-05-06T00:00:00"/>
        <d v="2013-03-05T00:00:00"/>
        <d v="2011-04-26T00:00:00"/>
        <d v="2014-04-02T00:00:00"/>
        <d v="2014-12-23T00:00:00"/>
        <d v="2012-08-15T00:00:00"/>
        <d v="2013-09-27T00:00:00"/>
        <d v="2013-08-17T00:00:00"/>
        <d v="2012-08-25T00:00:00"/>
        <d v="2014-12-04T00:00:00"/>
        <d v="2011-06-21T00:00:00"/>
        <d v="2012-11-12T00:00:00"/>
        <d v="2013-08-29T00:00:00"/>
        <d v="2013-01-22T00:00:00"/>
        <d v="2012-01-30T00:00:00"/>
        <d v="2011-10-04T00:00:00"/>
        <d v="2014-02-14T00:00:00"/>
        <d v="2012-02-21T00:00:00"/>
        <d v="2011-11-04T00:00:00"/>
        <d v="2012-06-20T00:00:00"/>
        <d v="2011-06-08T00:00:00"/>
        <d v="2012-04-17T00:00:00"/>
        <d v="2012-07-17T00:00:00"/>
        <d v="2011-04-12T00:00:00"/>
        <d v="2012-11-01T00:00:00"/>
        <d v="2012-05-12T00:00:00"/>
        <d v="2012-07-25T00:00:00"/>
        <d v="2014-11-12T00:00:00"/>
        <d v="2014-08-14T00:00:00"/>
        <d v="2011-03-22T00:00:00"/>
        <d v="2014-11-17T00:00:00"/>
        <d v="2013-01-21T00:00:00"/>
        <d v="2013-11-12T00:00:00"/>
        <d v="2013-01-30T00:00:00"/>
        <d v="2013-10-19T00:00:00"/>
        <d v="2014-11-03T00:00:00"/>
        <d v="2014-02-20T00:00:00"/>
        <d v="2014-01-31T00:00:00"/>
        <d v="2012-08-08T00:00:00"/>
        <d v="2014-12-15T00:00:00"/>
        <d v="2014-04-27T00:00:00"/>
        <d v="2014-12-17T00:00:00"/>
        <d v="2011-12-06T00:00:00"/>
        <d v="2013-02-21T00:00:00"/>
        <d v="2013-09-10T00:00:00"/>
        <d v="2011-07-14T00:00:00"/>
        <d v="2011-10-24T00:00:00"/>
        <d v="2014-04-18T00:00:00"/>
        <d v="2011-08-24T00:00:00"/>
        <d v="2013-03-25T00:00:00"/>
        <d v="2013-11-22T00:00:00"/>
        <d v="2014-10-04T00:00:00"/>
        <d v="2014-09-12T00:00:00"/>
        <d v="2011-09-30T00:00:00"/>
        <d v="2014-10-07T00:00:00"/>
        <d v="2014-10-20T00:00:00"/>
        <d v="2013-01-03T00:00:00"/>
        <d v="2012-10-03T00:00:00"/>
        <d v="2011-05-21T00:00:00"/>
        <d v="2013-08-24T00:00:00"/>
        <d v="2011-12-16T00:00:00"/>
        <d v="2011-06-30T00:00:00"/>
        <d v="2011-12-20T00:00:00"/>
        <d v="2014-10-21T00:00:00"/>
        <d v="2012-07-10T00:00:00"/>
        <d v="2011-11-10T00:00:00"/>
        <d v="2013-01-09T00:00:00"/>
        <d v="2011-10-02T00:00:00"/>
        <d v="2013-04-25T00:00:00"/>
        <d v="2011-11-17T00:00:00"/>
        <d v="2012-02-09T00:00:00"/>
        <d v="2014-05-09T00:00:00"/>
        <d v="2012-05-23T00:00:00"/>
        <d v="2011-09-27T00:00:00"/>
        <d v="2012-09-11T00:00:00"/>
        <d v="2014-08-22T00:00:00"/>
        <d v="2012-08-13T00:00:00"/>
        <d v="2013-08-18T00:00:00"/>
        <d v="2011-09-23T00:00:00"/>
        <d v="2011-02-01T00:00:00"/>
        <d v="2012-11-21T00:00:00"/>
        <d v="2012-10-17T00:00:00"/>
        <d v="2013-09-21T00:00:00"/>
        <d v="2012-04-27T00:00:00"/>
        <d v="2013-05-29T00:00:00"/>
        <d v="2012-11-29T00:00:00"/>
        <d v="2013-10-08T00:00:00"/>
        <d v="2013-12-02T00:00:00"/>
        <d v="2011-08-31T00:00:00"/>
        <d v="2013-12-09T00:00:00"/>
        <d v="2013-08-09T00:00:00"/>
        <d v="2012-04-10T00:00:00"/>
        <d v="2013-09-06T00:00:00"/>
        <d v="2013-06-25T00:00:00"/>
        <d v="2011-04-18T00:00:00"/>
        <d v="2011-03-23T00:00:00"/>
        <d v="2013-07-04T00:00:00"/>
        <d v="2013-06-08T00:00:00"/>
        <d v="2014-09-04T00:00:00"/>
        <d v="2014-05-04T00:00:00"/>
        <d v="2011-12-08T00:00:00"/>
        <d v="2012-12-05T00:00:00"/>
        <d v="2014-06-03T00:00:00"/>
        <d v="2012-10-30T00:00:00"/>
        <d v="2012-11-19T00:00:00"/>
        <d v="2011-09-13T00:00:00"/>
        <d v="2014-04-22T00:00:00"/>
        <d v="2011-12-30T00:00:00"/>
        <d v="2014-08-28T00:00:00"/>
        <d v="2013-12-18T00:00:00"/>
        <d v="2012-05-03T00:00:00"/>
        <d v="2013-11-01T00:00:00"/>
        <d v="2011-07-05T00:00:00"/>
        <d v="2011-01-28T00:00:00"/>
        <d v="2011-04-08T00:00:00"/>
        <d v="2011-07-26T00:00:00"/>
        <d v="2011-10-28T00:00:00"/>
        <d v="2014-06-07T00:00:00"/>
        <d v="2014-10-18T00:00:00"/>
        <d v="2011-07-27T00:00:00"/>
        <d v="2012-10-23T00:00:00"/>
        <d v="2012-06-15T00:00:00"/>
        <d v="2014-07-19T00:00:00"/>
        <d v="2011-09-17T00:00:00"/>
        <d v="2013-05-17T00:00:00"/>
        <d v="2013-03-02T00:00:00"/>
        <d v="2013-06-27T00:00:00"/>
        <d v="2011-11-22T00:00:00"/>
        <d v="2014-10-03T00:00:00"/>
        <d v="2014-12-16T00:00:00"/>
        <d v="2013-04-18T00:00:00"/>
        <d v="2011-10-11T00:00:00"/>
        <d v="2012-12-18T00:00:00"/>
        <d v="2014-01-02T00:00:00"/>
        <d v="2014-10-28T00:00:00"/>
        <d v="2011-12-29T00:00:00"/>
        <d v="2012-06-25T00:00:00"/>
        <d v="2013-08-05T00:00:00"/>
        <d v="2014-08-08T00:00:00"/>
        <d v="2014-05-12T00:00:00"/>
        <d v="2012-03-29T00:00:00"/>
        <d v="2014-01-15T00:00:00"/>
        <d v="2013-06-17T00:00:00"/>
        <d v="2014-03-07T00:00:00"/>
        <d v="2012-11-16T00:00:00"/>
        <d v="2012-02-18T00:00:00"/>
        <d v="2012-01-05T00:00:00"/>
        <d v="2014-03-27T00:00:00"/>
        <d v="2011-03-26T00:00:00"/>
        <d v="2012-09-04T00:00:00"/>
        <d v="2013-03-15T00:00:00"/>
        <d v="2014-07-22T00:00:00"/>
        <d v="2014-08-19T00:00:00"/>
        <d v="2014-10-23T00:00:00"/>
        <d v="2011-10-26T00:00:00"/>
        <d v="2013-06-29T00:00:00"/>
        <d v="2014-09-02T00:00:00"/>
        <d v="2012-12-20T00:00:00"/>
        <d v="2014-03-20T00:00:00"/>
        <d v="2014-11-25T00:00:00"/>
        <d v="2011-04-25T00:00:00"/>
        <d v="2012-10-25T00:00:00"/>
        <d v="2013-10-28T00:00:00"/>
        <d v="2011-11-29T00:00:00"/>
        <d v="2014-09-23T00:00:00"/>
        <d v="2012-06-19T00:00:00"/>
        <d v="2013-07-05T00:00:00"/>
        <d v="2014-09-29T00:00:00"/>
        <d v="2012-08-07T00:00:00"/>
        <d v="2014-06-19T00:00:00"/>
        <d v="2011-11-21T00:00:00"/>
        <d v="2013-04-11T00:00:00"/>
        <d v="2014-05-24T00:00:00"/>
        <d v="2013-10-03T00:00:00"/>
        <d v="2013-09-16T00:00:00"/>
        <d v="2011-10-10T00:00:00"/>
        <d v="2011-07-13T00:00:00"/>
        <d v="2012-12-04T00:00:00"/>
        <d v="2011-04-19T00:00:00"/>
        <d v="2014-07-18T00:00:00"/>
        <d v="2011-04-11T00:00:00"/>
        <d v="2014-08-04T00:00:00"/>
        <d v="2014-03-13T00:00:00"/>
        <d v="2014-04-28T00:00:00"/>
        <d v="2012-08-02T00:00:00"/>
        <d v="2014-04-09T00:00:00"/>
        <d v="2013-01-10T00:00:00"/>
        <d v="2014-05-19T00:00:00"/>
        <d v="2012-10-10T00:00:00"/>
        <d v="2012-04-18T00:00:00"/>
        <d v="2011-11-07T00:00:00"/>
        <d v="2013-03-04T00:00:00"/>
        <d v="2013-12-25T00:00:00"/>
        <d v="2012-12-11T00:00:00"/>
        <d v="2012-11-22T00:00:00"/>
        <d v="2013-05-09T00:00:00"/>
        <d v="2014-10-06T00:00:00"/>
        <d v="2012-01-13T00:00:00"/>
        <d v="2014-11-14T00:00:00"/>
        <d v="2014-03-09T00:00:00"/>
        <d v="2013-12-24T00:00:00"/>
        <d v="2013-08-23T00:00:00"/>
        <d v="2012-09-24T00:00:00"/>
        <d v="2012-03-15T00:00:00"/>
        <d v="2011-01-14T00:00:00"/>
        <d v="2013-11-19T00:00:00"/>
        <d v="2011-03-07T00:00:00"/>
        <d v="2011-11-16T00:00:00"/>
        <d v="2013-01-31T00:00:00"/>
        <d v="2014-05-08T00:00:00"/>
        <d v="2011-11-15T00:00:00"/>
        <d v="2014-01-30T00:00:00"/>
        <d v="2011-04-06T00:00:00"/>
        <d v="2012-09-08T00:00:00"/>
        <d v="2014-01-16T00:00:00"/>
        <d v="2012-11-05T00:00:00"/>
        <d v="2014-04-26T00:00:00"/>
        <d v="2014-11-26T00:00:00"/>
        <d v="2014-08-05T00:00:00"/>
        <d v="2013-11-18T00:00:00"/>
        <d v="2013-10-24T00:00:00"/>
        <d v="2014-02-03T00:00:00"/>
        <d v="2014-09-26T00:00:00"/>
        <d v="2011-07-30T00:00:00"/>
        <d v="2012-07-06T00:00:00"/>
        <d v="2012-03-08T00:00:00"/>
        <d v="2014-05-06T00:00:00"/>
        <d v="2011-05-10T00:00:00"/>
        <d v="2014-08-23T00:00:00"/>
        <d v="2013-09-24T00:00:00"/>
        <d v="2013-08-03T00:00:00"/>
        <d v="2014-01-04T00:00:00"/>
        <d v="2014-10-10T00:00:00"/>
        <d v="2014-10-01T00:00:00"/>
        <d v="2014-01-17T00:00:00"/>
        <d v="2011-03-30T00:00:00"/>
        <d v="2014-05-01T00:00:00"/>
        <d v="2011-01-07T00:00:00"/>
        <d v="2012-05-21T00:00:00"/>
        <d v="2014-10-17T00:00:00"/>
        <d v="2014-03-22T00:00:00"/>
        <d v="2011-01-19T00:00:00"/>
        <d v="2014-05-28T00:00:00"/>
        <d v="2013-08-15T00:00:00"/>
        <d v="2014-02-19T00:00:00"/>
        <d v="2013-11-21T00:00:00"/>
        <d v="2014-09-22T00:00:00"/>
        <d v="2013-02-22T00:00:00"/>
        <d v="2013-12-30T00:00:00"/>
        <d v="2013-12-04T00:00:00"/>
        <d v="2013-09-03T00:00:00"/>
        <d v="2012-10-19T00:00:00"/>
        <d v="2014-09-10T00:00:00"/>
        <d v="2011-01-20T00:00:00"/>
        <d v="2014-10-09T00:00:00"/>
        <d v="2011-11-28T00:00:00"/>
        <d v="2013-10-09T00:00:00"/>
        <d v="2012-10-08T00:00:00"/>
        <d v="2011-02-25T00:00:00"/>
        <d v="2013-06-06T00:00:00"/>
        <d v="2014-04-25T00:00:00"/>
        <d v="2013-12-20T00:00:00"/>
        <d v="2013-12-13T00:00:00"/>
        <d v="2011-12-15T00:00:00"/>
        <d v="2011-07-19T00:00:00"/>
        <d v="2013-10-25T00:00:00"/>
        <d v="2011-12-21T00:00:00"/>
        <d v="2013-06-12T00:00:00"/>
        <d v="2012-06-09T00:00:00"/>
        <d v="2011-05-28T00:00:00"/>
        <d v="2012-11-14T00:00:00"/>
        <d v="2011-01-21T00:00:00"/>
        <d v="2014-03-29T00:00:00"/>
        <d v="2013-12-31T00:00:00"/>
        <d v="2014-08-13T00:00:00"/>
        <d v="2011-11-08T00:00:00"/>
        <d v="2013-04-13T00:00:00"/>
        <d v="2013-12-05T00:00:00"/>
        <d v="2012-04-02T00:00:00"/>
        <d v="2014-09-30T00:00:00"/>
        <d v="2012-03-22T00:00:00"/>
        <d v="2014-05-13T00:00:00"/>
        <d v="2012-07-18T00:00:00"/>
        <d v="2012-03-27T00:00:00"/>
        <d v="2012-11-17T00:00:00"/>
        <d v="2013-09-19T00:00:00"/>
        <d v="2011-10-16T00:00:00"/>
        <d v="2014-01-13T00:00:00"/>
        <d v="2014-06-04T00:00:00"/>
        <d v="2013-08-07T00:00:00"/>
        <d v="2011-08-25T00:00:00"/>
        <d v="2013-03-13T00:00:00"/>
        <d v="2014-02-10T00:00:00"/>
        <d v="2011-07-20T00:00:00"/>
        <d v="2014-09-16T00:00:00"/>
        <d v="2011-12-10T00:00:00"/>
        <d v="2012-12-30T00:00:00"/>
        <d v="2013-03-11T00:00:00"/>
        <d v="2014-09-25T00:00:00"/>
        <d v="2013-02-04T00:00:00"/>
        <d v="2012-12-25T00:00:00"/>
        <d v="2014-05-21T00:00:00"/>
        <d v="2014-12-26T00:00:00"/>
        <d v="2014-09-20T00:00:00"/>
        <d v="2011-10-25T00:00:00"/>
        <d v="2011-12-22T00:00:00"/>
        <d v="2013-06-28T00:00:00"/>
        <d v="2011-03-18T00:00:00"/>
        <d v="2012-09-19T00:00:00"/>
        <d v="2014-12-14T00:00:00"/>
        <d v="2013-12-17T00:00:00"/>
        <d v="2014-09-15T00:00:00"/>
        <d v="2012-10-05T00:00:00"/>
        <d v="2013-10-30T00:00:00"/>
        <d v="2011-07-08T00:00:00"/>
        <d v="2012-04-22T00:00:00"/>
        <d v="2011-10-21T00:00:00"/>
        <d v="2014-12-01T00:00:00"/>
        <d v="2011-09-11T00:00:00"/>
        <d v="2012-10-29T00:00:00"/>
        <d v="2013-08-31T00:00:00"/>
        <d v="2014-01-24T00:00:00"/>
        <d v="2012-12-10T00:00:00"/>
        <d v="2013-12-16T00:00:00"/>
        <d v="2012-10-24T00:00:00"/>
        <d v="2014-08-01T00:00:00"/>
        <d v="2014-05-23T00:00:00"/>
        <d v="2013-07-22T00:00:00"/>
        <d v="2013-05-11T00:00:00"/>
        <d v="2014-03-04T00:00:00"/>
        <d v="2013-10-23T00:00:00"/>
        <d v="2013-08-08T00:00:00"/>
        <d v="2012-04-30T00:00:00"/>
        <d v="2013-05-27T00:00:00"/>
        <d v="2013-10-21T00:00:00"/>
        <d v="2011-09-06T00:00:00"/>
        <d v="2011-05-23T00:00:00"/>
        <d v="2012-08-10T00:00:00"/>
        <d v="2011-08-23T00:00:00"/>
        <d v="2011-11-05T00:00:00"/>
        <d v="2012-05-14T00:00:00"/>
        <d v="2014-03-11T00:00:00"/>
        <d v="2013-12-10T00:00:00"/>
        <d v="2011-07-04T00:00:00"/>
        <d v="2014-07-07T00:00:00"/>
        <d v="2011-10-05T00:00:00"/>
        <d v="2011-06-17T00:00:00"/>
        <d v="2014-02-06T00:00:00"/>
        <d v="2011-07-06T00:00:00"/>
        <d v="2011-04-20T00:00:00"/>
        <d v="2013-08-22T00:00:00"/>
        <d v="2012-12-16T00:00:00"/>
        <d v="2014-07-25T00:00:00"/>
        <d v="2014-12-07T00:00:00"/>
        <d v="2013-09-28T00:00:00"/>
        <d v="2014-05-03T00:00:00"/>
        <d v="2013-04-17T00:00:00"/>
        <d v="2013-07-29T00:00:00"/>
        <d v="2013-06-24T00:00:00"/>
        <d v="2012-11-09T00:00:00"/>
        <d v="2012-09-27T00:00:00"/>
        <d v="2012-06-28T00:00:00"/>
        <d v="2013-09-17T00:00:00"/>
        <d v="2011-08-19T00:00:00"/>
        <d v="2011-09-25T00:00:00"/>
        <d v="2013-05-13T00:00:00"/>
        <d v="2011-10-18T00:00:00"/>
        <d v="2014-11-18T00:00:00"/>
        <d v="2013-03-29T00:00:00"/>
        <d v="2011-07-22T00:00:00"/>
        <d v="2013-06-03T00:00:00"/>
        <d v="2011-12-07T00:00:00"/>
        <d v="2014-04-24T00:00:00"/>
        <d v="2013-07-20T00:00:00"/>
        <d v="2013-05-15T00:00:00"/>
        <d v="2013-01-23T00:00:00"/>
        <d v="2012-05-26T00:00:00"/>
        <d v="2014-02-07T00:00:00"/>
        <d v="2013-10-10T00:00:00"/>
        <d v="2014-01-08T00:00:00"/>
        <d v="2014-05-31T00:00:00"/>
        <d v="2011-02-16T00:00:00"/>
        <d v="2012-03-24T00:00:00"/>
        <d v="2012-04-11T00:00:00"/>
        <d v="2012-02-27T00:00:00"/>
        <d v="2013-07-02T00:00:00"/>
        <d v="2014-07-15T00:00:00"/>
        <d v="2014-03-31T00:00:00"/>
        <d v="2011-11-02T00:00:00"/>
        <d v="2011-09-10T00:00:00"/>
        <d v="2014-09-27T00:00:00"/>
        <d v="2014-04-01T00:00:00"/>
        <d v="2013-02-19T00:00:00"/>
        <d v="2012-12-08T00:00:00"/>
        <d v="2011-02-23T00:00:00"/>
        <d v="2013-10-07T00:00:00"/>
        <d v="2012-04-05T00:00:00"/>
        <d v="2013-03-16T00:00:00"/>
        <d v="2012-11-30T00:00:00"/>
        <d v="2011-04-15T00:00:00"/>
        <d v="2014-05-07T00:00:00"/>
        <d v="2012-01-06T00:00:00"/>
        <d v="2014-06-14T00:00:00"/>
        <d v="2012-08-24T00:00:00"/>
        <d v="2013-08-02T00:00:00"/>
        <d v="2013-04-14T00:00:00"/>
        <d v="2011-03-24T00:00:00"/>
        <d v="2014-06-09T00:00:00"/>
        <d v="2014-01-27T00:00:00"/>
        <d v="2011-05-16T00:00:00"/>
        <d v="2012-04-26T00:00:00"/>
        <d v="2012-10-12T00:00:00"/>
        <d v="2012-07-14T00:00:00"/>
        <d v="2011-11-19T00:00:00"/>
        <d v="2013-05-28T00:00:00"/>
        <d v="2013-10-04T00:00:00"/>
        <d v="2013-07-31T00:00:00"/>
        <d v="2012-07-04T00:00:00"/>
        <d v="2014-08-18T00:00:00"/>
        <d v="2013-12-15T00:00:00"/>
        <d v="2012-03-23T00:00:00"/>
        <d v="2013-10-11T00:00:00"/>
        <d v="2013-04-22T00:00:00"/>
        <d v="2011-05-04T00:00:00"/>
        <d v="2012-08-28T00:00:00"/>
        <d v="2012-10-20T00:00:00"/>
        <d v="2014-07-28T00:00:00"/>
        <d v="2012-05-22T00:00:00"/>
        <d v="2014-08-30T00:00:00"/>
        <d v="2012-02-16T00:00:00"/>
        <d v="2013-02-05T00:00:00"/>
        <d v="2013-12-28T00:00:00"/>
        <d v="2013-08-01T00:00:00"/>
        <d v="2011-07-09T00:00:00"/>
        <d v="2011-09-22T00:00:00"/>
        <d v="2011-08-12T00:00:00"/>
        <d v="2011-03-11T00:00:00"/>
        <d v="2014-07-27T00:00:00"/>
        <d v="2011-09-07T00:00:00"/>
        <d v="2013-03-18T00:00:00"/>
        <d v="2014-12-05T00:00:00"/>
        <d v="2013-02-01T00:00:00"/>
        <d v="2014-05-10T00:00:00"/>
        <d v="2012-09-20T00:00:00"/>
        <d v="2011-04-28T00:00:00"/>
        <d v="2013-05-23T00:00:00"/>
        <d v="2011-03-28T00:00:00"/>
        <d v="2012-05-10T00:00:00"/>
        <d v="2014-03-28T00:00:00"/>
        <d v="2014-07-08T00:00:00"/>
        <d v="2012-02-29T00:00:00"/>
        <d v="2011-02-21T00:00:00"/>
        <d v="2011-12-31T00:00:00"/>
        <d v="2013-01-28T00:00:00"/>
        <d v="2013-11-10T00:00:00"/>
        <d v="2013-09-11T00:00:00"/>
        <d v="2013-11-26T00:00:00"/>
        <d v="2011-10-01T00:00:00"/>
        <d v="2011-03-03T00:00:00"/>
        <d v="2012-12-03T00:00:00"/>
        <d v="2014-03-19T00:00:00"/>
        <d v="2014-06-28T00:00:00"/>
        <d v="2012-03-20T00:00:00"/>
        <d v="2014-05-29T00:00:00"/>
        <d v="2011-12-19T00:00:00"/>
        <d v="2014-08-20T00:00:00"/>
        <d v="2013-02-09T00:00:00"/>
        <d v="2014-10-14T00:00:00"/>
        <d v="2012-01-26T00:00:00"/>
        <d v="2012-12-17T00:00:00"/>
        <d v="2013-03-27T00:00:00"/>
        <d v="2012-05-18T00:00:00"/>
        <d v="2012-09-12T00:00:00"/>
        <d v="2013-02-07T00:00:00"/>
        <d v="2013-06-07T00:00:00"/>
        <d v="2012-11-28T00:00:00"/>
        <d v="2011-01-24T00:00:00"/>
        <d v="2014-06-13T00:00:00"/>
        <d v="2011-11-30T00:00:00"/>
        <d v="2012-03-14T00:00:00"/>
        <d v="2011-11-03T00:00:00"/>
        <d v="2014-07-24T00:00:00"/>
        <d v="2011-02-09T00:00:00"/>
        <d v="2011-04-23T00:00:00"/>
        <d v="2011-03-25T00:00:00"/>
        <d v="2011-06-24T00:00:00"/>
        <d v="2012-01-27T00:00:00"/>
        <d v="2012-10-18T00:00:00"/>
        <d v="2012-08-17T00:00:00"/>
        <d v="2014-05-27T00:00:00"/>
        <d v="2011-10-09T00:00:00"/>
        <d v="2013-11-20T00:00:00"/>
        <d v="2012-05-11T00:00:00"/>
        <d v="2013-09-23T00:00:00"/>
        <d v="2012-06-01T00:00:00"/>
        <d v="2014-01-25T00:00:00"/>
        <d v="2012-04-14T00:00:00"/>
        <d v="2013-05-07T00:00:00"/>
        <d v="2014-01-03T00:00:00"/>
        <d v="2013-10-31T00:00:00"/>
        <d v="2011-02-15T00:00:00"/>
        <d v="2011-06-18T00:00:00"/>
        <d v="2011-08-15T00:00:00"/>
        <d v="2014-06-20T00:00:00"/>
        <d v="2012-03-26T00:00:00"/>
        <d v="2011-04-03T00:00:00"/>
        <d v="2012-09-13T00:00:00"/>
        <d v="2013-09-05T00:00:00"/>
        <d v="2013-06-04T00:00:00"/>
        <d v="2011-12-28T00:00:00"/>
        <d v="2012-04-12T00:00:00"/>
      </sharedItems>
    </cacheField>
    <cacheField name="Month" numFmtId="14">
      <sharedItems count="12">
        <s v="June"/>
        <s v="December"/>
        <s v="May"/>
        <s v="August"/>
        <s v="September"/>
        <s v="January"/>
        <s v="July"/>
        <s v="November"/>
        <s v="October"/>
        <s v="March"/>
        <s v="April"/>
        <s v="February"/>
      </sharedItems>
    </cacheField>
    <cacheField name="Ship Date" numFmtId="14">
      <sharedItems containsSemiMixedTypes="0" containsNonDate="0" containsDate="1" containsString="0" minDate="2011-01-09T00:00:00" maxDate="2015-01-07T00:00:00"/>
    </cacheField>
    <cacheField name="Delivery Status" numFmtId="14">
      <sharedItems count="2">
        <s v="On time"/>
        <s v="Delayed"/>
      </sharedItems>
    </cacheField>
    <cacheField name="Customer Name" numFmtId="0">
      <sharedItems count="686">
        <s v="Darrin Van Huff"/>
        <s v="Brosina Hoffman"/>
        <s v="Irene Maddox"/>
        <s v="Alejandro Grove"/>
        <s v="Zuschuss Donatelli"/>
        <s v="Emily Burns"/>
        <s v="Eric Hoffmann"/>
        <s v="Ruben Ausman"/>
        <s v="Kunst Miller"/>
        <s v="Brendan Sweed"/>
        <s v="Duane Noonan"/>
        <s v="Jim Sink"/>
        <s v="Roger Barcio"/>
        <s v="Katherine Ducich"/>
        <s v="Lena Cacioppo"/>
        <s v="Dave Kipp"/>
        <s v="Troy Staebel"/>
        <s v="Lindsay Shagiari"/>
        <s v="Lena Creighton"/>
        <s v="Sally Hughsby"/>
        <s v="Helen Andreada"/>
        <s v="Tamara Willingham"/>
        <s v="Stephanie Phelps"/>
        <s v="Neil Knudson"/>
        <s v="Dave Brooks"/>
        <s v="Ted Trevino"/>
        <s v="Ruben Dartt"/>
        <s v="Max Jones"/>
        <s v="Chad Sievert"/>
        <s v="Frank Merwin"/>
        <s v="Mary Zewe"/>
        <s v="Bruce Stewart"/>
        <s v="Laurel Elliston"/>
        <s v="Jonathan Howell"/>
        <s v="David Bremer"/>
        <s v="Logan Haushalter"/>
        <s v="Kelly Collister"/>
        <s v="Alan Hwang"/>
        <s v="Kristen Hastings"/>
        <s v="Barry Blumstein"/>
        <s v="Jas O'Carroll"/>
        <s v="Tracy Blumstein"/>
        <s v="Kelly Lampkin"/>
        <s v="Ben Peterman"/>
        <s v="Frank Atkinson"/>
        <s v="Grace Kelly"/>
        <s v="Doug Bickford"/>
        <s v="Alyssa Crouse"/>
        <s v="Ken Lonsdale"/>
        <s v="Clay Cheatham"/>
        <s v="Julia Dunbar"/>
        <s v="Arthur Gainer"/>
        <s v="Alejandro Savely"/>
        <s v="Jack Garza"/>
        <s v="Victor Preis"/>
        <s v="Keith Herrera"/>
        <s v="Kimberly Carter"/>
        <s v="Caroline Jumper"/>
        <s v="Philip Brown"/>
        <s v="Sung Pak"/>
        <s v="Joel Eaton"/>
        <s v="Sanjit Chand"/>
        <s v="Joseph Holt"/>
        <s v="Tanja Norvell"/>
        <s v="Jeremy Pistek"/>
        <s v="Xylona Preis"/>
        <s v="Michelle Tran"/>
        <s v="Sonia Sunley"/>
        <s v="Maribeth Yedwab"/>
        <s v="Bradley Nguyen"/>
        <s v="Alan Dominguez"/>
        <s v="Karen Bern"/>
        <s v="Jasper Cacioppo"/>
        <s v="Allen Armold"/>
        <s v="Erin Smith"/>
        <s v="Bill Donatelli"/>
        <s v="Dean Katz"/>
        <s v="Olvera Toch"/>
        <s v="Liz Pelletier"/>
        <s v="Jeremy Farry"/>
        <s v="Frank Preis"/>
        <s v="Ellis Ballard"/>
        <s v="Sarah Foster"/>
        <s v="Trudy Glocke"/>
        <s v="Charles Crestani"/>
        <s v="Dianna Vittorini"/>
        <s v="Zuschuss Carroll"/>
        <s v="Lena Radford"/>
        <s v="Annie Thurman"/>
        <s v="Logan Currie"/>
        <s v="Fred McMath"/>
        <s v="Max Engle"/>
        <s v="Rick Bensley"/>
        <s v="John Lee"/>
        <s v="Anthony Rawles"/>
        <s v="Alan Barnes"/>
        <s v="Jay Kimmel"/>
        <s v="Dorris liebe"/>
        <s v="Christine Kargatis"/>
        <s v="Ross DeVincentis"/>
        <s v="Darrin Sayre"/>
        <s v="Gary Zandusky"/>
        <s v="Maya Herman"/>
        <s v="Yoseph Carroll"/>
        <s v="Melanie Seite"/>
        <s v="Andrew Roberts"/>
        <s v="Nick Zandusky"/>
        <s v="Clay Ludtke"/>
        <s v="Liz Thompson"/>
        <s v="Erica Smith"/>
        <s v="Carlos Daly"/>
        <s v="Helen Wasserman"/>
        <s v="Gary McGarr"/>
        <s v="Russell Applegate"/>
        <s v="Pauline Johnson"/>
        <s v="Patrick Gardner"/>
        <s v="Eudokia Martin"/>
        <s v="Dave Poirier"/>
        <s v="Chuck Magee"/>
        <s v="Jill Stevenson"/>
        <s v="Cyma Kinney"/>
        <s v="Pamela Coakley"/>
        <s v="Rachel Payne"/>
        <s v="Karen Carlisle"/>
        <s v="Rob Williams"/>
        <s v="John Lucas"/>
        <s v="Cynthia Arntzen"/>
        <s v="Joseph Airdo"/>
        <s v="Daniel Lacy"/>
        <s v="Lindsay Williams"/>
        <s v="Cynthia Voltz"/>
        <s v="Tamara Dahlen"/>
        <s v="Tracy Zic"/>
        <s v="Roland Fjeld"/>
        <s v="Ryan Akin"/>
        <s v="Meg Tillman"/>
        <s v="Vivek Gonzalez"/>
        <s v="Philip Fox"/>
        <s v="John Stevenson"/>
        <s v="Meg O'Connel"/>
        <s v="Hallie Redmond"/>
        <s v="Jennifer Jackson"/>
        <s v="Brian DeCherney"/>
        <s v="Skye Norling"/>
        <s v="Erica Hernandez"/>
        <s v="Maurice Satty"/>
        <s v="Don Weiss"/>
        <s v="Craig Yedwab"/>
        <s v="Naresj Patel"/>
        <s v="Noel Staavos"/>
        <s v="Paul Van Hugh"/>
        <s v="Neoma Murray"/>
        <s v="Dionis Lloyd"/>
        <s v="Greg Guthrie"/>
        <s v="Arthur Prichep"/>
        <s v="George Bell"/>
        <s v="Larry Tron"/>
        <s v="Alyssa Tate"/>
        <s v="Harold Ryan"/>
        <s v="Bradley Talbott"/>
        <s v="Linda Southworth"/>
        <s v="Ben Ferrer"/>
        <s v="Greg Matthias"/>
        <s v="Nora Preis"/>
        <s v="Phillip Flathmann"/>
        <s v="Julie Creighton"/>
        <s v="Brooke Gillingham"/>
        <s v="Chuck Clark"/>
        <s v="Justin Hirsh"/>
        <s v="Erica Bern"/>
        <s v="Alex Avila"/>
        <s v="Roy Collins"/>
        <s v="Henry Goldwyn"/>
        <s v="Frank Gastineau"/>
        <s v="Lisa DeCherney"/>
        <s v="Harold Pawlan"/>
        <s v="Jamie Frazer"/>
        <s v="Kean Takahito"/>
        <s v="Ann Blume"/>
        <s v="Sam Zeldin"/>
        <s v="Jim Radford"/>
        <s v="Christina Anderson"/>
        <s v="Valerie Dominguez"/>
        <s v="Adrian Barton"/>
        <s v="Beth Thompson"/>
        <s v="Rick Wilson"/>
        <s v="Damala Kotsonis"/>
        <s v="Michael Moore"/>
        <s v="Shaun Chance"/>
        <s v="Jennifer Braxton"/>
        <s v="Thais Sissman"/>
        <s v="Maria Bertelson"/>
        <s v="Katherine Nockton"/>
        <s v="Mike Kennedy"/>
        <s v="Christine Phan"/>
        <s v="Corinna Mitchell"/>
        <s v="Jane Waco"/>
        <s v="Pauline Chand"/>
        <s v="Jessica Myrick"/>
        <s v="Nicole Hansen"/>
        <s v="Michael Chen"/>
        <s v="Tom Boeckenhauer"/>
        <s v="Victoria Wilson"/>
        <s v="Gary Hwang"/>
        <s v="Mike Pelletier"/>
        <s v="Deborah Brumfield"/>
        <s v="Ivan Gibson"/>
        <s v="Jeremy Ellison"/>
        <s v="Edward Becker"/>
        <s v="Paul Knutson"/>
        <s v="Christopher Schild"/>
        <s v="Jesus Ocampo"/>
        <s v="Rick Duston"/>
        <s v="Marina Lichtenstein"/>
        <s v="Yana Sorensen"/>
        <s v="Jenna Caffey"/>
        <s v="James Galang"/>
        <s v="Natalie Webber"/>
        <s v="Fred Hopkins"/>
        <s v="Hilary Holden"/>
        <s v="Christina DeMoss"/>
        <s v="Thea Hendricks"/>
        <s v="Michelle Moray"/>
        <s v="Robert Barroso"/>
        <s v="Eric Barreto"/>
        <s v="Pamela Stobb"/>
        <s v="Claudia Bergmann"/>
        <s v="Steven Cartwright"/>
        <s v="Cynthia Delaney"/>
        <s v="Jamie Kunitz"/>
        <s v="Debra Catini"/>
        <s v="Emily Ducich"/>
        <s v="Joni Wasserman"/>
        <s v="Darren Powers"/>
        <s v="Raymond Messe"/>
        <s v="Adrian Shami"/>
        <s v="Stefania Perrino"/>
        <s v="Lauren Leatherbury"/>
        <s v="Matt Collins"/>
        <s v="Sue Ann Reed"/>
        <s v="Giulietta Weimer"/>
        <s v="Frank Hawley"/>
        <s v="Filia McAdams"/>
        <s v="Noah Childs"/>
        <s v="Adam Hart"/>
        <s v="Michelle Ellison"/>
        <s v="Benjamin Patterson"/>
        <s v="Paul Gonzalez"/>
        <s v="Carol Darley"/>
        <s v="Stewart Carmichael"/>
        <s v="Rick Hansen"/>
        <s v="Valerie Mitchum"/>
        <s v="Craig Carreira"/>
        <s v="Nora Pelletier"/>
        <s v="Joe Elijah"/>
        <s v="Laurel Workman"/>
        <s v="Max Ludwig"/>
        <s v="Luke Weiss"/>
        <s v="Berenike Kampe"/>
        <s v="Gene McClure"/>
        <s v="Marc Crier"/>
        <s v="Carl Weiss"/>
        <s v="Ed Braxton"/>
        <s v="Kelly Andreada"/>
        <s v="Tamara Chand"/>
        <s v="Toby Ritter"/>
        <s v="Maribeth Schnelling"/>
        <s v="Clytie Kelty"/>
        <s v="Anthony Witt"/>
        <s v="Kean Thornton"/>
        <s v="Adrian Hane"/>
        <s v="Sandra Glassco"/>
        <s v="Scot Wooten"/>
        <s v="William Brown"/>
        <s v="Larry Blacks"/>
        <s v="Dianna Wilson"/>
        <s v="Karen Ferguson"/>
        <s v="Ivan Liston"/>
        <s v="Patrick Bzostek"/>
        <s v="Heather Kirkland"/>
        <s v="Alan Shonely"/>
        <s v="Neola Schneider"/>
        <s v="Matt Hagelstein"/>
        <s v="Bobby Trafton"/>
        <s v="Doug Jacobs"/>
        <s v="Rick Huthwaite"/>
        <s v="Toby Gnade"/>
        <s v="Barry Franz"/>
        <s v="Justin MacKendrick"/>
        <s v="Julie Kriz"/>
        <s v="Maria Zettner"/>
        <s v="Tom Prescott"/>
        <s v="Allen Rosenblatt"/>
        <s v="Jim Karlsson"/>
        <s v="Ben Wallace"/>
        <s v="Ricardo Sperren"/>
        <s v="Becky Castell"/>
        <s v="Kristina Nunn"/>
        <s v="Laura Armstrong"/>
        <s v="Alice McCarthy"/>
        <s v="Scott Cohen"/>
        <s v="Erica Hackney"/>
        <s v="Katherine Murray"/>
        <s v="Christina VanderZanden"/>
        <s v="Dennis Kane"/>
        <s v="Mike Gockenbach"/>
        <s v="Tamara Manning"/>
        <s v="Bill Eplett"/>
        <s v="Eleni McCrary"/>
        <s v="Michelle Lonsdale"/>
        <s v="Linda Cazamias"/>
        <s v="Matt Collister"/>
        <s v="Ross Baird"/>
        <s v="Harry Marie"/>
        <s v="Pierre Wener"/>
        <s v="Anne McFarland"/>
        <s v="Shahid Collister"/>
        <s v="Greg Maxwell"/>
        <s v="Bryan Spruell"/>
        <s v="Bill Tyler"/>
        <s v="Ralph Ritter"/>
        <s v="Lori Olson"/>
        <s v="Ken Dana"/>
        <s v="John Murray"/>
        <s v="Michael Granlund"/>
        <s v="Bill Overfelt"/>
        <s v="Aleksandra Gannaway"/>
        <s v="Jim Mitchum"/>
        <s v="Jason Fortune-"/>
        <s v="Tim Taslimi"/>
        <s v="Alan Schoenberger"/>
        <s v="Pete Kriz"/>
        <s v="Nancy Lomonaco"/>
        <s v="Toby Carlisle"/>
        <s v="Stewart Visinsky"/>
        <s v="Carol Triggs"/>
        <s v="Anthony Johnson"/>
        <s v="Alejandro Ballentine"/>
        <s v="Sanjit Engle"/>
        <s v="David Flashing"/>
        <s v="Fred Harton"/>
        <s v="MaryBeth Skach"/>
        <s v="Carlos Soltero"/>
        <s v="Herbert Flentye"/>
        <s v="George Ashbrook"/>
        <s v="Dean percer"/>
        <s v="Elpida Rittenbach"/>
        <s v="Kean Nguyen"/>
        <s v="Guy Armstrong"/>
        <s v="Denise Leinenbach"/>
        <s v="Cindy Stewart"/>
        <s v="Michelle Huthwaite"/>
        <s v="Darrin Martin"/>
        <s v="Natalie DeCherney"/>
        <s v="Don Jones"/>
        <s v="Beth Fritzler"/>
        <s v="Stuart Calhoun"/>
        <s v="Scott Williamson"/>
        <s v="Emily Phan"/>
        <s v="Ken Heidel"/>
        <s v="Thomas Thornton"/>
        <s v="Greg Tran"/>
        <s v="Mick Crebagga"/>
        <s v="Lisa Hazard"/>
        <s v="Eugene Moren"/>
        <s v="Philisse Overcash"/>
        <s v="Andy Yotov"/>
        <s v="Ryan Crowe"/>
        <s v="Matthew Clasen"/>
        <s v="Sharelle Roach"/>
        <s v="Dan Reichenbach"/>
        <s v="Aaron Smayling"/>
        <s v="Benjamin Farhat"/>
        <s v="Katrina Bavinger"/>
        <s v="Maxwell Schwartz"/>
        <s v="Chad Cunningham"/>
        <s v="Cari Sayre"/>
        <s v="Gary Hansen"/>
        <s v="Justin Ellison"/>
        <s v="Jack Lebron"/>
        <s v="Sanjit Jacobs"/>
        <s v="Chris Cortes"/>
        <s v="Thomas Seio"/>
        <s v="Sarah Jordon"/>
        <s v="Penelope Sewall"/>
        <s v="Rob Dowd"/>
        <s v="Mitch Willingham"/>
        <s v="Patrick Ryan"/>
        <s v="Odella Nelson"/>
        <s v="Brian Moss"/>
        <s v="Liz Carlisle"/>
        <s v="Matthew Grinstein"/>
        <s v="Charlotte Melton"/>
        <s v="Tony Chapman"/>
        <s v="Luke Foster"/>
        <s v="Phillina Ober"/>
        <s v="Tim Brockman"/>
        <s v="Dennis Pardue"/>
        <s v="Carl Ludwig"/>
        <s v="Shirley Jackson"/>
        <s v="Cathy Armstrong"/>
        <s v="Dario Medina"/>
        <s v="Patrick O'Donnell"/>
        <s v="Tony Sayre"/>
        <s v="Guy Thornton"/>
        <s v="Jim Kriz"/>
        <s v="Ralph Arnett"/>
        <s v="Darren Budd"/>
        <s v="Vicky Freymann"/>
        <s v="Jennifer Patt"/>
        <s v="Denny Ordway"/>
        <s v="Roland Schwarz"/>
        <s v="Maureen Fritzler"/>
        <s v="Charles McCrossin"/>
        <s v="Julia Barnett"/>
        <s v="Jonathan Doherty"/>
        <s v="Ed Jacobs"/>
        <s v="Todd Sumrall"/>
        <s v="Astrea Jones"/>
        <s v="Jay Fein"/>
        <s v="Peter Fuller"/>
        <s v="Maris LaWare"/>
        <s v="Eugene Hildebrand"/>
        <s v="Susan Pistek"/>
        <s v="Paul Lucas"/>
        <s v="Christopher Conant"/>
        <s v="Michael Kennedy"/>
        <s v="Jack O'Briant"/>
        <s v="Steve Nguyen"/>
        <s v="Jill Fjeld"/>
        <s v="Katrina Edelman"/>
        <s v="Amy Cox"/>
        <s v="Toby Swindell"/>
        <s v="Tracy Poddar"/>
        <s v="Heather Jas"/>
        <s v="Eileen Kiefer"/>
        <s v="Bruce Geld"/>
        <s v="Nick Crebassa"/>
        <s v="Steven Roelle"/>
        <s v="Michelle Arnett"/>
        <s v="Ken Black"/>
        <s v="Muhammed MacIntyre"/>
        <s v="Andrew Gjertsen"/>
        <s v="Nicole Fjeld"/>
        <s v="David Wiener"/>
        <s v="Tiffany House"/>
        <s v="Angele Hood"/>
        <s v="Chris Selesnick"/>
        <s v="Shui Tom"/>
        <s v="Sung Shariari"/>
        <s v="Mark Van Huff"/>
        <s v="Alex Grayson"/>
        <s v="Trudy Brown"/>
        <s v="Bart Pistole"/>
        <s v="Anna Häberlin"/>
        <s v="Anna Andreadi"/>
        <s v="Ann Steele"/>
        <s v="Janet Martin"/>
        <s v="Georgia Rosenberg"/>
        <s v="Vivek Sundaresam"/>
        <s v="Liz Preis"/>
        <s v="Rob Beeghly"/>
        <s v="Julia West"/>
        <s v="Mike Caudle"/>
        <s v="Tom Stivers"/>
        <s v="Robert Marley"/>
        <s v="Bruce Degenhardt"/>
        <s v="David Smith"/>
        <s v="Bill Stewart"/>
        <s v="Helen Abelman"/>
        <s v="Corey-Lock"/>
        <s v="Denny Joy"/>
        <s v="Deanra Eno"/>
        <s v="Lena Hernandez"/>
        <s v="Richard Bierner"/>
        <s v="Christine Sundaresam"/>
        <s v="Theresa Swint"/>
        <s v="Benjamin Venier"/>
        <s v="Nick Radford"/>
        <s v="Monica Federle"/>
        <s v="Nathan Gelder"/>
        <s v="Jim Epp"/>
        <s v="Edward Hooks"/>
        <s v="Sheri Gordon"/>
        <s v="Christine Abelman"/>
        <s v="Karen Seio"/>
        <s v="Brian Dahlen"/>
        <s v="Joy Daniels"/>
        <s v="Tracy Collins"/>
        <s v="Aaron Bergman"/>
        <s v="Craig Leslie"/>
        <s v="Arthur Wiediger"/>
        <s v="Sample Company A"/>
        <s v="Adam Bellavance"/>
        <s v="Cindy Chapman"/>
        <s v="Shahid Shariari"/>
        <s v="Arianne Irving"/>
        <s v="Tonja Turnell"/>
        <s v="Mick Brown"/>
        <s v="Bradley Drucker"/>
        <s v="Jill Matthias"/>
        <s v="Parhena Norris"/>
        <s v="Shaun Weien"/>
        <s v="James Lanier"/>
        <s v="Luke Schmidt"/>
        <s v="Fred Chung"/>
        <s v="Darren Koutras"/>
        <s v="Richard Eichhorn"/>
        <s v="Tony Molinari"/>
        <s v="Eugene Barchas"/>
        <s v="Candace McMahon"/>
        <s v="Barry Französisch"/>
        <s v="Eva Jacobs"/>
        <s v="Delfina Latchford"/>
        <s v="Cassandra Brandow"/>
        <s v="Lycoris Saunders"/>
        <s v="Anthony Jacobs"/>
        <s v="Aaron Hawkins"/>
        <s v="Andy Reiter"/>
        <s v="Roy Phan"/>
        <s v="John Grady"/>
        <s v="Matt Connell"/>
        <s v="Muhammed Lee"/>
        <s v="Denise Monton"/>
        <s v="Marc Harrigan"/>
        <s v="Larry Hughes"/>
        <s v="Dean Braden"/>
        <s v="Duane Huffman"/>
        <s v="Jennifer Halladay"/>
        <s v="Chloris Kastensmidt"/>
        <s v="Erin Ashbrook"/>
        <s v="Roy Französisch"/>
        <s v="Art Ferguson"/>
        <s v="Paul Prost"/>
        <s v="Joy Bell-"/>
        <s v="Patrick Jones"/>
        <s v="Amy Hunt"/>
        <s v="Dorothy Wardle"/>
        <s v="Becky Pak"/>
        <s v="Dave Hallsten"/>
        <s v="Julie Prescott"/>
        <s v="Beth Paige"/>
        <s v="John Dryer"/>
        <s v="Juliana Krohn"/>
        <s v="Justin Deggeller"/>
        <s v="Charles Sheldon"/>
        <s v="Doug O'Connell"/>
        <s v="Brian Stugart"/>
        <s v="Joe Kamberova"/>
        <s v="Lynn Smith"/>
        <s v="Keith Dawkins"/>
        <s v="Steve Carroll"/>
        <s v="Giulietta Dortch"/>
        <s v="Robert Waldorf"/>
        <s v="Janet Molinari"/>
        <s v="Matt Abelman"/>
        <s v="Lisa Ryan"/>
        <s v="Susan Vittorini"/>
        <s v="Randy Ferguson"/>
        <s v="Allen Goldenen"/>
        <s v="Ann Chong"/>
        <s v="Cathy Prescott"/>
        <s v="Justin Ritter"/>
        <s v="Saphhira Shifley"/>
        <s v="Anthony O'Donnell"/>
        <s v="Nathan Cano"/>
        <s v="Khloe Miller"/>
        <s v="Anna Chung"/>
        <s v="Jason Gross"/>
        <s v="Mitch Webber"/>
        <s v="Jennifer Ferguson"/>
        <s v="Clay Rozendal"/>
        <s v="Rose O'Brian"/>
        <s v="Brenda Bowman"/>
        <s v="Annie Zypern"/>
        <s v="Sylvia Foulston"/>
        <s v="Liz Willingham"/>
        <s v="Nona Balk"/>
        <s v="Patrick O'Brill"/>
        <s v="Frank Carlisle"/>
        <s v="Bart Watters"/>
        <s v="Robert Dilbeck"/>
        <s v="Erin Creighton"/>
        <s v="Roger Demir"/>
        <s v="Mike Vittorini"/>
        <s v="Victoria Pisteka"/>
        <s v="Sean Braxton"/>
        <s v="Shirley Daniels"/>
        <s v="Hunter Glantz"/>
        <s v="Brian Thompson"/>
        <s v="Ionia McGrath"/>
        <s v="Brendan Murry"/>
        <s v="Nora Paige"/>
        <s v="Scot Coram"/>
        <s v="Brad Norvell"/>
        <s v="Eric Murdock"/>
        <s v="Elizabeth Moffitt"/>
        <s v="Stefanie Holloman"/>
        <s v="Bryan Mills"/>
        <s v="Becky Martin"/>
        <s v="Russell D'Ascenzo"/>
        <s v="Henry MacAllister"/>
        <s v="Thomas Brumley"/>
        <s v="Sean O'Donnell"/>
        <s v="Daniel Byrd"/>
        <s v="Nathan Mautz"/>
        <s v="Sally Matthias"/>
        <s v="Speros Goranitis"/>
        <s v="Chad McGuire"/>
        <s v="Raymond Buch"/>
        <s v="Sean Christensen"/>
        <s v="Rob Lucas"/>
        <s v="Sarah Bern"/>
        <s v="George Zrebassa"/>
        <s v="Christy Brittain"/>
        <s v="Katharine Harms"/>
        <s v="Dorothy Dickinson"/>
        <s v="Janet Lee"/>
        <s v="Laurel Beltran"/>
        <s v="Shahid Hopkins"/>
        <s v="Steven Ward"/>
        <s v="Carol Adams"/>
        <s v="Paul Stevenson"/>
        <s v="Sonia Cooley"/>
        <s v="Trudy Schmidt"/>
        <s v="Stuart Van"/>
        <s v="Joni Blumstein"/>
        <s v="Deirdre Greer"/>
        <s v="Carlos Meador"/>
        <s v="Sara Luxemburg"/>
        <s v="Maureen Gastineau"/>
        <s v="Pauline Webber"/>
        <s v="Sean Miller"/>
        <s v="Dennis Bolton"/>
        <s v="Mark Cousins"/>
        <s v="Corey Catlett"/>
        <s v="Bill Shonely"/>
        <s v="Karen Daniels"/>
        <s v="John Castell"/>
        <s v="Sarah Brown"/>
        <s v="Dana Kaydos"/>
        <s v="Muhammed Yedwab"/>
        <s v="Seth Vernon"/>
        <s v="Suzanne McNair"/>
        <s v="Resi Pölking"/>
        <s v="Magdelene Morse"/>
        <s v="Daniel Raglin"/>
        <s v="Brendan Dodson"/>
        <s v="Maria Etezadi"/>
        <s v="Karl Braun"/>
        <s v="Mark Haberlin"/>
        <s v="Pete Armstrong"/>
        <s v="Bryan Davis"/>
        <s v="Chris McAfee"/>
        <s v="Mark Hamilton"/>
        <s v="Neil Französisch"/>
        <s v="Frank Olsen"/>
        <s v="Lindsay Castell"/>
        <s v="Adam Shillingsburg"/>
        <s v="Toby Braunhardt"/>
        <s v="Barry Pond"/>
        <s v="Neil Ducich"/>
        <s v="Kalyca Meade"/>
        <s v="Jason Klamczynski"/>
        <s v="Jeremy Lonsdale"/>
        <s v="Stephanie Ulpright"/>
        <s v="Duane Benoit"/>
        <s v="Ashley Jarboe"/>
        <s v="Ken Brennan"/>
        <s v="Christopher Martinez"/>
        <s v="Vivian Mathis"/>
        <s v="Kelly Williams"/>
        <s v="Mathew Reese"/>
        <s v="Catherine Glotzbach"/>
        <s v="Sandra Flanagan"/>
        <s v="Bobby Elias"/>
        <s v="Theone Pippenger"/>
        <s v="Craig Molinari"/>
        <s v="Fred Wasserman"/>
        <s v="Joy Smith"/>
        <s v="Evan Bailliet"/>
        <s v="Troy Blackwell"/>
        <s v="Dan Lawera"/>
        <s v="Sung Chung"/>
        <s v="Maribeth Dona"/>
        <s v="Anne Pryor"/>
      </sharedItems>
    </cacheField>
    <cacheField name="Country" numFmtId="0">
      <sharedItems count="1">
        <s v="United States"/>
      </sharedItems>
    </cacheField>
    <cacheField name="City" numFmtId="0">
      <sharedItems count="169">
        <s v="Los Angeles"/>
        <s v="Seattle"/>
        <s v="West Jordan"/>
        <s v="San Francisco"/>
        <s v="Orem"/>
        <s v="Gilbert"/>
        <s v="Portland"/>
        <s v="Aurora"/>
        <s v="Phoenix"/>
        <s v="Roseville"/>
        <s v="Pasadena"/>
        <s v="Scottsdale"/>
        <s v="San Jose"/>
        <s v="Carlsbad"/>
        <s v="Redlands"/>
        <s v="Denver"/>
        <s v="Whittier"/>
        <s v="Santa Clara"/>
        <s v="San Diego"/>
        <s v="Brentwood"/>
        <s v="Inglewood"/>
        <s v="Colorado Springs"/>
        <s v="Arvada"/>
        <s v="Long Beach"/>
        <s v="Hesperia"/>
        <s v="Layton"/>
        <s v="Tucson"/>
        <s v="Des Moines"/>
        <s v="Las Vegas"/>
        <s v="Huntington Beach"/>
        <s v="Louisville"/>
        <s v="Concord"/>
        <s v="Costa Mesa"/>
        <s v="Parker"/>
        <s v="Great Falls"/>
        <s v="Mesa"/>
        <s v="Anaheim"/>
        <s v="Marysville"/>
        <s v="Salem"/>
        <s v="Vallejo"/>
        <s v="Mission Viejo"/>
        <s v="Sierra Vista"/>
        <s v="Vancouver"/>
        <s v="Lancaster"/>
        <s v="Lake Elsinore"/>
        <s v="Edmonds"/>
        <s v="Santa Ana"/>
        <s v="Salinas"/>
        <s v="Farmington"/>
        <s v="Riverside"/>
        <s v="Torrance"/>
        <s v="Oceanside"/>
        <s v="Murrieta"/>
        <s v="Olympia"/>
        <s v="Oakland"/>
        <s v="Encinitas"/>
        <s v="Antioch"/>
        <s v="Reno"/>
        <s v="Escondido"/>
        <s v="Fresno"/>
        <s v="Pueblo"/>
        <s v="Fairfield"/>
        <s v="Pico Rivera"/>
        <s v="Provo"/>
        <s v="Pleasant Grove"/>
        <s v="Glendale"/>
        <s v="Westminster"/>
        <s v="Pomona"/>
        <s v="North Las Vegas"/>
        <s v="Tempe"/>
        <s v="Laguna Niguel"/>
        <s v="Bellevue"/>
        <s v="Kent"/>
        <s v="Tigard"/>
        <s v="Auburn"/>
        <s v="Redmond"/>
        <s v="Henderson"/>
        <s v="Spokane"/>
        <s v="Medford"/>
        <s v="Missoula"/>
        <s v="Springfield"/>
        <s v="Broomfield"/>
        <s v="San Bernardino"/>
        <s v="Bozeman"/>
        <s v="Peoria"/>
        <s v="Ontario"/>
        <s v="Rancho Cucamonga"/>
        <s v="Stockton"/>
        <s v="Sunnyvale"/>
        <s v="Manteca"/>
        <s v="Salt Lake City"/>
        <s v="Littleton"/>
        <s v="Fort Collins"/>
        <s v="Sacramento"/>
        <s v="Thousand Oaks"/>
        <s v="Albuquerque"/>
        <s v="Sparks"/>
        <s v="Coachella"/>
        <s v="La Quinta"/>
        <s v="Bellingham"/>
        <s v="Englewood"/>
        <s v="Las Cruces"/>
        <s v="Vacaville"/>
        <s v="Murray"/>
        <s v="Bakersfield"/>
        <s v="Redondo Beach"/>
        <s v="Billings"/>
        <s v="Gresham"/>
        <s v="Meridian"/>
        <s v="Apple Valley"/>
        <s v="Woodland"/>
        <s v="San Mateo"/>
        <s v="Visalia"/>
        <s v="Temecula"/>
        <s v="Yucaipa"/>
        <s v="Santa Fe"/>
        <s v="Chula Vista"/>
        <s v="Thornton"/>
        <s v="Lakewood"/>
        <s v="Covington"/>
        <s v="Boise"/>
        <s v="Citrus Heights"/>
        <s v="Bullhead City"/>
        <s v="San Gabriel"/>
        <s v="Lewiston"/>
        <s v="Danville"/>
        <s v="Logan"/>
        <s v="Avondale"/>
        <s v="Yuma"/>
        <s v="Pasco"/>
        <s v="Lehi"/>
        <s v="Moreno Valley"/>
        <s v="Loveland"/>
        <s v="Chandler"/>
        <s v="Helena"/>
        <s v="Clovis"/>
        <s v="Santa Barbara"/>
        <s v="Draper"/>
        <s v="La Mesa"/>
        <s v="Pocatello"/>
        <s v="Lake Forest"/>
        <s v="Redding"/>
        <s v="Chico"/>
        <s v="Cheyenne"/>
        <s v="Caldwell"/>
        <s v="Redwood City"/>
        <s v="Santa Maria"/>
        <s v="Longview"/>
        <s v="Eugene"/>
        <s v="Oxnard"/>
        <s v="Renton"/>
        <s v="Commerce City"/>
        <s v="Rio Rancho"/>
        <s v="Everett"/>
        <s v="Montebello"/>
        <s v="El Cajon"/>
        <s v="Camarillo"/>
        <s v="Hillsboro"/>
        <s v="Burbank"/>
        <s v="Modesto"/>
        <s v="Longmont"/>
        <s v="Davis"/>
        <s v="Morgan Hill"/>
        <s v="Greeley"/>
        <s v="Twin Falls"/>
        <s v="San Clemente"/>
        <s v="Dublin"/>
        <s v="San Luis Obispo"/>
        <s v="Lodi"/>
      </sharedItems>
    </cacheField>
    <cacheField name="State" numFmtId="0">
      <sharedItems count="11">
        <s v="California"/>
        <s v="Washington"/>
        <s v="Utah"/>
        <s v="Arizona"/>
        <s v="Oregon"/>
        <s v="Colorado"/>
        <s v="New Mexico"/>
        <s v="Nevada"/>
        <s v="Montana"/>
        <s v="Idaho"/>
        <s v="Wyoming"/>
      </sharedItems>
    </cacheField>
    <cacheField name="Category" numFmtId="0">
      <sharedItems count="17">
        <s v="Labels"/>
        <s v="Furnishings"/>
        <s v="Binders"/>
        <s v="Storage"/>
        <s v="Art"/>
        <s v="Tables"/>
        <s v="Accessories"/>
        <s v="Chairs"/>
        <s v="Paper"/>
        <s v="Appliances"/>
        <s v="Envelopes"/>
        <s v="Phones"/>
        <s v="Fasteners"/>
        <s v="Copiers"/>
        <s v="Supplies"/>
        <s v="Bookcases"/>
        <s v="Machines"/>
      </sharedItems>
    </cacheField>
    <cacheField name="Product Name" numFmtId="0">
      <sharedItems/>
    </cacheField>
    <cacheField name="Sales" numFmtId="0">
      <sharedItems containsSemiMixedTypes="0" containsString="0" containsNumber="1" minValue="0.99" maxValue="4476.8"/>
    </cacheField>
    <cacheField name="Quantity" numFmtId="0">
      <sharedItems containsSemiMixedTypes="0" containsString="0" containsNumber="1" containsInteger="1" minValue="1" maxValue="14"/>
    </cacheField>
    <cacheField name="Order Type " numFmtId="0">
      <sharedItems count="3">
        <s v="Multi"/>
        <s v="Bulk"/>
        <s v="Single"/>
      </sharedItems>
    </cacheField>
    <cacheField name="Profit" numFmtId="0">
      <sharedItems containsSemiMixedTypes="0" containsString="0" containsNumber="1" minValue="-938.28" maxValue="1379.98"/>
    </cacheField>
    <cacheField name="Sales Value" numFmtId="0">
      <sharedItems count="3">
        <s v="Low Value"/>
        <s v="High Value"/>
        <s v="Medium Value"/>
      </sharedItems>
    </cacheField>
  </cacheFields>
  <extLst>
    <ext xmlns:x14="http://schemas.microsoft.com/office/spreadsheetml/2009/9/main" uri="{725AE2AE-9491-48be-B2B4-4EB974FC3084}">
      <x14:pivotCacheDefinition pivotCacheId="11297431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1">
  <r>
    <s v="CA-2013-138688"/>
    <x v="0"/>
    <x v="0"/>
    <d v="2013-06-17T00:00:00"/>
    <x v="0"/>
    <x v="0"/>
    <x v="0"/>
    <x v="0"/>
    <x v="0"/>
    <x v="0"/>
    <s v="Self-Adhesive Address Labels for Typewriters by Universal"/>
    <n v="14.62"/>
    <n v="2"/>
    <x v="0"/>
    <n v="6.87"/>
    <x v="0"/>
  </r>
  <r>
    <s v="CA-2011-115812"/>
    <x v="1"/>
    <x v="0"/>
    <d v="2011-06-14T00:00:00"/>
    <x v="0"/>
    <x v="1"/>
    <x v="0"/>
    <x v="0"/>
    <x v="0"/>
    <x v="1"/>
    <s v="Eldon Expressions Wood and Plastic Desk Accessories, Cherry Wood"/>
    <n v="48.86"/>
    <n v="7"/>
    <x v="1"/>
    <n v="14.17"/>
    <x v="0"/>
  </r>
  <r>
    <s v="CA-2013-161389"/>
    <x v="2"/>
    <x v="1"/>
    <d v="2013-12-11T00:00:00"/>
    <x v="0"/>
    <x v="2"/>
    <x v="0"/>
    <x v="1"/>
    <x v="1"/>
    <x v="2"/>
    <s v="Fellowes PB200 Plastic Comb Binding Machine"/>
    <n v="407.98"/>
    <n v="3"/>
    <x v="0"/>
    <n v="132.59"/>
    <x v="0"/>
  </r>
  <r>
    <s v="CA-2011-167164"/>
    <x v="3"/>
    <x v="2"/>
    <d v="2011-05-15T00:00:00"/>
    <x v="0"/>
    <x v="3"/>
    <x v="0"/>
    <x v="2"/>
    <x v="2"/>
    <x v="3"/>
    <s v="Fellowes Super Stor/Drawer"/>
    <n v="55.5"/>
    <n v="2"/>
    <x v="0"/>
    <n v="9.99"/>
    <x v="0"/>
  </r>
  <r>
    <s v="CA-2011-143336"/>
    <x v="4"/>
    <x v="3"/>
    <d v="2011-09-01T00:00:00"/>
    <x v="0"/>
    <x v="4"/>
    <x v="0"/>
    <x v="3"/>
    <x v="0"/>
    <x v="4"/>
    <s v="Newell 341"/>
    <n v="8.56"/>
    <n v="2"/>
    <x v="0"/>
    <n v="2.48"/>
    <x v="0"/>
  </r>
  <r>
    <s v="CA-2012-106320"/>
    <x v="5"/>
    <x v="4"/>
    <d v="2012-09-30T00:00:00"/>
    <x v="0"/>
    <x v="5"/>
    <x v="0"/>
    <x v="4"/>
    <x v="2"/>
    <x v="5"/>
    <s v="Bretford CR4500 Series Slim Rectangular Table"/>
    <n v="1044.6300000000001"/>
    <n v="3"/>
    <x v="0"/>
    <n v="240.26"/>
    <x v="1"/>
  </r>
  <r>
    <s v="CA-2013-121755"/>
    <x v="6"/>
    <x v="5"/>
    <d v="2013-01-20T00:00:00"/>
    <x v="0"/>
    <x v="6"/>
    <x v="0"/>
    <x v="0"/>
    <x v="0"/>
    <x v="2"/>
    <s v="Wilson Jones Active Use Binders"/>
    <n v="11.65"/>
    <n v="2"/>
    <x v="0"/>
    <n v="4.22"/>
    <x v="0"/>
  </r>
  <r>
    <s v="CA-2013-101343"/>
    <x v="7"/>
    <x v="6"/>
    <d v="2013-07-23T00:00:00"/>
    <x v="0"/>
    <x v="7"/>
    <x v="0"/>
    <x v="0"/>
    <x v="0"/>
    <x v="3"/>
    <s v="Eldon Base for stackable storage shelf, platinum"/>
    <n v="77.88"/>
    <n v="2"/>
    <x v="0"/>
    <n v="3.89"/>
    <x v="0"/>
  </r>
  <r>
    <s v="CA-2012-135545"/>
    <x v="8"/>
    <x v="7"/>
    <d v="2012-11-30T00:00:00"/>
    <x v="0"/>
    <x v="8"/>
    <x v="0"/>
    <x v="0"/>
    <x v="0"/>
    <x v="6"/>
    <s v="Verbatim 25 GB 6x Blu-ray Single Layer Recordable Disc, 3/Pack"/>
    <n v="13.98"/>
    <n v="2"/>
    <x v="0"/>
    <n v="6.15"/>
    <x v="0"/>
  </r>
  <r>
    <s v="CA-2011-106376"/>
    <x v="9"/>
    <x v="1"/>
    <d v="2011-12-10T00:00:00"/>
    <x v="0"/>
    <x v="9"/>
    <x v="0"/>
    <x v="5"/>
    <x v="3"/>
    <x v="4"/>
    <s v="Hunt BOSTON Model 1606 High-Volume Electric Pencil Sharpener, Beige"/>
    <n v="1113.02"/>
    <n v="8"/>
    <x v="1"/>
    <n v="111.3"/>
    <x v="1"/>
  </r>
  <r>
    <s v="CA-2011-139451"/>
    <x v="10"/>
    <x v="8"/>
    <d v="2011-10-16T00:00:00"/>
    <x v="0"/>
    <x v="10"/>
    <x v="0"/>
    <x v="3"/>
    <x v="0"/>
    <x v="4"/>
    <s v="Premium Writing Pencils, Soft, #2 by Central Association for the Blind"/>
    <n v="14.9"/>
    <n v="5"/>
    <x v="0"/>
    <n v="4.17"/>
    <x v="0"/>
  </r>
  <r>
    <s v="CA-2013-109806"/>
    <x v="11"/>
    <x v="4"/>
    <d v="2013-09-23T00:00:00"/>
    <x v="0"/>
    <x v="11"/>
    <x v="0"/>
    <x v="0"/>
    <x v="0"/>
    <x v="4"/>
    <s v="Turquoise Lead Holder with Pocket Clip"/>
    <n v="20.100000000000001"/>
    <n v="3"/>
    <x v="0"/>
    <n v="6.63"/>
    <x v="0"/>
  </r>
  <r>
    <s v="US-2014-109484"/>
    <x v="12"/>
    <x v="7"/>
    <d v="2014-11-13T00:00:00"/>
    <x v="0"/>
    <x v="12"/>
    <x v="0"/>
    <x v="6"/>
    <x v="4"/>
    <x v="2"/>
    <s v="Flexible Leather- Look Classic Collection Ring Binder"/>
    <n v="5.68"/>
    <n v="1"/>
    <x v="2"/>
    <n v="-3.79"/>
    <x v="0"/>
  </r>
  <r>
    <s v="CA-2014-157833"/>
    <x v="13"/>
    <x v="0"/>
    <d v="2014-06-21T00:00:00"/>
    <x v="0"/>
    <x v="13"/>
    <x v="0"/>
    <x v="3"/>
    <x v="0"/>
    <x v="2"/>
    <s v="Trimflex Flexible Post Binders"/>
    <n v="51.31"/>
    <n v="3"/>
    <x v="0"/>
    <n v="17.96"/>
    <x v="0"/>
  </r>
  <r>
    <s v="US-2012-156867"/>
    <x v="14"/>
    <x v="7"/>
    <d v="2012-11-17T00:00:00"/>
    <x v="0"/>
    <x v="14"/>
    <x v="0"/>
    <x v="7"/>
    <x v="5"/>
    <x v="6"/>
    <s v="Logitech K350 2.4Ghz Wireless Keyboard"/>
    <n v="238.9"/>
    <n v="6"/>
    <x v="0"/>
    <n v="-26.88"/>
    <x v="0"/>
  </r>
  <r>
    <s v="CA-2012-110457"/>
    <x v="15"/>
    <x v="9"/>
    <d v="2012-03-06T00:00:00"/>
    <x v="0"/>
    <x v="15"/>
    <x v="0"/>
    <x v="1"/>
    <x v="1"/>
    <x v="5"/>
    <s v="Hon Racetrack Conference Tables"/>
    <n v="787.53"/>
    <n v="3"/>
    <x v="0"/>
    <n v="165.38"/>
    <x v="2"/>
  </r>
  <r>
    <s v="US-2014-107272"/>
    <x v="16"/>
    <x v="7"/>
    <d v="2014-11-13T00:00:00"/>
    <x v="1"/>
    <x v="16"/>
    <x v="0"/>
    <x v="8"/>
    <x v="3"/>
    <x v="2"/>
    <s v="Avery Durable Slant Ring Binders, No Labels"/>
    <n v="2.39"/>
    <n v="2"/>
    <x v="0"/>
    <n v="-1.83"/>
    <x v="0"/>
  </r>
  <r>
    <s v="US-2013-125969"/>
    <x v="17"/>
    <x v="7"/>
    <d v="2013-11-11T00:00:00"/>
    <x v="0"/>
    <x v="17"/>
    <x v="0"/>
    <x v="0"/>
    <x v="0"/>
    <x v="7"/>
    <s v="Global Task Chair, Black"/>
    <n v="81.42"/>
    <n v="2"/>
    <x v="0"/>
    <n v="-9.16"/>
    <x v="0"/>
  </r>
  <r>
    <s v="CA-2013-145583"/>
    <x v="18"/>
    <x v="8"/>
    <d v="2013-10-20T00:00:00"/>
    <x v="0"/>
    <x v="18"/>
    <x v="0"/>
    <x v="9"/>
    <x v="0"/>
    <x v="8"/>
    <s v="Xerox 195"/>
    <n v="20.04"/>
    <n v="3"/>
    <x v="0"/>
    <n v="9.6199999999999992"/>
    <x v="0"/>
  </r>
  <r>
    <s v="CA-2014-106180"/>
    <x v="19"/>
    <x v="4"/>
    <d v="2014-09-24T00:00:00"/>
    <x v="0"/>
    <x v="19"/>
    <x v="0"/>
    <x v="3"/>
    <x v="0"/>
    <x v="4"/>
    <s v="Newell 343"/>
    <n v="8.82"/>
    <n v="3"/>
    <x v="0"/>
    <n v="2.38"/>
    <x v="0"/>
  </r>
  <r>
    <s v="CA-2012-110744"/>
    <x v="20"/>
    <x v="4"/>
    <d v="2012-09-12T00:00:00"/>
    <x v="0"/>
    <x v="20"/>
    <x v="0"/>
    <x v="10"/>
    <x v="0"/>
    <x v="3"/>
    <s v="Safco Industrial Wire Shelving"/>
    <n v="671.93"/>
    <n v="7"/>
    <x v="1"/>
    <n v="20.16"/>
    <x v="2"/>
  </r>
  <r>
    <s v="CA-2013-158834"/>
    <x v="21"/>
    <x v="9"/>
    <d v="2013-03-17T00:00:00"/>
    <x v="0"/>
    <x v="21"/>
    <x v="0"/>
    <x v="11"/>
    <x v="3"/>
    <x v="9"/>
    <s v="Belkin 7 Outlet SurgeMaster Surge Protector with Phone Protection"/>
    <n v="157.91999999999999"/>
    <n v="5"/>
    <x v="0"/>
    <n v="17.77"/>
    <x v="0"/>
  </r>
  <r>
    <s v="CA-2012-124919"/>
    <x v="22"/>
    <x v="2"/>
    <d v="2012-06-02T00:00:00"/>
    <x v="0"/>
    <x v="22"/>
    <x v="0"/>
    <x v="12"/>
    <x v="0"/>
    <x v="8"/>
    <s v="Southworth 25% Cotton Antique Laid Paper &amp; Envelopes"/>
    <n v="58.38"/>
    <n v="7"/>
    <x v="1"/>
    <n v="26.27"/>
    <x v="0"/>
  </r>
  <r>
    <s v="CA-2012-118948"/>
    <x v="23"/>
    <x v="2"/>
    <d v="2012-06-03T00:00:00"/>
    <x v="0"/>
    <x v="23"/>
    <x v="0"/>
    <x v="1"/>
    <x v="1"/>
    <x v="4"/>
    <s v="Newell 311"/>
    <n v="6.63"/>
    <n v="3"/>
    <x v="0"/>
    <n v="1.79"/>
    <x v="0"/>
  </r>
  <r>
    <s v="CA-2011-104269"/>
    <x v="24"/>
    <x v="9"/>
    <d v="2011-03-06T00:00:00"/>
    <x v="0"/>
    <x v="24"/>
    <x v="0"/>
    <x v="1"/>
    <x v="1"/>
    <x v="7"/>
    <s v="Global Deluxe High-Back Manager's Chair"/>
    <n v="457.57"/>
    <n v="2"/>
    <x v="0"/>
    <n v="51.48"/>
    <x v="0"/>
  </r>
  <r>
    <s v="CA-2013-162733"/>
    <x v="25"/>
    <x v="2"/>
    <d v="2013-05-13T00:00:00"/>
    <x v="0"/>
    <x v="25"/>
    <x v="0"/>
    <x v="0"/>
    <x v="0"/>
    <x v="8"/>
    <s v="Xerox 1920"/>
    <n v="5.98"/>
    <n v="1"/>
    <x v="2"/>
    <n v="2.69"/>
    <x v="0"/>
  </r>
  <r>
    <s v="CA-2013-154508"/>
    <x v="26"/>
    <x v="7"/>
    <d v="2013-11-21T00:00:00"/>
    <x v="0"/>
    <x v="26"/>
    <x v="0"/>
    <x v="13"/>
    <x v="6"/>
    <x v="10"/>
    <s v="Staples"/>
    <n v="28.4"/>
    <n v="5"/>
    <x v="0"/>
    <n v="13.35"/>
    <x v="0"/>
  </r>
  <r>
    <s v="CA-2013-113817"/>
    <x v="27"/>
    <x v="7"/>
    <d v="2013-11-12T00:00:00"/>
    <x v="0"/>
    <x v="27"/>
    <x v="0"/>
    <x v="1"/>
    <x v="1"/>
    <x v="2"/>
    <s v="Wilson Jones International Size A4 Ring Binders"/>
    <n v="27.68"/>
    <n v="2"/>
    <x v="0"/>
    <n v="9.69"/>
    <x v="0"/>
  </r>
  <r>
    <s v="CA-2011-118962"/>
    <x v="28"/>
    <x v="3"/>
    <d v="2011-08-09T00:00:00"/>
    <x v="0"/>
    <x v="28"/>
    <x v="0"/>
    <x v="0"/>
    <x v="0"/>
    <x v="8"/>
    <s v="Adams Phone Message Book, Professional, 400 Message Capacity, 5 3/6 x 11"/>
    <n v="20.94"/>
    <n v="3"/>
    <x v="0"/>
    <n v="9.84"/>
    <x v="0"/>
  </r>
  <r>
    <s v="CA-2011-123260"/>
    <x v="29"/>
    <x v="3"/>
    <d v="2011-08-30T00:00:00"/>
    <x v="0"/>
    <x v="29"/>
    <x v="0"/>
    <x v="0"/>
    <x v="0"/>
    <x v="6"/>
    <s v="SanDisk Ultra 32 GB MicroSDHC Class 10 Memory Card"/>
    <n v="176.8"/>
    <n v="8"/>
    <x v="1"/>
    <n v="22.98"/>
    <x v="0"/>
  </r>
  <r>
    <s v="CA-2012-131457"/>
    <x v="30"/>
    <x v="8"/>
    <d v="2012-11-06T00:00:00"/>
    <x v="0"/>
    <x v="30"/>
    <x v="0"/>
    <x v="14"/>
    <x v="0"/>
    <x v="10"/>
    <s v="Poly String Tie Envelopes"/>
    <n v="14.28"/>
    <n v="7"/>
    <x v="1"/>
    <n v="6.71"/>
    <x v="0"/>
  </r>
  <r>
    <s v="CA-2011-133690"/>
    <x v="31"/>
    <x v="3"/>
    <d v="2011-08-05T00:00:00"/>
    <x v="0"/>
    <x v="31"/>
    <x v="0"/>
    <x v="15"/>
    <x v="5"/>
    <x v="5"/>
    <s v="BoxOffice By Design Rectangular and Half-Moon Meeting Room Tables"/>
    <n v="218.75"/>
    <n v="2"/>
    <x v="0"/>
    <n v="-161.88"/>
    <x v="0"/>
  </r>
  <r>
    <s v="CA-2014-108329"/>
    <x v="32"/>
    <x v="1"/>
    <d v="2014-12-15T00:00:00"/>
    <x v="0"/>
    <x v="32"/>
    <x v="0"/>
    <x v="16"/>
    <x v="0"/>
    <x v="11"/>
    <s v="Nortel Business Series Terminal T7208 Digital phone"/>
    <n v="444.77"/>
    <n v="4"/>
    <x v="0"/>
    <n v="44.48"/>
    <x v="0"/>
  </r>
  <r>
    <s v="CA-2013-130162"/>
    <x v="33"/>
    <x v="8"/>
    <d v="2013-11-02T00:00:00"/>
    <x v="0"/>
    <x v="33"/>
    <x v="0"/>
    <x v="0"/>
    <x v="0"/>
    <x v="3"/>
    <s v="Personal Filing Tote with Lid, Black/Gray"/>
    <n v="93.06"/>
    <n v="6"/>
    <x v="0"/>
    <n v="26.06"/>
    <x v="0"/>
  </r>
  <r>
    <s v="CA-2014-160514"/>
    <x v="34"/>
    <x v="7"/>
    <d v="2014-11-17T00:00:00"/>
    <x v="0"/>
    <x v="34"/>
    <x v="0"/>
    <x v="17"/>
    <x v="0"/>
    <x v="8"/>
    <s v="Xerox 4200 Series MultiUse Premium Copy Paper (20Lb. and 84 Bright)"/>
    <n v="10.56"/>
    <n v="2"/>
    <x v="0"/>
    <n v="4.75"/>
    <x v="0"/>
  </r>
  <r>
    <s v="CA-2013-154739"/>
    <x v="35"/>
    <x v="1"/>
    <d v="2013-12-16T00:00:00"/>
    <x v="0"/>
    <x v="35"/>
    <x v="0"/>
    <x v="3"/>
    <x v="0"/>
    <x v="7"/>
    <s v="Global Leather Highback Executive Chair with Pneumatic Height Adjustment, Black"/>
    <n v="321.57"/>
    <n v="2"/>
    <x v="0"/>
    <n v="28.14"/>
    <x v="0"/>
  </r>
  <r>
    <s v="CA-2013-145625"/>
    <x v="36"/>
    <x v="4"/>
    <d v="2013-09-18T00:00:00"/>
    <x v="0"/>
    <x v="36"/>
    <x v="0"/>
    <x v="18"/>
    <x v="0"/>
    <x v="8"/>
    <s v="Wirebound Message Books, Two 4 1/4&quot; x 5&quot; Forms per Page"/>
    <n v="7.61"/>
    <n v="1"/>
    <x v="2"/>
    <n v="3.58"/>
    <x v="0"/>
  </r>
  <r>
    <s v="CA-2012-155040"/>
    <x v="37"/>
    <x v="7"/>
    <d v="2012-11-15T00:00:00"/>
    <x v="0"/>
    <x v="37"/>
    <x v="0"/>
    <x v="19"/>
    <x v="0"/>
    <x v="6"/>
    <s v="Microsoft Sculpt Comfort Mouse"/>
    <n v="79.900000000000006"/>
    <n v="2"/>
    <x v="0"/>
    <n v="35.159999999999997"/>
    <x v="0"/>
  </r>
  <r>
    <s v="CA-2014-163979"/>
    <x v="38"/>
    <x v="1"/>
    <d v="2015-01-03T00:00:00"/>
    <x v="0"/>
    <x v="38"/>
    <x v="0"/>
    <x v="3"/>
    <x v="0"/>
    <x v="3"/>
    <s v="Adjustable Depth Letter/Legal Cart"/>
    <n v="725.84"/>
    <n v="4"/>
    <x v="0"/>
    <n v="210.49"/>
    <x v="2"/>
  </r>
  <r>
    <s v="CA-2012-155334"/>
    <x v="39"/>
    <x v="6"/>
    <d v="2012-07-31T00:00:00"/>
    <x v="0"/>
    <x v="20"/>
    <x v="0"/>
    <x v="3"/>
    <x v="0"/>
    <x v="6"/>
    <s v="Logitech 910-002974 M325 Wireless Mouse for Web Scrolling"/>
    <n v="209.93"/>
    <n v="7"/>
    <x v="1"/>
    <n v="92.37"/>
    <x v="0"/>
  </r>
  <r>
    <s v="CA-2014-118136"/>
    <x v="40"/>
    <x v="4"/>
    <d v="2014-09-18T00:00:00"/>
    <x v="0"/>
    <x v="39"/>
    <x v="0"/>
    <x v="20"/>
    <x v="0"/>
    <x v="8"/>
    <s v="Ampad Gold Fibre Wirebound Steno Books, 6&quot; x 9&quot;, Gregg Ruled"/>
    <n v="8.82"/>
    <n v="2"/>
    <x v="0"/>
    <n v="4.0599999999999996"/>
    <x v="0"/>
  </r>
  <r>
    <s v="CA-2012-130890"/>
    <x v="41"/>
    <x v="7"/>
    <d v="2012-11-06T00:00:00"/>
    <x v="0"/>
    <x v="40"/>
    <x v="0"/>
    <x v="0"/>
    <x v="0"/>
    <x v="5"/>
    <s v="Bevis Round Bullnose 29&quot; High Table Top"/>
    <n v="1038.8399999999999"/>
    <n v="5"/>
    <x v="0"/>
    <n v="51.94"/>
    <x v="1"/>
  </r>
  <r>
    <s v="CA-2012-130883"/>
    <x v="42"/>
    <x v="4"/>
    <d v="2012-10-02T00:00:00"/>
    <x v="0"/>
    <x v="41"/>
    <x v="0"/>
    <x v="6"/>
    <x v="4"/>
    <x v="8"/>
    <s v="Staples"/>
    <n v="141.76"/>
    <n v="5"/>
    <x v="0"/>
    <n v="47.84"/>
    <x v="0"/>
  </r>
  <r>
    <s v="CA-2011-111451"/>
    <x v="43"/>
    <x v="1"/>
    <d v="2011-12-28T00:00:00"/>
    <x v="0"/>
    <x v="42"/>
    <x v="0"/>
    <x v="21"/>
    <x v="5"/>
    <x v="1"/>
    <s v="Howard Miller 13&quot; Diameter Goldtone Round Wall Clock"/>
    <n v="300.42"/>
    <n v="8"/>
    <x v="1"/>
    <n v="78.86"/>
    <x v="0"/>
  </r>
  <r>
    <s v="CA-2013-142902"/>
    <x v="44"/>
    <x v="4"/>
    <d v="2013-09-15T00:00:00"/>
    <x v="0"/>
    <x v="43"/>
    <x v="0"/>
    <x v="22"/>
    <x v="5"/>
    <x v="1"/>
    <s v="C-Line Cubicle Keepers Polyproplyene Holder With Velcro Backings"/>
    <n v="15.14"/>
    <n v="4"/>
    <x v="0"/>
    <n v="3.59"/>
    <x v="0"/>
  </r>
  <r>
    <s v="CA-2011-156601"/>
    <x v="45"/>
    <x v="4"/>
    <d v="2011-09-24T00:00:00"/>
    <x v="0"/>
    <x v="44"/>
    <x v="0"/>
    <x v="23"/>
    <x v="0"/>
    <x v="12"/>
    <s v="OIC Binder Clips"/>
    <n v="7.16"/>
    <n v="2"/>
    <x v="0"/>
    <n v="3.58"/>
    <x v="0"/>
  </r>
  <r>
    <s v="CA-2013-162138"/>
    <x v="46"/>
    <x v="10"/>
    <d v="2013-04-28T00:00:00"/>
    <x v="0"/>
    <x v="45"/>
    <x v="0"/>
    <x v="24"/>
    <x v="0"/>
    <x v="2"/>
    <s v="Ibico Laser Imprintable Binding System Covers"/>
    <n v="251.52"/>
    <n v="6"/>
    <x v="0"/>
    <n v="81.739999999999995"/>
    <x v="0"/>
  </r>
  <r>
    <s v="CA-2012-137946"/>
    <x v="47"/>
    <x v="4"/>
    <d v="2012-09-04T00:00:00"/>
    <x v="0"/>
    <x v="46"/>
    <x v="0"/>
    <x v="0"/>
    <x v="0"/>
    <x v="2"/>
    <s v="Storex Dura Pro Binders"/>
    <n v="4.75"/>
    <n v="1"/>
    <x v="2"/>
    <n v="1.6"/>
    <x v="0"/>
  </r>
  <r>
    <s v="CA-2011-129924"/>
    <x v="48"/>
    <x v="6"/>
    <d v="2011-07-17T00:00:00"/>
    <x v="0"/>
    <x v="47"/>
    <x v="0"/>
    <x v="3"/>
    <x v="0"/>
    <x v="2"/>
    <s v="Tuff Stuff Recycled Round Ring Binders"/>
    <n v="7.71"/>
    <n v="2"/>
    <x v="0"/>
    <n v="2.8"/>
    <x v="0"/>
  </r>
  <r>
    <s v="CA-2012-128167"/>
    <x v="49"/>
    <x v="0"/>
    <d v="2012-06-26T00:00:00"/>
    <x v="0"/>
    <x v="48"/>
    <x v="0"/>
    <x v="25"/>
    <x v="2"/>
    <x v="12"/>
    <s v="OIC Binder Clips, Mini, 1/4&quot; Capacity, Black"/>
    <n v="4.96"/>
    <n v="4"/>
    <x v="0"/>
    <n v="2.33"/>
    <x v="0"/>
  </r>
  <r>
    <s v="CA-2014-169901"/>
    <x v="50"/>
    <x v="0"/>
    <d v="2014-06-20T00:00:00"/>
    <x v="0"/>
    <x v="49"/>
    <x v="0"/>
    <x v="3"/>
    <x v="0"/>
    <x v="11"/>
    <s v="Anker 36W 4-Port USB Wall Charger Travel Power Adapter for iPhone 5s 5c 5"/>
    <n v="47.98"/>
    <n v="3"/>
    <x v="0"/>
    <n v="4.8"/>
    <x v="0"/>
  </r>
  <r>
    <s v="CA-2011-123344"/>
    <x v="51"/>
    <x v="4"/>
    <d v="2011-09-29T00:00:00"/>
    <x v="0"/>
    <x v="50"/>
    <x v="0"/>
    <x v="3"/>
    <x v="0"/>
    <x v="3"/>
    <s v="Gould Plastics 9-Pocket Panel Bin, 18-3/8w x 5-1/4d x 20-1/2h, Black"/>
    <n v="211.96"/>
    <n v="4"/>
    <x v="0"/>
    <n v="8.48"/>
    <x v="0"/>
  </r>
  <r>
    <s v="US-2011-119137"/>
    <x v="52"/>
    <x v="6"/>
    <d v="2011-07-27T00:00:00"/>
    <x v="0"/>
    <x v="51"/>
    <x v="0"/>
    <x v="26"/>
    <x v="3"/>
    <x v="2"/>
    <s v="Wilson Jones Custom Binder Spines &amp; Labels"/>
    <n v="8.16"/>
    <n v="5"/>
    <x v="0"/>
    <n v="-5.71"/>
    <x v="0"/>
  </r>
  <r>
    <s v="CA-2013-134775"/>
    <x v="33"/>
    <x v="8"/>
    <d v="2013-10-30T00:00:00"/>
    <x v="0"/>
    <x v="52"/>
    <x v="0"/>
    <x v="3"/>
    <x v="0"/>
    <x v="8"/>
    <s v="Southworth Structures Collection"/>
    <n v="50.96"/>
    <n v="7"/>
    <x v="1"/>
    <n v="25.48"/>
    <x v="0"/>
  </r>
  <r>
    <s v="US-2011-135972"/>
    <x v="53"/>
    <x v="4"/>
    <d v="2011-09-23T00:00:00"/>
    <x v="0"/>
    <x v="53"/>
    <x v="0"/>
    <x v="27"/>
    <x v="1"/>
    <x v="11"/>
    <s v="Nortel Meridian M3904 Professional Digital phone"/>
    <n v="246.38"/>
    <n v="2"/>
    <x v="0"/>
    <n v="27.72"/>
    <x v="0"/>
  </r>
  <r>
    <s v="CA-2014-102946"/>
    <x v="54"/>
    <x v="6"/>
    <d v="2014-07-06T00:00:00"/>
    <x v="0"/>
    <x v="54"/>
    <x v="0"/>
    <x v="28"/>
    <x v="7"/>
    <x v="2"/>
    <s v="Tuf-Vin Binders"/>
    <n v="75.790000000000006"/>
    <n v="3"/>
    <x v="0"/>
    <n v="25.58"/>
    <x v="0"/>
  </r>
  <r>
    <s v="CA-2014-117457"/>
    <x v="55"/>
    <x v="1"/>
    <d v="2014-12-13T00:00:00"/>
    <x v="0"/>
    <x v="55"/>
    <x v="0"/>
    <x v="3"/>
    <x v="0"/>
    <x v="6"/>
    <s v="Sony 64GB Class 10 Micro SDHC R40 Memory Card"/>
    <n v="179.95"/>
    <n v="5"/>
    <x v="0"/>
    <n v="37.79"/>
    <x v="0"/>
  </r>
  <r>
    <s v="CA-2014-142636"/>
    <x v="56"/>
    <x v="7"/>
    <d v="2014-11-08T00:00:00"/>
    <x v="0"/>
    <x v="56"/>
    <x v="0"/>
    <x v="1"/>
    <x v="1"/>
    <x v="8"/>
    <s v="Xerox 191"/>
    <n v="139.86000000000001"/>
    <n v="7"/>
    <x v="1"/>
    <n v="65.73"/>
    <x v="0"/>
  </r>
  <r>
    <s v="CA-2014-122105"/>
    <x v="57"/>
    <x v="0"/>
    <d v="2014-06-29T00:00:00"/>
    <x v="0"/>
    <x v="57"/>
    <x v="0"/>
    <x v="29"/>
    <x v="0"/>
    <x v="4"/>
    <s v="Bulldog Vacuum Base Pencil Sharpener"/>
    <n v="95.92"/>
    <n v="8"/>
    <x v="1"/>
    <n v="25.9"/>
    <x v="0"/>
  </r>
  <r>
    <s v="CA-2013-148796"/>
    <x v="58"/>
    <x v="10"/>
    <d v="2013-04-19T00:00:00"/>
    <x v="0"/>
    <x v="58"/>
    <x v="0"/>
    <x v="0"/>
    <x v="0"/>
    <x v="7"/>
    <s v="Bevis Steel Folding Chairs"/>
    <n v="383.8"/>
    <n v="5"/>
    <x v="0"/>
    <n v="38.380000000000003"/>
    <x v="0"/>
  </r>
  <r>
    <s v="CA-2014-110478"/>
    <x v="59"/>
    <x v="9"/>
    <d v="2014-03-10T00:00:00"/>
    <x v="0"/>
    <x v="59"/>
    <x v="0"/>
    <x v="0"/>
    <x v="0"/>
    <x v="4"/>
    <s v="American Pencil"/>
    <n v="9.32"/>
    <n v="4"/>
    <x v="0"/>
    <n v="2.7"/>
    <x v="0"/>
  </r>
  <r>
    <s v="CA-2011-142048"/>
    <x v="60"/>
    <x v="0"/>
    <d v="2011-06-25T00:00:00"/>
    <x v="0"/>
    <x v="60"/>
    <x v="0"/>
    <x v="30"/>
    <x v="5"/>
    <x v="6"/>
    <s v="KeyTronic 6101 Series - Keyboard - Black"/>
    <n v="196.75"/>
    <n v="6"/>
    <x v="0"/>
    <n v="56.57"/>
    <x v="0"/>
  </r>
  <r>
    <s v="US-2011-110674"/>
    <x v="61"/>
    <x v="11"/>
    <d v="2011-02-19T00:00:00"/>
    <x v="0"/>
    <x v="61"/>
    <x v="0"/>
    <x v="31"/>
    <x v="0"/>
    <x v="7"/>
    <s v="Global Geo Office Task Chair, Gray"/>
    <n v="129.57"/>
    <n v="2"/>
    <x v="0"/>
    <n v="-24.29"/>
    <x v="0"/>
  </r>
  <r>
    <s v="CA-2012-109638"/>
    <x v="62"/>
    <x v="1"/>
    <d v="2012-12-22T00:00:00"/>
    <x v="1"/>
    <x v="62"/>
    <x v="0"/>
    <x v="1"/>
    <x v="1"/>
    <x v="9"/>
    <s v="3M Office Air Cleaner"/>
    <n v="103.92"/>
    <n v="4"/>
    <x v="0"/>
    <n v="36.369999999999997"/>
    <x v="0"/>
  </r>
  <r>
    <s v="CA-2013-109869"/>
    <x v="63"/>
    <x v="10"/>
    <d v="2013-04-30T00:00:00"/>
    <x v="1"/>
    <x v="63"/>
    <x v="0"/>
    <x v="8"/>
    <x v="3"/>
    <x v="1"/>
    <s v="Eldon Wave Desk Accessories"/>
    <n v="23.56"/>
    <n v="5"/>
    <x v="0"/>
    <n v="7.07"/>
    <x v="0"/>
  </r>
  <r>
    <s v="CA-2011-144666"/>
    <x v="64"/>
    <x v="7"/>
    <d v="2011-11-11T00:00:00"/>
    <x v="0"/>
    <x v="64"/>
    <x v="0"/>
    <x v="3"/>
    <x v="0"/>
    <x v="3"/>
    <s v="SAFCO Boltless Steel Shelving"/>
    <n v="340.92"/>
    <n v="3"/>
    <x v="0"/>
    <n v="3.41"/>
    <x v="0"/>
  </r>
  <r>
    <s v="CA-2013-103891"/>
    <x v="65"/>
    <x v="6"/>
    <d v="2013-07-20T00:00:00"/>
    <x v="1"/>
    <x v="38"/>
    <x v="0"/>
    <x v="0"/>
    <x v="0"/>
    <x v="11"/>
    <s v="Cisco SPA525G2 IP Phone - Wireless"/>
    <n v="95.76"/>
    <n v="6"/>
    <x v="0"/>
    <n v="7.18"/>
    <x v="0"/>
  </r>
  <r>
    <s v="CA-2011-134677"/>
    <x v="66"/>
    <x v="8"/>
    <d v="2011-10-10T00:00:00"/>
    <x v="0"/>
    <x v="65"/>
    <x v="0"/>
    <x v="18"/>
    <x v="0"/>
    <x v="6"/>
    <s v="Imation USB 2.0 Swivel Flash Drive USB flash drive - 4 GB - Pink"/>
    <n v="9.09"/>
    <n v="3"/>
    <x v="0"/>
    <n v="1.91"/>
    <x v="0"/>
  </r>
  <r>
    <s v="CA-2014-140963"/>
    <x v="67"/>
    <x v="0"/>
    <d v="2014-06-14T00:00:00"/>
    <x v="0"/>
    <x v="66"/>
    <x v="0"/>
    <x v="0"/>
    <x v="0"/>
    <x v="0"/>
    <s v="Alphabetical Labels for Top Tab Filing"/>
    <n v="29.6"/>
    <n v="2"/>
    <x v="0"/>
    <n v="14.8"/>
    <x v="0"/>
  </r>
  <r>
    <s v="CA-2013-169166"/>
    <x v="68"/>
    <x v="2"/>
    <d v="2013-05-15T00:00:00"/>
    <x v="0"/>
    <x v="67"/>
    <x v="0"/>
    <x v="1"/>
    <x v="1"/>
    <x v="6"/>
    <s v="Sony Micro Vault Click 8 GB USB 2.0 Flash Drive"/>
    <n v="93.98"/>
    <n v="2"/>
    <x v="0"/>
    <n v="13.16"/>
    <x v="0"/>
  </r>
  <r>
    <s v="CA-2013-126158"/>
    <x v="69"/>
    <x v="6"/>
    <d v="2013-08-01T00:00:00"/>
    <x v="0"/>
    <x v="61"/>
    <x v="0"/>
    <x v="32"/>
    <x v="0"/>
    <x v="2"/>
    <s v="Clear Mylar Reinforcing Strips"/>
    <n v="119.62"/>
    <n v="8"/>
    <x v="1"/>
    <n v="40.369999999999997"/>
    <x v="0"/>
  </r>
  <r>
    <s v="US-2013-105578"/>
    <x v="70"/>
    <x v="2"/>
    <d v="2013-06-05T00:00:00"/>
    <x v="0"/>
    <x v="68"/>
    <x v="0"/>
    <x v="33"/>
    <x v="5"/>
    <x v="2"/>
    <s v="Vinyl Sectional Post Binders"/>
    <n v="22.62"/>
    <n v="2"/>
    <x v="0"/>
    <n v="-15.08"/>
    <x v="0"/>
  </r>
  <r>
    <s v="CA-2014-163405"/>
    <x v="71"/>
    <x v="1"/>
    <d v="2014-12-26T00:00:00"/>
    <x v="0"/>
    <x v="69"/>
    <x v="0"/>
    <x v="0"/>
    <x v="0"/>
    <x v="4"/>
    <s v="Newell 327"/>
    <n v="6.63"/>
    <n v="3"/>
    <x v="0"/>
    <n v="1.79"/>
    <x v="0"/>
  </r>
  <r>
    <s v="CA-2014-127432"/>
    <x v="72"/>
    <x v="5"/>
    <d v="2014-01-28T00:00:00"/>
    <x v="0"/>
    <x v="70"/>
    <x v="0"/>
    <x v="34"/>
    <x v="8"/>
    <x v="13"/>
    <s v="Canon Image Class D660 Copier"/>
    <n v="2999.95"/>
    <n v="5"/>
    <x v="0"/>
    <n v="1379.98"/>
    <x v="1"/>
  </r>
  <r>
    <s v="US-2013-139486"/>
    <x v="73"/>
    <x v="2"/>
    <d v="2013-05-24T00:00:00"/>
    <x v="0"/>
    <x v="35"/>
    <x v="0"/>
    <x v="0"/>
    <x v="0"/>
    <x v="11"/>
    <s v="Motorola HK250 Universal Bluetooth Headset"/>
    <n v="55.18"/>
    <n v="3"/>
    <x v="0"/>
    <n v="-12.41"/>
    <x v="0"/>
  </r>
  <r>
    <s v="CA-2012-102848"/>
    <x v="74"/>
    <x v="7"/>
    <d v="2012-11-09T00:00:00"/>
    <x v="0"/>
    <x v="71"/>
    <x v="0"/>
    <x v="0"/>
    <x v="0"/>
    <x v="7"/>
    <s v="Safco Contoured Stacking Chairs"/>
    <n v="190.72"/>
    <n v="1"/>
    <x v="2"/>
    <n v="11.92"/>
    <x v="0"/>
  </r>
  <r>
    <s v="US-2014-129441"/>
    <x v="75"/>
    <x v="4"/>
    <d v="2014-09-12T00:00:00"/>
    <x v="0"/>
    <x v="72"/>
    <x v="0"/>
    <x v="0"/>
    <x v="0"/>
    <x v="1"/>
    <s v="Tenex Chairmats For Use With Carpeted Floors"/>
    <n v="47.94"/>
    <n v="3"/>
    <x v="0"/>
    <n v="2.4"/>
    <x v="0"/>
  </r>
  <r>
    <s v="CA-2013-126613"/>
    <x v="76"/>
    <x v="6"/>
    <d v="2013-07-17T00:00:00"/>
    <x v="0"/>
    <x v="73"/>
    <x v="0"/>
    <x v="35"/>
    <x v="3"/>
    <x v="3"/>
    <s v="Sterilite Officeware Hinged File Box"/>
    <n v="16.77"/>
    <n v="2"/>
    <x v="0"/>
    <n v="1.47"/>
    <x v="0"/>
  </r>
  <r>
    <s v="CA-2013-136924"/>
    <x v="77"/>
    <x v="6"/>
    <d v="2013-07-18T00:00:00"/>
    <x v="0"/>
    <x v="74"/>
    <x v="0"/>
    <x v="26"/>
    <x v="3"/>
    <x v="11"/>
    <s v="LG Electronics Tone+ HBS-730 Bluetooth Headset"/>
    <n v="380.86"/>
    <n v="8"/>
    <x v="1"/>
    <n v="38.090000000000003"/>
    <x v="0"/>
  </r>
  <r>
    <s v="CA-2013-136406"/>
    <x v="78"/>
    <x v="10"/>
    <d v="2013-04-18T00:00:00"/>
    <x v="0"/>
    <x v="75"/>
    <x v="0"/>
    <x v="3"/>
    <x v="0"/>
    <x v="7"/>
    <s v="HON 5400 Series Task Chairs for Big and Tall"/>
    <n v="1121.57"/>
    <n v="2"/>
    <x v="0"/>
    <n v="0"/>
    <x v="1"/>
  </r>
  <r>
    <s v="CA-2014-100650"/>
    <x v="79"/>
    <x v="0"/>
    <d v="2014-07-04T00:00:00"/>
    <x v="0"/>
    <x v="76"/>
    <x v="0"/>
    <x v="36"/>
    <x v="0"/>
    <x v="3"/>
    <s v="Tennsco 16-Compartment Lockers with Coat Rack"/>
    <n v="1295.78"/>
    <n v="2"/>
    <x v="0"/>
    <n v="310.99"/>
    <x v="1"/>
  </r>
  <r>
    <s v="CA-2013-113243"/>
    <x v="80"/>
    <x v="0"/>
    <d v="2013-06-16T00:00:00"/>
    <x v="0"/>
    <x v="77"/>
    <x v="0"/>
    <x v="0"/>
    <x v="0"/>
    <x v="0"/>
    <s v="Avery 473"/>
    <n v="20.7"/>
    <n v="2"/>
    <x v="0"/>
    <n v="9.94"/>
    <x v="0"/>
  </r>
  <r>
    <s v="CA-2014-118731"/>
    <x v="81"/>
    <x v="7"/>
    <d v="2014-11-23T00:00:00"/>
    <x v="0"/>
    <x v="78"/>
    <x v="0"/>
    <x v="3"/>
    <x v="0"/>
    <x v="1"/>
    <s v="Coloredge Poster Frame"/>
    <n v="42.6"/>
    <n v="3"/>
    <x v="0"/>
    <n v="16.61"/>
    <x v="0"/>
  </r>
  <r>
    <s v="CA-2012-130736"/>
    <x v="82"/>
    <x v="1"/>
    <d v="2012-12-09T00:00:00"/>
    <x v="0"/>
    <x v="79"/>
    <x v="0"/>
    <x v="1"/>
    <x v="1"/>
    <x v="12"/>
    <s v="Alliance Big Bands Rubber Bands, 12/Pack"/>
    <n v="3.96"/>
    <n v="2"/>
    <x v="0"/>
    <n v="0"/>
    <x v="0"/>
  </r>
  <r>
    <s v="CA-2014-137099"/>
    <x v="83"/>
    <x v="1"/>
    <d v="2014-12-11T00:00:00"/>
    <x v="0"/>
    <x v="80"/>
    <x v="0"/>
    <x v="0"/>
    <x v="0"/>
    <x v="11"/>
    <s v="Cisco SPA301"/>
    <n v="374.38"/>
    <n v="3"/>
    <x v="0"/>
    <n v="46.8"/>
    <x v="0"/>
  </r>
  <r>
    <s v="CA-2014-156951"/>
    <x v="84"/>
    <x v="8"/>
    <d v="2014-10-09T00:00:00"/>
    <x v="1"/>
    <x v="81"/>
    <x v="0"/>
    <x v="1"/>
    <x v="1"/>
    <x v="8"/>
    <s v="Personal Creations Ink Jet Cards and Labels"/>
    <n v="91.84"/>
    <n v="8"/>
    <x v="1"/>
    <n v="45"/>
    <x v="0"/>
  </r>
  <r>
    <s v="CA-2013-127250"/>
    <x v="85"/>
    <x v="7"/>
    <d v="2013-11-08T00:00:00"/>
    <x v="0"/>
    <x v="82"/>
    <x v="0"/>
    <x v="37"/>
    <x v="1"/>
    <x v="4"/>
    <s v="Newell 332"/>
    <n v="8.82"/>
    <n v="3"/>
    <x v="0"/>
    <n v="2.38"/>
    <x v="0"/>
  </r>
  <r>
    <s v="CA-2012-149713"/>
    <x v="86"/>
    <x v="4"/>
    <d v="2012-09-22T00:00:00"/>
    <x v="0"/>
    <x v="83"/>
    <x v="0"/>
    <x v="23"/>
    <x v="0"/>
    <x v="8"/>
    <s v="Personal Creations Ink Jet Cards and Labels"/>
    <n v="160.72"/>
    <n v="14"/>
    <x v="1"/>
    <n v="78.75"/>
    <x v="0"/>
  </r>
  <r>
    <s v="CA-2012-132906"/>
    <x v="87"/>
    <x v="4"/>
    <d v="2012-09-14T00:00:00"/>
    <x v="0"/>
    <x v="84"/>
    <x v="0"/>
    <x v="0"/>
    <x v="0"/>
    <x v="14"/>
    <s v="Martin-Yale Premier Letter Opener"/>
    <n v="51.52"/>
    <n v="4"/>
    <x v="0"/>
    <n v="1.55"/>
    <x v="0"/>
  </r>
  <r>
    <s v="CA-2014-145233"/>
    <x v="88"/>
    <x v="1"/>
    <d v="2014-12-06T00:00:00"/>
    <x v="0"/>
    <x v="85"/>
    <x v="0"/>
    <x v="15"/>
    <x v="5"/>
    <x v="11"/>
    <s v="GE 30524EE4"/>
    <n v="470.38"/>
    <n v="3"/>
    <x v="0"/>
    <n v="52.92"/>
    <x v="0"/>
  </r>
  <r>
    <s v="US-2013-156986"/>
    <x v="89"/>
    <x v="9"/>
    <d v="2013-03-25T00:00:00"/>
    <x v="0"/>
    <x v="86"/>
    <x v="0"/>
    <x v="38"/>
    <x v="4"/>
    <x v="11"/>
    <s v="i.Sound Portable Power - 8000 mAh"/>
    <n v="84.78"/>
    <n v="2"/>
    <x v="0"/>
    <n v="-20.14"/>
    <x v="0"/>
  </r>
  <r>
    <s v="CA-2011-131450"/>
    <x v="90"/>
    <x v="3"/>
    <d v="2011-08-15T00:00:00"/>
    <x v="1"/>
    <x v="87"/>
    <x v="0"/>
    <x v="18"/>
    <x v="0"/>
    <x v="9"/>
    <s v="Fellowes Superior 10 Outlet Split Surge Protector"/>
    <n v="76.12"/>
    <n v="2"/>
    <x v="0"/>
    <n v="22.07"/>
    <x v="0"/>
  </r>
  <r>
    <s v="CA-2014-153787"/>
    <x v="91"/>
    <x v="2"/>
    <d v="2014-05-24T00:00:00"/>
    <x v="0"/>
    <x v="88"/>
    <x v="0"/>
    <x v="1"/>
    <x v="1"/>
    <x v="9"/>
    <s v="Belkin Premiere Surge Master II 8-outlet surge protector"/>
    <n v="97.16"/>
    <n v="2"/>
    <x v="0"/>
    <n v="28.18"/>
    <x v="0"/>
  </r>
  <r>
    <s v="CA-2014-133431"/>
    <x v="92"/>
    <x v="1"/>
    <d v="2014-12-22T00:00:00"/>
    <x v="0"/>
    <x v="89"/>
    <x v="0"/>
    <x v="3"/>
    <x v="0"/>
    <x v="2"/>
    <s v="Acco Pressboard Covers with Storage Hooks, 9 1/2&quot; x 11&quot;, Executive Red"/>
    <n v="15.24"/>
    <n v="5"/>
    <x v="0"/>
    <n v="5.14"/>
    <x v="0"/>
  </r>
  <r>
    <s v="US-2013-135720"/>
    <x v="93"/>
    <x v="1"/>
    <d v="2013-12-14T00:00:00"/>
    <x v="0"/>
    <x v="90"/>
    <x v="0"/>
    <x v="7"/>
    <x v="5"/>
    <x v="3"/>
    <s v="Tennsco Regal Shelving Units"/>
    <n v="243.38"/>
    <n v="3"/>
    <x v="0"/>
    <n v="-51.72"/>
    <x v="0"/>
  </r>
  <r>
    <s v="US-2013-123470"/>
    <x v="94"/>
    <x v="3"/>
    <d v="2013-08-22T00:00:00"/>
    <x v="0"/>
    <x v="91"/>
    <x v="0"/>
    <x v="7"/>
    <x v="5"/>
    <x v="2"/>
    <s v="Premium Transparent Presentation Covers by GBC"/>
    <n v="18.88"/>
    <n v="3"/>
    <x v="0"/>
    <n v="-13.85"/>
    <x v="0"/>
  </r>
  <r>
    <s v="CA-2013-115917"/>
    <x v="95"/>
    <x v="2"/>
    <d v="2013-05-26T00:00:00"/>
    <x v="0"/>
    <x v="92"/>
    <x v="0"/>
    <x v="39"/>
    <x v="0"/>
    <x v="1"/>
    <s v="Luxo Professional Fluorescent Magnifier Lamp with Clamp-Mount Base"/>
    <n v="1049.2"/>
    <n v="5"/>
    <x v="0"/>
    <n v="272.79000000000002"/>
    <x v="1"/>
  </r>
  <r>
    <s v="CA-2014-167913"/>
    <x v="96"/>
    <x v="6"/>
    <d v="2014-08-04T00:00:00"/>
    <x v="0"/>
    <x v="93"/>
    <x v="0"/>
    <x v="40"/>
    <x v="0"/>
    <x v="3"/>
    <s v="Economy Rollaway Files"/>
    <n v="330.4"/>
    <n v="2"/>
    <x v="0"/>
    <n v="85.9"/>
    <x v="0"/>
  </r>
  <r>
    <s v="CA-2013-103947"/>
    <x v="97"/>
    <x v="10"/>
    <d v="2013-04-09T00:00:00"/>
    <x v="1"/>
    <x v="39"/>
    <x v="0"/>
    <x v="41"/>
    <x v="3"/>
    <x v="12"/>
    <s v="Staples"/>
    <n v="31.56"/>
    <n v="5"/>
    <x v="0"/>
    <n v="9.86"/>
    <x v="0"/>
  </r>
  <r>
    <s v="CA-2013-160745"/>
    <x v="93"/>
    <x v="1"/>
    <d v="2013-12-17T00:00:00"/>
    <x v="0"/>
    <x v="94"/>
    <x v="0"/>
    <x v="42"/>
    <x v="1"/>
    <x v="1"/>
    <s v="3M Hangers With Command Adhesive"/>
    <n v="14.8"/>
    <n v="4"/>
    <x v="0"/>
    <n v="6.07"/>
    <x v="0"/>
  </r>
  <r>
    <s v="CA-2012-131534"/>
    <x v="98"/>
    <x v="9"/>
    <d v="2012-04-02T00:00:00"/>
    <x v="0"/>
    <x v="95"/>
    <x v="0"/>
    <x v="0"/>
    <x v="0"/>
    <x v="6"/>
    <s v="Imation Bio 8GB USB Flash Drive Imation Corp"/>
    <n v="166.24"/>
    <n v="1"/>
    <x v="2"/>
    <n v="24.94"/>
    <x v="0"/>
  </r>
  <r>
    <s v="CA-2013-163755"/>
    <x v="99"/>
    <x v="7"/>
    <d v="2013-11-09T00:00:00"/>
    <x v="0"/>
    <x v="52"/>
    <x v="0"/>
    <x v="1"/>
    <x v="1"/>
    <x v="1"/>
    <s v="Tenex &quot;The Solids&quot; Textured Chair Mats"/>
    <n v="209.88"/>
    <n v="3"/>
    <x v="0"/>
    <n v="35.68"/>
    <x v="0"/>
  </r>
  <r>
    <s v="CA-2012-142027"/>
    <x v="100"/>
    <x v="10"/>
    <d v="2012-04-14T00:00:00"/>
    <x v="0"/>
    <x v="96"/>
    <x v="0"/>
    <x v="23"/>
    <x v="0"/>
    <x v="5"/>
    <s v="Laminate Occasional Tables"/>
    <n v="369.91"/>
    <n v="3"/>
    <x v="0"/>
    <n v="-13.87"/>
    <x v="0"/>
  </r>
  <r>
    <s v="CA-2011-153150"/>
    <x v="101"/>
    <x v="6"/>
    <d v="2011-07-06T00:00:00"/>
    <x v="0"/>
    <x v="97"/>
    <x v="0"/>
    <x v="1"/>
    <x v="1"/>
    <x v="2"/>
    <s v="Cardinal Holdit Business Card Pockets"/>
    <n v="19.920000000000002"/>
    <n v="5"/>
    <x v="0"/>
    <n v="6.97"/>
    <x v="0"/>
  </r>
  <r>
    <s v="CA-2011-104472"/>
    <x v="102"/>
    <x v="0"/>
    <d v="2011-06-07T00:00:00"/>
    <x v="0"/>
    <x v="98"/>
    <x v="0"/>
    <x v="4"/>
    <x v="2"/>
    <x v="2"/>
    <s v="GBC Standard Therm-A-Bind Covers"/>
    <n v="59.81"/>
    <n v="3"/>
    <x v="0"/>
    <n v="19.440000000000001"/>
    <x v="0"/>
  </r>
  <r>
    <s v="CA-2013-112942"/>
    <x v="103"/>
    <x v="11"/>
    <d v="2013-02-18T00:00:00"/>
    <x v="0"/>
    <x v="99"/>
    <x v="0"/>
    <x v="0"/>
    <x v="0"/>
    <x v="8"/>
    <s v="Tops Green Bar Computer Printout Paper"/>
    <n v="146.82"/>
    <n v="3"/>
    <x v="0"/>
    <n v="73.41"/>
    <x v="0"/>
  </r>
  <r>
    <s v="CA-2014-131954"/>
    <x v="104"/>
    <x v="5"/>
    <d v="2014-01-26T00:00:00"/>
    <x v="0"/>
    <x v="100"/>
    <x v="0"/>
    <x v="1"/>
    <x v="1"/>
    <x v="3"/>
    <s v="Carina Double Wide Media Storage Towers in Natural &amp; Black"/>
    <n v="242.94"/>
    <n v="3"/>
    <x v="0"/>
    <n v="9.7200000000000006"/>
    <x v="0"/>
  </r>
  <r>
    <s v="CA-2011-132500"/>
    <x v="105"/>
    <x v="4"/>
    <d v="2011-09-12T00:00:00"/>
    <x v="0"/>
    <x v="101"/>
    <x v="0"/>
    <x v="3"/>
    <x v="0"/>
    <x v="6"/>
    <s v="Logitech Wireless Touch Keyboard K400"/>
    <n v="49.98"/>
    <n v="2"/>
    <x v="0"/>
    <n v="8.5"/>
    <x v="0"/>
  </r>
  <r>
    <s v="CA-2011-124429"/>
    <x v="106"/>
    <x v="2"/>
    <d v="2011-05-27T00:00:00"/>
    <x v="0"/>
    <x v="102"/>
    <x v="0"/>
    <x v="18"/>
    <x v="0"/>
    <x v="5"/>
    <s v="KI Conference Tables"/>
    <n v="567.12"/>
    <n v="10"/>
    <x v="1"/>
    <n v="-28.36"/>
    <x v="2"/>
  </r>
  <r>
    <s v="CA-2013-110499"/>
    <x v="107"/>
    <x v="10"/>
    <d v="2013-04-10T00:00:00"/>
    <x v="0"/>
    <x v="103"/>
    <x v="0"/>
    <x v="3"/>
    <x v="0"/>
    <x v="13"/>
    <s v="Hewlett Packard 610 Color Digital Copier / Printer"/>
    <n v="1199.98"/>
    <n v="3"/>
    <x v="0"/>
    <n v="374.99"/>
    <x v="1"/>
  </r>
  <r>
    <s v="CA-2012-135272"/>
    <x v="82"/>
    <x v="1"/>
    <d v="2012-12-12T00:00:00"/>
    <x v="0"/>
    <x v="104"/>
    <x v="0"/>
    <x v="0"/>
    <x v="0"/>
    <x v="1"/>
    <s v="12-1/2 Diameter Round Wall Clock"/>
    <n v="79.92"/>
    <n v="4"/>
    <x v="0"/>
    <n v="28.77"/>
    <x v="0"/>
  </r>
  <r>
    <s v="CA-2012-112319"/>
    <x v="108"/>
    <x v="3"/>
    <d v="2012-09-05T00:00:00"/>
    <x v="0"/>
    <x v="105"/>
    <x v="0"/>
    <x v="0"/>
    <x v="0"/>
    <x v="8"/>
    <s v="Xerox 226"/>
    <n v="58.32"/>
    <n v="9"/>
    <x v="1"/>
    <n v="27.99"/>
    <x v="0"/>
  </r>
  <r>
    <s v="CA-2012-144267"/>
    <x v="109"/>
    <x v="3"/>
    <d v="2012-08-23T00:00:00"/>
    <x v="0"/>
    <x v="106"/>
    <x v="0"/>
    <x v="3"/>
    <x v="0"/>
    <x v="7"/>
    <s v="Hon GuestStacker Chair"/>
    <n v="544.01"/>
    <n v="3"/>
    <x v="0"/>
    <n v="40.799999999999997"/>
    <x v="2"/>
  </r>
  <r>
    <s v="CA-2014-129567"/>
    <x v="110"/>
    <x v="9"/>
    <d v="2014-03-22T00:00:00"/>
    <x v="0"/>
    <x v="107"/>
    <x v="0"/>
    <x v="43"/>
    <x v="0"/>
    <x v="2"/>
    <s v="Heavy-Duty E-Z-D Binders"/>
    <n v="17.46"/>
    <n v="2"/>
    <x v="0"/>
    <n v="5.89"/>
    <x v="0"/>
  </r>
  <r>
    <s v="CA-2012-154620"/>
    <x v="111"/>
    <x v="1"/>
    <d v="2012-12-16T00:00:00"/>
    <x v="0"/>
    <x v="108"/>
    <x v="0"/>
    <x v="43"/>
    <x v="0"/>
    <x v="7"/>
    <s v="Lifetime Advantage Folding Chairs, 4/Carton"/>
    <n v="348.93"/>
    <n v="2"/>
    <x v="0"/>
    <n v="34.89"/>
    <x v="0"/>
  </r>
  <r>
    <s v="CA-2011-156433"/>
    <x v="112"/>
    <x v="4"/>
    <d v="2011-09-26T00:00:00"/>
    <x v="0"/>
    <x v="109"/>
    <x v="0"/>
    <x v="3"/>
    <x v="0"/>
    <x v="0"/>
    <s v="Avery 499"/>
    <n v="9.9600000000000009"/>
    <n v="2"/>
    <x v="0"/>
    <n v="4.58"/>
    <x v="0"/>
  </r>
  <r>
    <s v="CA-2012-101910"/>
    <x v="113"/>
    <x v="7"/>
    <d v="2012-12-03T00:00:00"/>
    <x v="0"/>
    <x v="110"/>
    <x v="0"/>
    <x v="44"/>
    <x v="0"/>
    <x v="7"/>
    <s v="Situations Contoured Folding Chairs, 4/Set"/>
    <n v="283.92"/>
    <n v="5"/>
    <x v="0"/>
    <n v="17.75"/>
    <x v="0"/>
  </r>
  <r>
    <s v="CA-2014-105809"/>
    <x v="114"/>
    <x v="11"/>
    <d v="2014-02-24T00:00:00"/>
    <x v="0"/>
    <x v="111"/>
    <x v="0"/>
    <x v="18"/>
    <x v="0"/>
    <x v="1"/>
    <s v="Executive Impressions 14&quot; Contract Wall Clock"/>
    <n v="22.23"/>
    <n v="1"/>
    <x v="2"/>
    <n v="7.34"/>
    <x v="0"/>
  </r>
  <r>
    <s v="CA-2014-135783"/>
    <x v="115"/>
    <x v="10"/>
    <d v="2014-04-25T00:00:00"/>
    <x v="0"/>
    <x v="112"/>
    <x v="0"/>
    <x v="3"/>
    <x v="0"/>
    <x v="1"/>
    <s v="Eldon Stackable Tray, Side-Load, Legal, Smoke"/>
    <n v="18.28"/>
    <n v="2"/>
    <x v="0"/>
    <n v="6.22"/>
    <x v="0"/>
  </r>
  <r>
    <s v="CA-2011-134313"/>
    <x v="116"/>
    <x v="7"/>
    <d v="2011-11-07T00:00:00"/>
    <x v="0"/>
    <x v="113"/>
    <x v="0"/>
    <x v="15"/>
    <x v="5"/>
    <x v="4"/>
    <s v="Model L Table or Wall-Mount Pencil Sharpener"/>
    <n v="43.18"/>
    <n v="3"/>
    <x v="0"/>
    <n v="4.32"/>
    <x v="0"/>
  </r>
  <r>
    <s v="CA-2011-151995"/>
    <x v="117"/>
    <x v="8"/>
    <d v="2011-10-15T00:00:00"/>
    <x v="0"/>
    <x v="86"/>
    <x v="0"/>
    <x v="45"/>
    <x v="1"/>
    <x v="4"/>
    <s v="Newell 32"/>
    <n v="11.52"/>
    <n v="4"/>
    <x v="0"/>
    <n v="3.23"/>
    <x v="0"/>
  </r>
  <r>
    <s v="CA-2014-143686"/>
    <x v="118"/>
    <x v="2"/>
    <d v="2014-05-15T00:00:00"/>
    <x v="0"/>
    <x v="114"/>
    <x v="0"/>
    <x v="46"/>
    <x v="0"/>
    <x v="1"/>
    <s v="Eldon Stackable Tray, Side-Load, Legal, Smoke"/>
    <n v="18.28"/>
    <n v="2"/>
    <x v="0"/>
    <n v="6.22"/>
    <x v="0"/>
  </r>
  <r>
    <s v="US-2011-102071"/>
    <x v="119"/>
    <x v="2"/>
    <d v="2011-05-15T00:00:00"/>
    <x v="0"/>
    <x v="115"/>
    <x v="0"/>
    <x v="3"/>
    <x v="0"/>
    <x v="6"/>
    <s v="Kingston Digital DataTraveler 32GB USB 2.0"/>
    <n v="67.8"/>
    <n v="4"/>
    <x v="0"/>
    <n v="4.07"/>
    <x v="0"/>
  </r>
  <r>
    <s v="CA-2013-161669"/>
    <x v="27"/>
    <x v="7"/>
    <d v="2013-11-10T00:00:00"/>
    <x v="0"/>
    <x v="116"/>
    <x v="0"/>
    <x v="0"/>
    <x v="0"/>
    <x v="2"/>
    <s v="Fellowes Binding Cases"/>
    <n v="37.44"/>
    <n v="4"/>
    <x v="0"/>
    <n v="11.7"/>
    <x v="0"/>
  </r>
  <r>
    <s v="CA-2013-152534"/>
    <x v="120"/>
    <x v="0"/>
    <d v="2013-06-26T00:00:00"/>
    <x v="0"/>
    <x v="117"/>
    <x v="0"/>
    <x v="47"/>
    <x v="0"/>
    <x v="4"/>
    <s v="DIXON Oriole Pencils"/>
    <n v="5.16"/>
    <n v="2"/>
    <x v="0"/>
    <n v="1.34"/>
    <x v="0"/>
  </r>
  <r>
    <s v="CA-2011-133851"/>
    <x v="1"/>
    <x v="0"/>
    <d v="2011-06-16T00:00:00"/>
    <x v="1"/>
    <x v="118"/>
    <x v="0"/>
    <x v="3"/>
    <x v="0"/>
    <x v="14"/>
    <s v="Staples"/>
    <n v="7.36"/>
    <n v="2"/>
    <x v="0"/>
    <n v="0.15"/>
    <x v="0"/>
  </r>
  <r>
    <s v="US-2014-123463"/>
    <x v="121"/>
    <x v="1"/>
    <d v="2014-12-24T00:00:00"/>
    <x v="0"/>
    <x v="101"/>
    <x v="0"/>
    <x v="3"/>
    <x v="0"/>
    <x v="4"/>
    <s v="Binney &amp; Smith Crayola Metallic Crayons, 16-Color Pack"/>
    <n v="13.48"/>
    <n v="4"/>
    <x v="0"/>
    <n v="5.93"/>
    <x v="0"/>
  </r>
  <r>
    <s v="CA-2012-143602"/>
    <x v="122"/>
    <x v="10"/>
    <d v="2012-04-28T00:00:00"/>
    <x v="0"/>
    <x v="119"/>
    <x v="0"/>
    <x v="0"/>
    <x v="0"/>
    <x v="2"/>
    <s v="Fellowes Black Plastic Comb Bindings"/>
    <n v="13.94"/>
    <n v="3"/>
    <x v="0"/>
    <n v="4.53"/>
    <x v="0"/>
  </r>
  <r>
    <s v="CA-2014-115364"/>
    <x v="123"/>
    <x v="0"/>
    <d v="2014-07-03T00:00:00"/>
    <x v="0"/>
    <x v="77"/>
    <x v="0"/>
    <x v="18"/>
    <x v="0"/>
    <x v="3"/>
    <s v="Eldon Shelf Savers Cubes and Bins"/>
    <n v="83.76"/>
    <n v="12"/>
    <x v="1"/>
    <n v="1.68"/>
    <x v="0"/>
  </r>
  <r>
    <s v="CA-2011-104976"/>
    <x v="124"/>
    <x v="1"/>
    <d v="2011-12-16T00:00:00"/>
    <x v="1"/>
    <x v="120"/>
    <x v="0"/>
    <x v="3"/>
    <x v="0"/>
    <x v="8"/>
    <s v="Xerox 1987"/>
    <n v="34.68"/>
    <n v="6"/>
    <x v="0"/>
    <n v="16.989999999999998"/>
    <x v="0"/>
  </r>
  <r>
    <s v="CA-2013-105494"/>
    <x v="125"/>
    <x v="7"/>
    <d v="2013-11-13T00:00:00"/>
    <x v="0"/>
    <x v="121"/>
    <x v="0"/>
    <x v="3"/>
    <x v="0"/>
    <x v="3"/>
    <s v="File Shuttle I and Handi-File"/>
    <n v="155.82"/>
    <n v="7"/>
    <x v="1"/>
    <n v="42.07"/>
    <x v="0"/>
  </r>
  <r>
    <s v="CA-2013-130477"/>
    <x v="126"/>
    <x v="10"/>
    <d v="2013-04-13T00:00:00"/>
    <x v="0"/>
    <x v="89"/>
    <x v="0"/>
    <x v="0"/>
    <x v="0"/>
    <x v="8"/>
    <s v="Xerox 1923"/>
    <n v="20.04"/>
    <n v="3"/>
    <x v="0"/>
    <n v="9.6199999999999992"/>
    <x v="0"/>
  </r>
  <r>
    <s v="US-2014-111745"/>
    <x v="16"/>
    <x v="7"/>
    <d v="2014-11-07T00:00:00"/>
    <x v="0"/>
    <x v="7"/>
    <x v="0"/>
    <x v="48"/>
    <x v="6"/>
    <x v="6"/>
    <s v="NETGEAR AC1750 Dual Band Gigabit Smart WiFi Router"/>
    <n v="159.99"/>
    <n v="1"/>
    <x v="2"/>
    <n v="54.4"/>
    <x v="0"/>
  </r>
  <r>
    <s v="CA-2012-148250"/>
    <x v="127"/>
    <x v="1"/>
    <d v="2012-12-17T00:00:00"/>
    <x v="0"/>
    <x v="122"/>
    <x v="0"/>
    <x v="49"/>
    <x v="0"/>
    <x v="8"/>
    <s v="Xerox 213"/>
    <n v="12.96"/>
    <n v="2"/>
    <x v="0"/>
    <n v="6.22"/>
    <x v="0"/>
  </r>
  <r>
    <s v="CA-2013-105760"/>
    <x v="128"/>
    <x v="0"/>
    <d v="2013-06-21T00:00:00"/>
    <x v="0"/>
    <x v="123"/>
    <x v="0"/>
    <x v="3"/>
    <x v="0"/>
    <x v="8"/>
    <s v="Message Book, Standard Line &quot;While You Were Out&quot;, 5 1/2&quot; X 4&quot;, 200 Sets/Book"/>
    <n v="17.12"/>
    <n v="2"/>
    <x v="0"/>
    <n v="8.0500000000000007"/>
    <x v="0"/>
  </r>
  <r>
    <s v="CA-2013-142958"/>
    <x v="129"/>
    <x v="1"/>
    <d v="2013-12-21T00:00:00"/>
    <x v="1"/>
    <x v="124"/>
    <x v="0"/>
    <x v="50"/>
    <x v="0"/>
    <x v="2"/>
    <s v="Acco Pressboard Covers with Storage Hooks, 14 7/8&quot; x 11&quot;, Dark Blue"/>
    <n v="6.1"/>
    <n v="2"/>
    <x v="0"/>
    <n v="2.21"/>
    <x v="0"/>
  </r>
  <r>
    <s v="CA-2012-120880"/>
    <x v="130"/>
    <x v="2"/>
    <d v="2012-06-03T00:00:00"/>
    <x v="0"/>
    <x v="125"/>
    <x v="0"/>
    <x v="1"/>
    <x v="1"/>
    <x v="8"/>
    <s v="Xerox 1894"/>
    <n v="32.4"/>
    <n v="5"/>
    <x v="0"/>
    <n v="15.55"/>
    <x v="0"/>
  </r>
  <r>
    <s v="US-2012-140200"/>
    <x v="131"/>
    <x v="6"/>
    <d v="2012-07-28T00:00:00"/>
    <x v="0"/>
    <x v="126"/>
    <x v="0"/>
    <x v="35"/>
    <x v="3"/>
    <x v="5"/>
    <s v="Bevis Boat-Shaped Conference Table"/>
    <n v="393.17"/>
    <n v="3"/>
    <x v="0"/>
    <n v="-204.45"/>
    <x v="0"/>
  </r>
  <r>
    <s v="CA-2014-102414"/>
    <x v="132"/>
    <x v="2"/>
    <d v="2014-05-19T00:00:00"/>
    <x v="0"/>
    <x v="127"/>
    <x v="0"/>
    <x v="8"/>
    <x v="3"/>
    <x v="11"/>
    <s v="Logitech B530 USB Headset - headset - Full size, Binaural"/>
    <n v="29.59"/>
    <n v="1"/>
    <x v="2"/>
    <n v="2.59"/>
    <x v="0"/>
  </r>
  <r>
    <s v="CA-2012-112571"/>
    <x v="133"/>
    <x v="4"/>
    <d v="2012-09-22T00:00:00"/>
    <x v="0"/>
    <x v="128"/>
    <x v="0"/>
    <x v="51"/>
    <x v="0"/>
    <x v="1"/>
    <s v="Luxo Professional Combination Clamp-On Lamps"/>
    <n v="204.6"/>
    <n v="2"/>
    <x v="0"/>
    <n v="53.2"/>
    <x v="0"/>
  </r>
  <r>
    <s v="CA-2014-152142"/>
    <x v="134"/>
    <x v="7"/>
    <d v="2014-11-20T00:00:00"/>
    <x v="0"/>
    <x v="129"/>
    <x v="0"/>
    <x v="3"/>
    <x v="0"/>
    <x v="7"/>
    <s v="Global Leather Highback Executive Chair with Pneumatic Height Adjustment, Black"/>
    <n v="321.57"/>
    <n v="2"/>
    <x v="0"/>
    <n v="28.14"/>
    <x v="0"/>
  </r>
  <r>
    <s v="CA-2013-120859"/>
    <x v="135"/>
    <x v="4"/>
    <d v="2013-09-05T00:00:00"/>
    <x v="0"/>
    <x v="130"/>
    <x v="0"/>
    <x v="3"/>
    <x v="0"/>
    <x v="10"/>
    <s v="White Business Envelopes with Contemporary Seam, Recycled White Business Envelopes"/>
    <n v="21.88"/>
    <n v="2"/>
    <x v="0"/>
    <n v="10.94"/>
    <x v="0"/>
  </r>
  <r>
    <s v="US-2014-100209"/>
    <x v="136"/>
    <x v="6"/>
    <d v="2014-07-16T00:00:00"/>
    <x v="0"/>
    <x v="131"/>
    <x v="0"/>
    <x v="6"/>
    <x v="4"/>
    <x v="2"/>
    <s v="Wilson Jones Easy Flow II Sheet Lifters"/>
    <n v="1.08"/>
    <n v="2"/>
    <x v="0"/>
    <n v="-0.79"/>
    <x v="0"/>
  </r>
  <r>
    <s v="CA-2011-163419"/>
    <x v="137"/>
    <x v="7"/>
    <d v="2011-11-14T00:00:00"/>
    <x v="0"/>
    <x v="132"/>
    <x v="0"/>
    <x v="30"/>
    <x v="5"/>
    <x v="4"/>
    <s v="BIC Brite Liner Grip Highlighters, Assorted, 5/Pack"/>
    <n v="3.39"/>
    <n v="1"/>
    <x v="2"/>
    <n v="0.81"/>
    <x v="0"/>
  </r>
  <r>
    <s v="CA-2013-105585"/>
    <x v="138"/>
    <x v="3"/>
    <d v="2013-08-28T00:00:00"/>
    <x v="0"/>
    <x v="133"/>
    <x v="0"/>
    <x v="12"/>
    <x v="0"/>
    <x v="12"/>
    <s v="Advantus SlideClip Paper Clips"/>
    <n v="10.23"/>
    <n v="3"/>
    <x v="0"/>
    <n v="4.91"/>
    <x v="0"/>
  </r>
  <r>
    <s v="CA-2013-155488"/>
    <x v="139"/>
    <x v="7"/>
    <d v="2013-11-18T00:00:00"/>
    <x v="0"/>
    <x v="29"/>
    <x v="0"/>
    <x v="42"/>
    <x v="1"/>
    <x v="4"/>
    <s v="Boston 16801 Nautilus Battery Pencil Sharpener"/>
    <n v="44.02"/>
    <n v="2"/>
    <x v="0"/>
    <n v="11.45"/>
    <x v="0"/>
  </r>
  <r>
    <s v="CA-2012-126445"/>
    <x v="140"/>
    <x v="3"/>
    <d v="2012-08-31T00:00:00"/>
    <x v="0"/>
    <x v="134"/>
    <x v="0"/>
    <x v="52"/>
    <x v="0"/>
    <x v="3"/>
    <s v="Fellowes Super Stor/Drawer Files"/>
    <n v="484.65"/>
    <n v="3"/>
    <x v="0"/>
    <n v="92.08"/>
    <x v="0"/>
  </r>
  <r>
    <s v="CA-2012-105312"/>
    <x v="141"/>
    <x v="7"/>
    <d v="2012-11-09T00:00:00"/>
    <x v="0"/>
    <x v="135"/>
    <x v="0"/>
    <x v="11"/>
    <x v="3"/>
    <x v="10"/>
    <s v="Redi-Strip #10 Envelopes, 4 1/8 x 9 1/2"/>
    <n v="7.08"/>
    <n v="3"/>
    <x v="0"/>
    <n v="2.48"/>
    <x v="0"/>
  </r>
  <r>
    <s v="CA-2011-158540"/>
    <x v="142"/>
    <x v="7"/>
    <d v="2011-11-26T00:00:00"/>
    <x v="0"/>
    <x v="136"/>
    <x v="0"/>
    <x v="18"/>
    <x v="0"/>
    <x v="1"/>
    <s v="Eldon Delta Triangular Chair Mat, 52&quot; x 58&quot;, Clear"/>
    <n v="151.72"/>
    <n v="4"/>
    <x v="0"/>
    <n v="27.31"/>
    <x v="0"/>
  </r>
  <r>
    <s v="CA-2014-118437"/>
    <x v="13"/>
    <x v="0"/>
    <d v="2014-06-22T00:00:00"/>
    <x v="0"/>
    <x v="137"/>
    <x v="0"/>
    <x v="53"/>
    <x v="1"/>
    <x v="1"/>
    <s v="Howard Miller 13-3/4&quot; Diameter Brushed Chrome Round Wall Clock"/>
    <n v="155.25"/>
    <n v="3"/>
    <x v="0"/>
    <n v="46.58"/>
    <x v="0"/>
  </r>
  <r>
    <s v="US-2012-126214"/>
    <x v="143"/>
    <x v="1"/>
    <d v="2012-12-24T00:00:00"/>
    <x v="0"/>
    <x v="138"/>
    <x v="0"/>
    <x v="1"/>
    <x v="1"/>
    <x v="5"/>
    <s v="Bevis 36 x 72 Conference Tables"/>
    <n v="1618.37"/>
    <n v="13"/>
    <x v="1"/>
    <n v="356.04"/>
    <x v="1"/>
  </r>
  <r>
    <s v="CA-2012-133025"/>
    <x v="144"/>
    <x v="4"/>
    <d v="2012-09-19T00:00:00"/>
    <x v="0"/>
    <x v="139"/>
    <x v="0"/>
    <x v="0"/>
    <x v="0"/>
    <x v="8"/>
    <s v="Xerox 216"/>
    <n v="32.4"/>
    <n v="5"/>
    <x v="0"/>
    <n v="15.55"/>
    <x v="0"/>
  </r>
  <r>
    <s v="CA-2014-106964"/>
    <x v="92"/>
    <x v="1"/>
    <d v="2014-12-21T00:00:00"/>
    <x v="0"/>
    <x v="140"/>
    <x v="0"/>
    <x v="0"/>
    <x v="0"/>
    <x v="2"/>
    <s v="GBC Plastic Binding Combs"/>
    <n v="11.81"/>
    <n v="2"/>
    <x v="0"/>
    <n v="4.28"/>
    <x v="0"/>
  </r>
  <r>
    <s v="CA-2012-127418"/>
    <x v="145"/>
    <x v="0"/>
    <d v="2012-06-14T00:00:00"/>
    <x v="0"/>
    <x v="141"/>
    <x v="0"/>
    <x v="0"/>
    <x v="0"/>
    <x v="2"/>
    <s v="Aluminum Screw Posts"/>
    <n v="36.619999999999997"/>
    <n v="3"/>
    <x v="0"/>
    <n v="13.73"/>
    <x v="0"/>
  </r>
  <r>
    <s v="CA-2011-139192"/>
    <x v="106"/>
    <x v="2"/>
    <d v="2011-06-01T00:00:00"/>
    <x v="0"/>
    <x v="18"/>
    <x v="0"/>
    <x v="3"/>
    <x v="0"/>
    <x v="11"/>
    <s v="Plantronics HL10 Handset Lifter"/>
    <n v="1113.5"/>
    <n v="12"/>
    <x v="1"/>
    <n v="125.27"/>
    <x v="1"/>
  </r>
  <r>
    <s v="CA-2014-167150"/>
    <x v="146"/>
    <x v="1"/>
    <d v="2014-12-18T00:00:00"/>
    <x v="1"/>
    <x v="43"/>
    <x v="0"/>
    <x v="18"/>
    <x v="0"/>
    <x v="2"/>
    <s v="Avery Hole Reinforcements"/>
    <n v="19.940000000000001"/>
    <n v="4"/>
    <x v="0"/>
    <n v="7.23"/>
    <x v="0"/>
  </r>
  <r>
    <s v="CA-2013-157686"/>
    <x v="147"/>
    <x v="8"/>
    <d v="2013-10-03T00:00:00"/>
    <x v="0"/>
    <x v="142"/>
    <x v="0"/>
    <x v="3"/>
    <x v="0"/>
    <x v="7"/>
    <s v="Global Value Mid-Back Manager's Chair, Gray"/>
    <n v="194.85"/>
    <n v="4"/>
    <x v="0"/>
    <n v="12.18"/>
    <x v="0"/>
  </r>
  <r>
    <s v="CA-2012-144652"/>
    <x v="148"/>
    <x v="7"/>
    <d v="2012-11-26T00:00:00"/>
    <x v="0"/>
    <x v="143"/>
    <x v="0"/>
    <x v="0"/>
    <x v="0"/>
    <x v="4"/>
    <s v="Newell 333"/>
    <n v="19.46"/>
    <n v="7"/>
    <x v="1"/>
    <n v="5.0599999999999996"/>
    <x v="0"/>
  </r>
  <r>
    <s v="CA-2013-152814"/>
    <x v="149"/>
    <x v="10"/>
    <d v="2013-05-03T00:00:00"/>
    <x v="0"/>
    <x v="144"/>
    <x v="0"/>
    <x v="15"/>
    <x v="5"/>
    <x v="8"/>
    <s v="Xerox 1881"/>
    <n v="29.47"/>
    <n v="3"/>
    <x v="0"/>
    <n v="9.9499999999999993"/>
    <x v="0"/>
  </r>
  <r>
    <s v="CA-2013-134348"/>
    <x v="150"/>
    <x v="7"/>
    <d v="2013-11-20T00:00:00"/>
    <x v="1"/>
    <x v="145"/>
    <x v="0"/>
    <x v="35"/>
    <x v="3"/>
    <x v="2"/>
    <s v="Avery Durable Slant Ring Binders With Label Holder"/>
    <n v="6.27"/>
    <n v="5"/>
    <x v="0"/>
    <n v="-4.5999999999999996"/>
    <x v="0"/>
  </r>
  <r>
    <s v="CA-2014-132521"/>
    <x v="151"/>
    <x v="4"/>
    <d v="2014-09-26T00:00:00"/>
    <x v="0"/>
    <x v="146"/>
    <x v="0"/>
    <x v="1"/>
    <x v="1"/>
    <x v="9"/>
    <s v="Belkin 8 Outlet SurgeMaster II Gold Surge Protector"/>
    <n v="119.96"/>
    <n v="2"/>
    <x v="0"/>
    <n v="33.590000000000003"/>
    <x v="0"/>
  </r>
  <r>
    <s v="CA-2013-166163"/>
    <x v="94"/>
    <x v="3"/>
    <d v="2013-08-21T00:00:00"/>
    <x v="0"/>
    <x v="147"/>
    <x v="0"/>
    <x v="54"/>
    <x v="0"/>
    <x v="11"/>
    <s v="Nokia Lumia 521 (T-Mobile)"/>
    <n v="71.98"/>
    <n v="3"/>
    <x v="0"/>
    <n v="7.2"/>
    <x v="0"/>
  </r>
  <r>
    <s v="CA-2012-143490"/>
    <x v="152"/>
    <x v="1"/>
    <d v="2012-12-13T00:00:00"/>
    <x v="1"/>
    <x v="148"/>
    <x v="0"/>
    <x v="18"/>
    <x v="0"/>
    <x v="4"/>
    <s v="Stanley Contemporary Battery Pencil Sharpeners"/>
    <n v="120.15"/>
    <n v="9"/>
    <x v="1"/>
    <n v="33.64"/>
    <x v="0"/>
  </r>
  <r>
    <s v="CA-2011-159338"/>
    <x v="153"/>
    <x v="0"/>
    <d v="2011-06-28T00:00:00"/>
    <x v="0"/>
    <x v="149"/>
    <x v="0"/>
    <x v="0"/>
    <x v="0"/>
    <x v="5"/>
    <s v="Hon 4060 Series Tables"/>
    <n v="447.84"/>
    <n v="5"/>
    <x v="0"/>
    <n v="11.2"/>
    <x v="0"/>
  </r>
  <r>
    <s v="CA-2013-107216"/>
    <x v="154"/>
    <x v="0"/>
    <d v="2013-06-18T00:00:00"/>
    <x v="0"/>
    <x v="150"/>
    <x v="0"/>
    <x v="3"/>
    <x v="0"/>
    <x v="4"/>
    <s v="Newell 326"/>
    <n v="7.04"/>
    <n v="4"/>
    <x v="0"/>
    <n v="2.04"/>
    <x v="0"/>
  </r>
  <r>
    <s v="CA-2013-112340"/>
    <x v="155"/>
    <x v="8"/>
    <d v="2013-10-28T00:00:00"/>
    <x v="0"/>
    <x v="151"/>
    <x v="0"/>
    <x v="49"/>
    <x v="0"/>
    <x v="8"/>
    <s v="Rediform Wirebound &quot;Phone Memo&quot; Message Book, 11 x 5-3/4"/>
    <n v="22.92"/>
    <n v="3"/>
    <x v="0"/>
    <n v="11.23"/>
    <x v="0"/>
  </r>
  <r>
    <s v="CA-2014-140585"/>
    <x v="156"/>
    <x v="1"/>
    <d v="2014-12-24T00:00:00"/>
    <x v="0"/>
    <x v="113"/>
    <x v="0"/>
    <x v="55"/>
    <x v="0"/>
    <x v="2"/>
    <s v="Binding Machine Supplies"/>
    <n v="46.67"/>
    <n v="2"/>
    <x v="0"/>
    <n v="16.34"/>
    <x v="0"/>
  </r>
  <r>
    <s v="CA-2013-144855"/>
    <x v="157"/>
    <x v="6"/>
    <d v="2013-07-25T00:00:00"/>
    <x v="0"/>
    <x v="152"/>
    <x v="0"/>
    <x v="3"/>
    <x v="0"/>
    <x v="0"/>
    <s v="Self-Adhesive Removable Labels"/>
    <n v="6.3"/>
    <n v="2"/>
    <x v="0"/>
    <n v="3.02"/>
    <x v="0"/>
  </r>
  <r>
    <s v="US-2013-114776"/>
    <x v="158"/>
    <x v="1"/>
    <d v="2013-12-08T00:00:00"/>
    <x v="0"/>
    <x v="153"/>
    <x v="0"/>
    <x v="56"/>
    <x v="0"/>
    <x v="8"/>
    <s v="Xerox 216"/>
    <n v="19.440000000000001"/>
    <n v="3"/>
    <x v="0"/>
    <n v="9.33"/>
    <x v="0"/>
  </r>
  <r>
    <s v="CA-2011-146969"/>
    <x v="159"/>
    <x v="4"/>
    <d v="2011-10-03T00:00:00"/>
    <x v="0"/>
    <x v="154"/>
    <x v="0"/>
    <x v="0"/>
    <x v="0"/>
    <x v="1"/>
    <s v="Luxo Professional Combination Clamp-On Lamps"/>
    <n v="204.6"/>
    <n v="2"/>
    <x v="0"/>
    <n v="53.2"/>
    <x v="0"/>
  </r>
  <r>
    <s v="CA-2014-160395"/>
    <x v="160"/>
    <x v="5"/>
    <d v="2014-01-07T00:00:00"/>
    <x v="0"/>
    <x v="42"/>
    <x v="0"/>
    <x v="57"/>
    <x v="7"/>
    <x v="4"/>
    <s v="Crayola Anti Dust Chalk, 12/Pack"/>
    <n v="3.64"/>
    <n v="2"/>
    <x v="0"/>
    <n v="1.64"/>
    <x v="0"/>
  </r>
  <r>
    <s v="CA-2013-149314"/>
    <x v="161"/>
    <x v="6"/>
    <d v="2013-07-08T00:00:00"/>
    <x v="0"/>
    <x v="155"/>
    <x v="0"/>
    <x v="0"/>
    <x v="0"/>
    <x v="7"/>
    <s v="Hon Deluxe Fabric Upholstered Stacking Chairs"/>
    <n v="195.18"/>
    <n v="1"/>
    <x v="2"/>
    <n v="19.52"/>
    <x v="0"/>
  </r>
  <r>
    <s v="CA-2011-126522"/>
    <x v="162"/>
    <x v="4"/>
    <d v="2011-09-05T00:00:00"/>
    <x v="0"/>
    <x v="156"/>
    <x v="0"/>
    <x v="58"/>
    <x v="0"/>
    <x v="4"/>
    <s v="BOSTON Model 1800 Electric Pencil Sharpeners, Putty/Woodgrain"/>
    <n v="53.94"/>
    <n v="3"/>
    <x v="0"/>
    <n v="15.64"/>
    <x v="0"/>
  </r>
  <r>
    <s v="CA-2012-125416"/>
    <x v="41"/>
    <x v="7"/>
    <d v="2012-11-02T00:00:00"/>
    <x v="0"/>
    <x v="36"/>
    <x v="0"/>
    <x v="1"/>
    <x v="1"/>
    <x v="6"/>
    <s v="Logitech K350 2.4Ghz Wireless Keyboard"/>
    <n v="447.93"/>
    <n v="9"/>
    <x v="1"/>
    <n v="49.27"/>
    <x v="0"/>
  </r>
  <r>
    <s v="CA-2011-158064"/>
    <x v="163"/>
    <x v="10"/>
    <d v="2011-04-25T00:00:00"/>
    <x v="0"/>
    <x v="73"/>
    <x v="0"/>
    <x v="0"/>
    <x v="0"/>
    <x v="2"/>
    <s v="ACCOHIDE Binder by Acco"/>
    <n v="16.52"/>
    <n v="5"/>
    <x v="0"/>
    <n v="5.58"/>
    <x v="0"/>
  </r>
  <r>
    <s v="CA-2011-120243"/>
    <x v="164"/>
    <x v="1"/>
    <d v="2011-12-30T00:00:00"/>
    <x v="0"/>
    <x v="157"/>
    <x v="0"/>
    <x v="0"/>
    <x v="0"/>
    <x v="0"/>
    <s v="Staples"/>
    <n v="11.56"/>
    <n v="4"/>
    <x v="0"/>
    <n v="5.43"/>
    <x v="0"/>
  </r>
  <r>
    <s v="CA-2011-127131"/>
    <x v="142"/>
    <x v="7"/>
    <d v="2011-11-30T00:00:00"/>
    <x v="0"/>
    <x v="158"/>
    <x v="0"/>
    <x v="1"/>
    <x v="1"/>
    <x v="2"/>
    <s v="Peel &amp; Stick Add-On Corner Pockets"/>
    <n v="12.1"/>
    <n v="7"/>
    <x v="1"/>
    <n v="4.2300000000000004"/>
    <x v="0"/>
  </r>
  <r>
    <s v="CA-2014-117212"/>
    <x v="165"/>
    <x v="11"/>
    <d v="2014-03-01T00:00:00"/>
    <x v="0"/>
    <x v="159"/>
    <x v="0"/>
    <x v="0"/>
    <x v="0"/>
    <x v="9"/>
    <s v="Kensington 6 Outlet Guardian Standard Surge Protector"/>
    <n v="81.92"/>
    <n v="4"/>
    <x v="0"/>
    <n v="22.12"/>
    <x v="0"/>
  </r>
  <r>
    <s v="CA-2013-114727"/>
    <x v="166"/>
    <x v="6"/>
    <d v="2013-07-25T00:00:00"/>
    <x v="0"/>
    <x v="160"/>
    <x v="0"/>
    <x v="15"/>
    <x v="5"/>
    <x v="7"/>
    <s v="Hon GuestStacker Chair"/>
    <n v="544.01"/>
    <n v="3"/>
    <x v="0"/>
    <n v="40.799999999999997"/>
    <x v="2"/>
  </r>
  <r>
    <s v="CA-2011-110184"/>
    <x v="48"/>
    <x v="6"/>
    <d v="2011-07-16T00:00:00"/>
    <x v="0"/>
    <x v="161"/>
    <x v="0"/>
    <x v="0"/>
    <x v="0"/>
    <x v="3"/>
    <s v="Fellowes Super Stor/Drawer"/>
    <n v="249.75"/>
    <n v="9"/>
    <x v="1"/>
    <n v="44.96"/>
    <x v="0"/>
  </r>
  <r>
    <s v="CA-2014-100013"/>
    <x v="12"/>
    <x v="7"/>
    <d v="2014-11-12T00:00:00"/>
    <x v="0"/>
    <x v="86"/>
    <x v="0"/>
    <x v="0"/>
    <x v="0"/>
    <x v="10"/>
    <s v="#10- 4 1/8&quot; x 9 1/2&quot; Security-Tint Envelopes"/>
    <n v="15.28"/>
    <n v="2"/>
    <x v="0"/>
    <n v="7.49"/>
    <x v="0"/>
  </r>
  <r>
    <s v="CA-2011-127012"/>
    <x v="167"/>
    <x v="3"/>
    <d v="2011-08-15T00:00:00"/>
    <x v="0"/>
    <x v="162"/>
    <x v="0"/>
    <x v="1"/>
    <x v="1"/>
    <x v="1"/>
    <s v="Eldon Image Series Desk Accessories, Ebony"/>
    <n v="12.35"/>
    <n v="1"/>
    <x v="2"/>
    <n v="5.43"/>
    <x v="0"/>
  </r>
  <r>
    <s v="CA-2011-168494"/>
    <x v="168"/>
    <x v="1"/>
    <d v="2011-12-14T00:00:00"/>
    <x v="0"/>
    <x v="163"/>
    <x v="0"/>
    <x v="59"/>
    <x v="0"/>
    <x v="5"/>
    <s v="Hon Non-Folding Utility Tables"/>
    <n v="764.69"/>
    <n v="6"/>
    <x v="0"/>
    <n v="95.59"/>
    <x v="2"/>
  </r>
  <r>
    <s v="CA-2014-110380"/>
    <x v="169"/>
    <x v="4"/>
    <d v="2014-09-08T00:00:00"/>
    <x v="0"/>
    <x v="164"/>
    <x v="0"/>
    <x v="3"/>
    <x v="0"/>
    <x v="4"/>
    <s v="Pencil and Crayon Sharpener"/>
    <n v="6.57"/>
    <n v="3"/>
    <x v="0"/>
    <n v="1.77"/>
    <x v="0"/>
  </r>
  <r>
    <s v="US-2011-167738"/>
    <x v="170"/>
    <x v="1"/>
    <d v="2011-12-29T00:00:00"/>
    <x v="0"/>
    <x v="165"/>
    <x v="0"/>
    <x v="0"/>
    <x v="0"/>
    <x v="3"/>
    <s v="Letter Size Cart"/>
    <n v="142.86000000000001"/>
    <n v="1"/>
    <x v="2"/>
    <n v="41.43"/>
    <x v="0"/>
  </r>
  <r>
    <s v="CA-2014-121412"/>
    <x v="151"/>
    <x v="4"/>
    <d v="2014-09-28T00:00:00"/>
    <x v="0"/>
    <x v="166"/>
    <x v="0"/>
    <x v="30"/>
    <x v="5"/>
    <x v="1"/>
    <s v="Aluminum Document Frame"/>
    <n v="29.33"/>
    <n v="3"/>
    <x v="0"/>
    <n v="3.67"/>
    <x v="0"/>
  </r>
  <r>
    <s v="CA-2013-163384"/>
    <x v="125"/>
    <x v="7"/>
    <d v="2013-11-13T00:00:00"/>
    <x v="0"/>
    <x v="167"/>
    <x v="0"/>
    <x v="3"/>
    <x v="0"/>
    <x v="2"/>
    <s v="ACCOHIDE 3-Ring Binder, Blue, 1&quot;"/>
    <n v="13.22"/>
    <n v="4"/>
    <x v="0"/>
    <n v="4.46"/>
    <x v="0"/>
  </r>
  <r>
    <s v="CA-2012-101707"/>
    <x v="140"/>
    <x v="3"/>
    <d v="2012-09-01T00:00:00"/>
    <x v="0"/>
    <x v="137"/>
    <x v="0"/>
    <x v="18"/>
    <x v="0"/>
    <x v="14"/>
    <s v="Fiskars Softgrip Scissors"/>
    <n v="32.94"/>
    <n v="3"/>
    <x v="0"/>
    <n v="9.2200000000000006"/>
    <x v="0"/>
  </r>
  <r>
    <s v="CA-2012-138898"/>
    <x v="171"/>
    <x v="2"/>
    <d v="2012-05-29T00:00:00"/>
    <x v="0"/>
    <x v="168"/>
    <x v="0"/>
    <x v="60"/>
    <x v="5"/>
    <x v="9"/>
    <s v="Kensington 4 Outlet MasterPiece Compact Power Control Center"/>
    <n v="845.73"/>
    <n v="13"/>
    <x v="1"/>
    <n v="84.57"/>
    <x v="2"/>
  </r>
  <r>
    <s v="CA-2014-115427"/>
    <x v="172"/>
    <x v="1"/>
    <d v="2015-01-04T00:00:00"/>
    <x v="0"/>
    <x v="169"/>
    <x v="0"/>
    <x v="61"/>
    <x v="0"/>
    <x v="2"/>
    <s v="Cardinal Slant-D Ring Binder, Heavy Gauge Vinyl"/>
    <n v="13.9"/>
    <n v="2"/>
    <x v="0"/>
    <n v="4.5199999999999996"/>
    <x v="0"/>
  </r>
  <r>
    <s v="CA-2012-121391"/>
    <x v="173"/>
    <x v="8"/>
    <d v="2012-10-07T00:00:00"/>
    <x v="0"/>
    <x v="170"/>
    <x v="0"/>
    <x v="3"/>
    <x v="0"/>
    <x v="3"/>
    <s v="Tenex Personal Project File with Scoop Front Design, Black"/>
    <n v="26.96"/>
    <n v="2"/>
    <x v="0"/>
    <n v="7.01"/>
    <x v="0"/>
  </r>
  <r>
    <s v="CA-2013-141397"/>
    <x v="120"/>
    <x v="0"/>
    <d v="2013-06-22T00:00:00"/>
    <x v="0"/>
    <x v="171"/>
    <x v="0"/>
    <x v="10"/>
    <x v="0"/>
    <x v="8"/>
    <s v="Xerox 1898"/>
    <n v="46.76"/>
    <n v="7"/>
    <x v="1"/>
    <n v="22.44"/>
    <x v="0"/>
  </r>
  <r>
    <s v="CA-2013-145919"/>
    <x v="174"/>
    <x v="1"/>
    <d v="2013-12-24T00:00:00"/>
    <x v="0"/>
    <x v="172"/>
    <x v="0"/>
    <x v="0"/>
    <x v="0"/>
    <x v="8"/>
    <s v="Eureka Recycled Copy Paper 8 1/2&quot; x 11&quot;, Ream"/>
    <n v="38.880000000000003"/>
    <n v="6"/>
    <x v="0"/>
    <n v="18.66"/>
    <x v="0"/>
  </r>
  <r>
    <s v="CA-2014-106033"/>
    <x v="175"/>
    <x v="8"/>
    <d v="2014-10-19T00:00:00"/>
    <x v="0"/>
    <x v="173"/>
    <x v="0"/>
    <x v="3"/>
    <x v="0"/>
    <x v="4"/>
    <s v="Panasonic KP-310 Heavy-Duty Electric Pencil Sharpener"/>
    <n v="87.92"/>
    <n v="4"/>
    <x v="0"/>
    <n v="26.38"/>
    <x v="0"/>
  </r>
  <r>
    <s v="CA-2013-142762"/>
    <x v="176"/>
    <x v="2"/>
    <d v="2013-05-28T00:00:00"/>
    <x v="0"/>
    <x v="174"/>
    <x v="0"/>
    <x v="3"/>
    <x v="0"/>
    <x v="1"/>
    <s v="Eldon Image Series Desk Accessories, Ebony"/>
    <n v="37.049999999999997"/>
    <n v="3"/>
    <x v="0"/>
    <n v="16.3"/>
    <x v="0"/>
  </r>
  <r>
    <s v="CA-2011-121664"/>
    <x v="177"/>
    <x v="2"/>
    <d v="2011-05-10T00:00:00"/>
    <x v="0"/>
    <x v="175"/>
    <x v="0"/>
    <x v="0"/>
    <x v="0"/>
    <x v="2"/>
    <s v="Wilson Jones Legal Size Ring Binders"/>
    <n v="140.74"/>
    <n v="8"/>
    <x v="1"/>
    <n v="52.78"/>
    <x v="0"/>
  </r>
  <r>
    <s v="US-2014-123281"/>
    <x v="178"/>
    <x v="10"/>
    <d v="2014-04-08T00:00:00"/>
    <x v="0"/>
    <x v="176"/>
    <x v="0"/>
    <x v="0"/>
    <x v="0"/>
    <x v="1"/>
    <s v="Westinghouse Clip-On Gooseneck Lamps"/>
    <n v="25.11"/>
    <n v="3"/>
    <x v="0"/>
    <n v="6.53"/>
    <x v="0"/>
  </r>
  <r>
    <s v="CA-2014-162978"/>
    <x v="179"/>
    <x v="2"/>
    <d v="2014-05-10T00:00:00"/>
    <x v="0"/>
    <x v="129"/>
    <x v="0"/>
    <x v="3"/>
    <x v="0"/>
    <x v="11"/>
    <s v="Motorola L804"/>
    <n v="183.96"/>
    <n v="5"/>
    <x v="0"/>
    <n v="20.7"/>
    <x v="0"/>
  </r>
  <r>
    <s v="US-2011-151925"/>
    <x v="180"/>
    <x v="4"/>
    <d v="2011-10-01T00:00:00"/>
    <x v="0"/>
    <x v="177"/>
    <x v="0"/>
    <x v="0"/>
    <x v="0"/>
    <x v="7"/>
    <s v="Leather Task Chair, Black"/>
    <n v="145.57"/>
    <n v="2"/>
    <x v="0"/>
    <n v="0"/>
    <x v="0"/>
  </r>
  <r>
    <s v="US-2014-155425"/>
    <x v="181"/>
    <x v="7"/>
    <d v="2014-11-12T00:00:00"/>
    <x v="0"/>
    <x v="178"/>
    <x v="0"/>
    <x v="26"/>
    <x v="3"/>
    <x v="2"/>
    <s v="Cardinal EasyOpen D-Ring Binders"/>
    <n v="38.39"/>
    <n v="14"/>
    <x v="1"/>
    <n v="-25.59"/>
    <x v="0"/>
  </r>
  <r>
    <s v="CA-2014-133249"/>
    <x v="182"/>
    <x v="6"/>
    <d v="2014-07-12T00:00:00"/>
    <x v="0"/>
    <x v="179"/>
    <x v="0"/>
    <x v="62"/>
    <x v="0"/>
    <x v="1"/>
    <s v="Deflect-o SuperTray Unbreakable Stackable Tray, Letter, Black"/>
    <n v="145.9"/>
    <n v="5"/>
    <x v="0"/>
    <n v="62.74"/>
    <x v="0"/>
  </r>
  <r>
    <s v="US-2012-103471"/>
    <x v="183"/>
    <x v="1"/>
    <d v="2012-12-28T00:00:00"/>
    <x v="0"/>
    <x v="180"/>
    <x v="0"/>
    <x v="21"/>
    <x v="5"/>
    <x v="15"/>
    <s v="Atlantic Metals Mobile 4-Shelf Bookcases, Custom Colors"/>
    <n v="590.05999999999995"/>
    <n v="7"/>
    <x v="1"/>
    <n v="-786.74"/>
    <x v="2"/>
  </r>
  <r>
    <s v="US-2011-157021"/>
    <x v="184"/>
    <x v="10"/>
    <d v="2011-04-06T00:00:00"/>
    <x v="0"/>
    <x v="8"/>
    <x v="0"/>
    <x v="39"/>
    <x v="0"/>
    <x v="0"/>
    <s v="Avery 490"/>
    <n v="29.6"/>
    <n v="2"/>
    <x v="0"/>
    <n v="14.8"/>
    <x v="0"/>
  </r>
  <r>
    <s v="CA-2012-120362"/>
    <x v="185"/>
    <x v="4"/>
    <d v="2012-09-19T00:00:00"/>
    <x v="0"/>
    <x v="181"/>
    <x v="0"/>
    <x v="63"/>
    <x v="2"/>
    <x v="5"/>
    <s v="Lesro Round Back Collection Coffee Table, End Table"/>
    <n v="912.75"/>
    <n v="5"/>
    <x v="0"/>
    <n v="118.66"/>
    <x v="2"/>
  </r>
  <r>
    <s v="CA-2011-126361"/>
    <x v="186"/>
    <x v="3"/>
    <d v="2011-08-09T00:00:00"/>
    <x v="0"/>
    <x v="182"/>
    <x v="0"/>
    <x v="64"/>
    <x v="2"/>
    <x v="9"/>
    <s v="Hoover WindTunnel Plus Canister Vacuum"/>
    <n v="1089.75"/>
    <n v="3"/>
    <x v="0"/>
    <n v="305.13"/>
    <x v="1"/>
  </r>
  <r>
    <s v="US-2013-122245"/>
    <x v="187"/>
    <x v="4"/>
    <d v="2013-10-01T00:00:00"/>
    <x v="0"/>
    <x v="183"/>
    <x v="0"/>
    <x v="8"/>
    <x v="3"/>
    <x v="5"/>
    <s v="Bevis Boat-Shaped Conference Table"/>
    <n v="393.17"/>
    <n v="3"/>
    <x v="0"/>
    <n v="-204.45"/>
    <x v="0"/>
  </r>
  <r>
    <s v="CA-2014-115994"/>
    <x v="188"/>
    <x v="5"/>
    <d v="2014-02-01T00:00:00"/>
    <x v="0"/>
    <x v="184"/>
    <x v="0"/>
    <x v="32"/>
    <x v="0"/>
    <x v="6"/>
    <s v="Logitech G13 Programmable Gameboard with LCD Display"/>
    <n v="239.97"/>
    <n v="3"/>
    <x v="0"/>
    <n v="26.4"/>
    <x v="0"/>
  </r>
  <r>
    <s v="CA-2012-124800"/>
    <x v="42"/>
    <x v="4"/>
    <d v="2012-09-30T00:00:00"/>
    <x v="0"/>
    <x v="185"/>
    <x v="0"/>
    <x v="35"/>
    <x v="3"/>
    <x v="8"/>
    <s v="Petty Cash Envelope"/>
    <n v="86.27"/>
    <n v="4"/>
    <x v="0"/>
    <n v="31.27"/>
    <x v="0"/>
  </r>
  <r>
    <s v="US-2012-164448"/>
    <x v="30"/>
    <x v="8"/>
    <d v="2012-11-04T00:00:00"/>
    <x v="0"/>
    <x v="186"/>
    <x v="0"/>
    <x v="47"/>
    <x v="0"/>
    <x v="2"/>
    <s v="Prestige Round Ring Binders"/>
    <n v="9.73"/>
    <n v="2"/>
    <x v="0"/>
    <n v="3.28"/>
    <x v="0"/>
  </r>
  <r>
    <s v="US-2013-153129"/>
    <x v="189"/>
    <x v="1"/>
    <d v="2013-12-31T00:00:00"/>
    <x v="0"/>
    <x v="80"/>
    <x v="0"/>
    <x v="1"/>
    <x v="1"/>
    <x v="8"/>
    <s v="Strathmore Photo Mount Cards"/>
    <n v="33.9"/>
    <n v="5"/>
    <x v="0"/>
    <n v="15.59"/>
    <x v="0"/>
  </r>
  <r>
    <s v="CA-2014-128160"/>
    <x v="190"/>
    <x v="1"/>
    <d v="2014-12-25T00:00:00"/>
    <x v="0"/>
    <x v="187"/>
    <x v="0"/>
    <x v="3"/>
    <x v="0"/>
    <x v="2"/>
    <s v="Deluxe Heavy-Duty Vinyl Round Ring Binder"/>
    <n v="36.67"/>
    <n v="2"/>
    <x v="0"/>
    <n v="11.46"/>
    <x v="0"/>
  </r>
  <r>
    <s v="CA-2012-166135"/>
    <x v="191"/>
    <x v="8"/>
    <d v="2012-10-06T00:00:00"/>
    <x v="0"/>
    <x v="188"/>
    <x v="0"/>
    <x v="7"/>
    <x v="5"/>
    <x v="3"/>
    <s v="Trav-L-File Heavy-Duty Shuttle II, Black"/>
    <n v="139.41999999999999"/>
    <n v="4"/>
    <x v="0"/>
    <n v="17.43"/>
    <x v="0"/>
  </r>
  <r>
    <s v="CA-2012-145821"/>
    <x v="192"/>
    <x v="2"/>
    <d v="2012-05-07T00:00:00"/>
    <x v="0"/>
    <x v="189"/>
    <x v="0"/>
    <x v="0"/>
    <x v="0"/>
    <x v="11"/>
    <s v="OtterBox Defender Series Case - iPhone 5c"/>
    <n v="88.75"/>
    <n v="3"/>
    <x v="0"/>
    <n v="11.09"/>
    <x v="0"/>
  </r>
  <r>
    <s v="US-2012-160150"/>
    <x v="193"/>
    <x v="6"/>
    <d v="2012-07-20T00:00:00"/>
    <x v="0"/>
    <x v="190"/>
    <x v="0"/>
    <x v="8"/>
    <x v="3"/>
    <x v="2"/>
    <s v="Wilson Jones DublLock D-Ring Binders"/>
    <n v="2.0299999999999998"/>
    <n v="1"/>
    <x v="2"/>
    <n v="-1.35"/>
    <x v="0"/>
  </r>
  <r>
    <s v="CA-2012-119907"/>
    <x v="194"/>
    <x v="1"/>
    <d v="2012-12-08T00:00:00"/>
    <x v="1"/>
    <x v="89"/>
    <x v="0"/>
    <x v="1"/>
    <x v="1"/>
    <x v="2"/>
    <s v="Wilson Jones Heavy-Duty Casebound Ring Binders with Metal Hinges"/>
    <n v="55.42"/>
    <n v="2"/>
    <x v="0"/>
    <n v="19.399999999999999"/>
    <x v="0"/>
  </r>
  <r>
    <s v="CA-2011-151708"/>
    <x v="90"/>
    <x v="3"/>
    <d v="2011-08-14T00:00:00"/>
    <x v="0"/>
    <x v="191"/>
    <x v="0"/>
    <x v="65"/>
    <x v="3"/>
    <x v="1"/>
    <s v="Eldon Delta Triangular Chair Mat, 52&quot; x 58&quot;, Clear"/>
    <n v="121.38"/>
    <n v="4"/>
    <x v="0"/>
    <n v="-3.03"/>
    <x v="0"/>
  </r>
  <r>
    <s v="CA-2014-164959"/>
    <x v="195"/>
    <x v="6"/>
    <d v="2014-07-16T00:00:00"/>
    <x v="0"/>
    <x v="192"/>
    <x v="0"/>
    <x v="0"/>
    <x v="0"/>
    <x v="0"/>
    <s v="Avery 482"/>
    <n v="8.67"/>
    <n v="3"/>
    <x v="0"/>
    <n v="4.07"/>
    <x v="0"/>
  </r>
  <r>
    <s v="CA-2014-121468"/>
    <x v="196"/>
    <x v="7"/>
    <d v="2014-11-21T00:00:00"/>
    <x v="0"/>
    <x v="13"/>
    <x v="0"/>
    <x v="66"/>
    <x v="0"/>
    <x v="11"/>
    <s v="Square Credit Card Reader"/>
    <n v="31.97"/>
    <n v="4"/>
    <x v="0"/>
    <n v="2.4"/>
    <x v="0"/>
  </r>
  <r>
    <s v="US-2013-108455"/>
    <x v="197"/>
    <x v="1"/>
    <d v="2013-12-09T00:00:00"/>
    <x v="0"/>
    <x v="193"/>
    <x v="0"/>
    <x v="3"/>
    <x v="0"/>
    <x v="8"/>
    <s v="Xerox 192"/>
    <n v="25.92"/>
    <n v="4"/>
    <x v="0"/>
    <n v="12.44"/>
    <x v="0"/>
  </r>
  <r>
    <s v="US-2013-108098"/>
    <x v="198"/>
    <x v="8"/>
    <d v="2013-10-19T00:00:00"/>
    <x v="0"/>
    <x v="194"/>
    <x v="0"/>
    <x v="1"/>
    <x v="1"/>
    <x v="6"/>
    <s v="WD My Passport Ultra 500GB Portable External Hard Drive"/>
    <n v="177"/>
    <n v="3"/>
    <x v="0"/>
    <n v="30.09"/>
    <x v="0"/>
  </r>
  <r>
    <s v="CA-2012-140410"/>
    <x v="199"/>
    <x v="7"/>
    <d v="2012-11-07T00:00:00"/>
    <x v="0"/>
    <x v="195"/>
    <x v="0"/>
    <x v="0"/>
    <x v="0"/>
    <x v="11"/>
    <s v="Cisco IP Phone 7961G-GE VoIP phone"/>
    <n v="1212.8499999999999"/>
    <n v="7"/>
    <x v="1"/>
    <n v="106.12"/>
    <x v="1"/>
  </r>
  <r>
    <s v="CA-2014-139661"/>
    <x v="200"/>
    <x v="8"/>
    <d v="2014-11-04T00:00:00"/>
    <x v="0"/>
    <x v="196"/>
    <x v="0"/>
    <x v="42"/>
    <x v="1"/>
    <x v="1"/>
    <s v="Magna Visual Magnetic Picture Hangers"/>
    <n v="9.64"/>
    <n v="2"/>
    <x v="0"/>
    <n v="3.66"/>
    <x v="0"/>
  </r>
  <r>
    <s v="CA-2013-141586"/>
    <x v="201"/>
    <x v="8"/>
    <d v="2013-10-21T00:00:00"/>
    <x v="0"/>
    <x v="23"/>
    <x v="0"/>
    <x v="3"/>
    <x v="0"/>
    <x v="2"/>
    <s v="Avery Durable Plastic 1&quot; Binders"/>
    <n v="18.16"/>
    <n v="5"/>
    <x v="0"/>
    <n v="6.58"/>
    <x v="0"/>
  </r>
  <r>
    <s v="CA-2013-100468"/>
    <x v="202"/>
    <x v="7"/>
    <d v="2013-12-02T00:00:00"/>
    <x v="1"/>
    <x v="157"/>
    <x v="0"/>
    <x v="0"/>
    <x v="0"/>
    <x v="11"/>
    <s v="iKross Bluetooth Portable Keyboard + Cell Phone Stand Holder + Brush for Apple iPhone 5S 5C 5, 4S 4"/>
    <n v="33.520000000000003"/>
    <n v="2"/>
    <x v="0"/>
    <n v="3.35"/>
    <x v="0"/>
  </r>
  <r>
    <s v="CA-2012-153388"/>
    <x v="203"/>
    <x v="3"/>
    <d v="2012-08-07T00:00:00"/>
    <x v="0"/>
    <x v="197"/>
    <x v="0"/>
    <x v="0"/>
    <x v="0"/>
    <x v="4"/>
    <s v="Prang Dustless Chalk Sticks"/>
    <n v="6.72"/>
    <n v="4"/>
    <x v="0"/>
    <n v="3.36"/>
    <x v="0"/>
  </r>
  <r>
    <s v="CA-2014-103611"/>
    <x v="204"/>
    <x v="4"/>
    <d v="2014-09-16T00:00:00"/>
    <x v="0"/>
    <x v="198"/>
    <x v="0"/>
    <x v="0"/>
    <x v="0"/>
    <x v="1"/>
    <s v="Eldon Image Series Desk Accessories, Burgundy"/>
    <n v="8.36"/>
    <n v="2"/>
    <x v="0"/>
    <n v="3.01"/>
    <x v="0"/>
  </r>
  <r>
    <s v="CA-2014-100384"/>
    <x v="57"/>
    <x v="0"/>
    <d v="2014-07-02T00:00:00"/>
    <x v="1"/>
    <x v="199"/>
    <x v="0"/>
    <x v="67"/>
    <x v="0"/>
    <x v="4"/>
    <s v="Boston Heavy-Duty Trimline Electric Pencil Sharpeners"/>
    <n v="385.6"/>
    <n v="8"/>
    <x v="1"/>
    <n v="111.82"/>
    <x v="0"/>
  </r>
  <r>
    <s v="CA-2014-148446"/>
    <x v="146"/>
    <x v="1"/>
    <d v="2014-12-15T00:00:00"/>
    <x v="0"/>
    <x v="200"/>
    <x v="0"/>
    <x v="68"/>
    <x v="7"/>
    <x v="5"/>
    <s v="Bretford Just In Time Height-Adjustable Multi-Task Work Tables"/>
    <n v="1669.6"/>
    <n v="4"/>
    <x v="0"/>
    <n v="116.87"/>
    <x v="1"/>
  </r>
  <r>
    <s v="CA-2011-111059"/>
    <x v="205"/>
    <x v="11"/>
    <d v="2011-02-07T00:00:00"/>
    <x v="0"/>
    <x v="201"/>
    <x v="0"/>
    <x v="1"/>
    <x v="1"/>
    <x v="2"/>
    <s v="Ibico Laser Imprintable Binding System Covers"/>
    <n v="83.84"/>
    <n v="2"/>
    <x v="0"/>
    <n v="27.25"/>
    <x v="0"/>
  </r>
  <r>
    <s v="CA-2014-116204"/>
    <x v="206"/>
    <x v="11"/>
    <d v="2014-02-15T00:00:00"/>
    <x v="0"/>
    <x v="202"/>
    <x v="0"/>
    <x v="3"/>
    <x v="0"/>
    <x v="2"/>
    <s v="Acco Pressboard Covers with Storage Hooks, 14 7/8&quot; x 11&quot;, Dark Blue"/>
    <n v="21.34"/>
    <n v="7"/>
    <x v="1"/>
    <n v="7.73"/>
    <x v="0"/>
  </r>
  <r>
    <s v="CA-2012-144806"/>
    <x v="152"/>
    <x v="1"/>
    <d v="2012-12-11T00:00:00"/>
    <x v="0"/>
    <x v="203"/>
    <x v="0"/>
    <x v="26"/>
    <x v="3"/>
    <x v="1"/>
    <s v="Howard Miller 13&quot; Diameter Pewter Finish Round Wall Clock"/>
    <n v="206.11"/>
    <n v="6"/>
    <x v="0"/>
    <n v="48.95"/>
    <x v="0"/>
  </r>
  <r>
    <s v="CA-2014-159884"/>
    <x v="207"/>
    <x v="4"/>
    <d v="2014-09-06T00:00:00"/>
    <x v="0"/>
    <x v="79"/>
    <x v="0"/>
    <x v="69"/>
    <x v="3"/>
    <x v="3"/>
    <s v="Neat Ideas Personal Hanging Folder Files, Black"/>
    <n v="10.74"/>
    <n v="1"/>
    <x v="2"/>
    <n v="0.81"/>
    <x v="0"/>
  </r>
  <r>
    <s v="CA-2014-124086"/>
    <x v="208"/>
    <x v="11"/>
    <d v="2014-02-15T00:00:00"/>
    <x v="0"/>
    <x v="204"/>
    <x v="0"/>
    <x v="70"/>
    <x v="0"/>
    <x v="15"/>
    <s v="Bush Andora Bookcase, Maple/Graphite Gray Finish"/>
    <n v="203.98"/>
    <n v="2"/>
    <x v="0"/>
    <n v="16.8"/>
    <x v="0"/>
  </r>
  <r>
    <s v="CA-2011-107181"/>
    <x v="209"/>
    <x v="11"/>
    <d v="2011-02-09T00:00:00"/>
    <x v="0"/>
    <x v="205"/>
    <x v="0"/>
    <x v="18"/>
    <x v="0"/>
    <x v="2"/>
    <s v="GBC Recycled Grain Textured Covers"/>
    <n v="82.9"/>
    <n v="3"/>
    <x v="0"/>
    <n v="29.01"/>
    <x v="0"/>
  </r>
  <r>
    <s v="CA-2013-159345"/>
    <x v="210"/>
    <x v="0"/>
    <d v="2013-06-23T00:00:00"/>
    <x v="0"/>
    <x v="206"/>
    <x v="0"/>
    <x v="18"/>
    <x v="0"/>
    <x v="8"/>
    <s v="Xerox 1934"/>
    <n v="111.96"/>
    <n v="2"/>
    <x v="0"/>
    <n v="54.86"/>
    <x v="0"/>
  </r>
  <r>
    <s v="CA-2012-111507"/>
    <x v="211"/>
    <x v="11"/>
    <d v="2012-02-13T00:00:00"/>
    <x v="1"/>
    <x v="202"/>
    <x v="0"/>
    <x v="71"/>
    <x v="1"/>
    <x v="4"/>
    <s v="Newell 310"/>
    <n v="5.28"/>
    <n v="3"/>
    <x v="0"/>
    <n v="1.53"/>
    <x v="0"/>
  </r>
  <r>
    <s v="CA-2012-112116"/>
    <x v="212"/>
    <x v="9"/>
    <d v="2012-03-18T00:00:00"/>
    <x v="0"/>
    <x v="207"/>
    <x v="0"/>
    <x v="1"/>
    <x v="1"/>
    <x v="5"/>
    <s v="KI Adjustable-Height Table"/>
    <n v="171.96"/>
    <n v="2"/>
    <x v="0"/>
    <n v="44.71"/>
    <x v="0"/>
  </r>
  <r>
    <s v="CA-2013-126809"/>
    <x v="213"/>
    <x v="10"/>
    <d v="2013-04-14T00:00:00"/>
    <x v="0"/>
    <x v="208"/>
    <x v="0"/>
    <x v="1"/>
    <x v="1"/>
    <x v="2"/>
    <s v="Acco Pressboard Covers with Storage Hooks, 14 7/8&quot; x 11&quot;, Light Blue"/>
    <n v="35.35"/>
    <n v="9"/>
    <x v="1"/>
    <n v="12.82"/>
    <x v="0"/>
  </r>
  <r>
    <s v="CA-2011-105172"/>
    <x v="214"/>
    <x v="10"/>
    <d v="2011-04-09T00:00:00"/>
    <x v="0"/>
    <x v="209"/>
    <x v="0"/>
    <x v="3"/>
    <x v="0"/>
    <x v="0"/>
    <s v="Avery 518"/>
    <n v="18.899999999999999"/>
    <n v="6"/>
    <x v="0"/>
    <n v="9.07"/>
    <x v="0"/>
  </r>
  <r>
    <s v="CA-2014-107293"/>
    <x v="215"/>
    <x v="4"/>
    <d v="2014-09-07T00:00:00"/>
    <x v="0"/>
    <x v="210"/>
    <x v="0"/>
    <x v="1"/>
    <x v="1"/>
    <x v="4"/>
    <s v="Newell 333"/>
    <n v="2.78"/>
    <n v="1"/>
    <x v="2"/>
    <n v="0.72"/>
    <x v="0"/>
  </r>
  <r>
    <s v="CA-2012-132101"/>
    <x v="216"/>
    <x v="9"/>
    <d v="2012-03-25T00:00:00"/>
    <x v="0"/>
    <x v="211"/>
    <x v="0"/>
    <x v="1"/>
    <x v="1"/>
    <x v="11"/>
    <s v="Wireless Extenders zBoost YX545 SOHO Signal Booster"/>
    <n v="453.58"/>
    <n v="3"/>
    <x v="0"/>
    <n v="39.69"/>
    <x v="0"/>
  </r>
  <r>
    <s v="US-2014-152002"/>
    <x v="217"/>
    <x v="0"/>
    <d v="2014-06-12T00:00:00"/>
    <x v="0"/>
    <x v="85"/>
    <x v="0"/>
    <x v="0"/>
    <x v="0"/>
    <x v="8"/>
    <s v="White Dual Perf Computer Printout Paper, 2700 Sheets, 1 Part, Heavyweight, 20 lbs., 14 7/8 x 11"/>
    <n v="122.97"/>
    <n v="3"/>
    <x v="0"/>
    <n v="60.26"/>
    <x v="0"/>
  </r>
  <r>
    <s v="US-2011-157385"/>
    <x v="218"/>
    <x v="7"/>
    <d v="2011-11-25T00:00:00"/>
    <x v="0"/>
    <x v="61"/>
    <x v="0"/>
    <x v="0"/>
    <x v="0"/>
    <x v="7"/>
    <s v="Novimex Swivel Fabric Task Chair"/>
    <n v="603.91999999999996"/>
    <n v="5"/>
    <x v="0"/>
    <n v="-67.94"/>
    <x v="2"/>
  </r>
  <r>
    <s v="CA-2012-122826"/>
    <x v="219"/>
    <x v="0"/>
    <d v="2012-06-25T00:00:00"/>
    <x v="0"/>
    <x v="212"/>
    <x v="0"/>
    <x v="53"/>
    <x v="1"/>
    <x v="11"/>
    <s v="Pyle PRT45 Retro Home Telephone"/>
    <n v="201.57"/>
    <n v="4"/>
    <x v="0"/>
    <n v="22.68"/>
    <x v="0"/>
  </r>
  <r>
    <s v="CA-2011-117317"/>
    <x v="220"/>
    <x v="8"/>
    <d v="2011-10-19T00:00:00"/>
    <x v="0"/>
    <x v="79"/>
    <x v="0"/>
    <x v="0"/>
    <x v="0"/>
    <x v="8"/>
    <s v="Spiral Phone Message Books with Labels by Adams"/>
    <n v="13.44"/>
    <n v="3"/>
    <x v="0"/>
    <n v="6.59"/>
    <x v="0"/>
  </r>
  <r>
    <s v="US-2013-115819"/>
    <x v="221"/>
    <x v="10"/>
    <d v="2013-04-25T00:00:00"/>
    <x v="0"/>
    <x v="40"/>
    <x v="0"/>
    <x v="0"/>
    <x v="0"/>
    <x v="11"/>
    <s v="PowerGen Dual USB Car Charger"/>
    <n v="39.96"/>
    <n v="5"/>
    <x v="0"/>
    <n v="12.99"/>
    <x v="0"/>
  </r>
  <r>
    <s v="CA-2011-156349"/>
    <x v="222"/>
    <x v="2"/>
    <d v="2011-05-30T00:00:00"/>
    <x v="0"/>
    <x v="213"/>
    <x v="0"/>
    <x v="0"/>
    <x v="0"/>
    <x v="15"/>
    <s v="Sauder Inglewood Library Bookcases"/>
    <n v="290.67"/>
    <n v="2"/>
    <x v="0"/>
    <n v="27.36"/>
    <x v="0"/>
  </r>
  <r>
    <s v="CA-2014-138380"/>
    <x v="71"/>
    <x v="1"/>
    <d v="2014-12-26T00:00:00"/>
    <x v="0"/>
    <x v="214"/>
    <x v="0"/>
    <x v="54"/>
    <x v="0"/>
    <x v="3"/>
    <s v="Letter Size Cart"/>
    <n v="1000.02"/>
    <n v="7"/>
    <x v="1"/>
    <n v="290.01"/>
    <x v="1"/>
  </r>
  <r>
    <s v="CA-2014-108560"/>
    <x v="182"/>
    <x v="6"/>
    <d v="2014-07-16T00:00:00"/>
    <x v="1"/>
    <x v="215"/>
    <x v="0"/>
    <x v="72"/>
    <x v="1"/>
    <x v="1"/>
    <s v="GE 48&quot; Fluorescent Tube, Cool White Energy Saver, 34 Watts, 30/Box"/>
    <n v="198.46"/>
    <n v="2"/>
    <x v="0"/>
    <n v="99.23"/>
    <x v="0"/>
  </r>
  <r>
    <s v="CA-2012-157084"/>
    <x v="223"/>
    <x v="1"/>
    <d v="2012-12-24T00:00:00"/>
    <x v="0"/>
    <x v="216"/>
    <x v="0"/>
    <x v="0"/>
    <x v="0"/>
    <x v="11"/>
    <s v="ShoreTel ShorePhone IP 230 VoIP phone"/>
    <n v="675.96"/>
    <n v="5"/>
    <x v="0"/>
    <n v="84.5"/>
    <x v="2"/>
  </r>
  <r>
    <s v="CA-2011-168984"/>
    <x v="224"/>
    <x v="7"/>
    <d v="2011-12-02T00:00:00"/>
    <x v="0"/>
    <x v="217"/>
    <x v="0"/>
    <x v="73"/>
    <x v="4"/>
    <x v="8"/>
    <s v="Xerox 2"/>
    <n v="15.55"/>
    <n v="3"/>
    <x v="0"/>
    <n v="5.44"/>
    <x v="0"/>
  </r>
  <r>
    <s v="CA-2012-111829"/>
    <x v="216"/>
    <x v="9"/>
    <d v="2012-03-20T00:00:00"/>
    <x v="0"/>
    <x v="218"/>
    <x v="0"/>
    <x v="1"/>
    <x v="1"/>
    <x v="3"/>
    <s v="Deluxe Rollaway Locking File with Drawer"/>
    <n v="1247.6400000000001"/>
    <n v="3"/>
    <x v="0"/>
    <n v="349.34"/>
    <x v="1"/>
  </r>
  <r>
    <s v="CA-2011-135699"/>
    <x v="225"/>
    <x v="3"/>
    <d v="2011-08-29T00:00:00"/>
    <x v="0"/>
    <x v="219"/>
    <x v="0"/>
    <x v="3"/>
    <x v="0"/>
    <x v="8"/>
    <s v="Xerox 1940"/>
    <n v="109.92"/>
    <n v="2"/>
    <x v="0"/>
    <n v="53.86"/>
    <x v="0"/>
  </r>
  <r>
    <s v="US-2014-132444"/>
    <x v="226"/>
    <x v="7"/>
    <d v="2014-11-22T00:00:00"/>
    <x v="0"/>
    <x v="220"/>
    <x v="0"/>
    <x v="1"/>
    <x v="1"/>
    <x v="3"/>
    <s v="Eldon Portable Mobile Manager"/>
    <n v="169.68"/>
    <n v="6"/>
    <x v="0"/>
    <n v="45.81"/>
    <x v="0"/>
  </r>
  <r>
    <s v="CA-2014-161809"/>
    <x v="227"/>
    <x v="5"/>
    <d v="2014-01-27T00:00:00"/>
    <x v="0"/>
    <x v="221"/>
    <x v="0"/>
    <x v="0"/>
    <x v="0"/>
    <x v="11"/>
    <s v="RCA Visys Integrated PBX 8-Line Router"/>
    <n v="160.78"/>
    <n v="3"/>
    <x v="0"/>
    <n v="10.050000000000001"/>
    <x v="0"/>
  </r>
  <r>
    <s v="CA-2014-127285"/>
    <x v="200"/>
    <x v="8"/>
    <d v="2014-11-07T00:00:00"/>
    <x v="1"/>
    <x v="222"/>
    <x v="0"/>
    <x v="1"/>
    <x v="1"/>
    <x v="2"/>
    <s v="GBC Velobind Prepunched Cover Sets, Regency Series"/>
    <n v="88.75"/>
    <n v="3"/>
    <x v="0"/>
    <n v="27.74"/>
    <x v="0"/>
  </r>
  <r>
    <s v="CA-2013-107615"/>
    <x v="228"/>
    <x v="9"/>
    <d v="2013-03-26T00:00:00"/>
    <x v="0"/>
    <x v="223"/>
    <x v="0"/>
    <x v="68"/>
    <x v="7"/>
    <x v="6"/>
    <s v="Logitech ClearChat Comfort/USB Headset H390"/>
    <n v="58.58"/>
    <n v="2"/>
    <x v="0"/>
    <n v="19.329999999999998"/>
    <x v="0"/>
  </r>
  <r>
    <s v="CA-2013-122728"/>
    <x v="229"/>
    <x v="2"/>
    <d v="2013-05-25T00:00:00"/>
    <x v="0"/>
    <x v="224"/>
    <x v="0"/>
    <x v="3"/>
    <x v="0"/>
    <x v="3"/>
    <s v="Home/Office Personal File Carts"/>
    <n v="104.28"/>
    <n v="3"/>
    <x v="0"/>
    <n v="26.07"/>
    <x v="0"/>
  </r>
  <r>
    <s v="US-2013-101497"/>
    <x v="230"/>
    <x v="4"/>
    <d v="2013-10-02T00:00:00"/>
    <x v="0"/>
    <x v="225"/>
    <x v="0"/>
    <x v="0"/>
    <x v="0"/>
    <x v="8"/>
    <s v="Xerox 1887"/>
    <n v="18.97"/>
    <n v="1"/>
    <x v="2"/>
    <n v="9.11"/>
    <x v="0"/>
  </r>
  <r>
    <s v="CA-2013-147585"/>
    <x v="27"/>
    <x v="7"/>
    <d v="2013-11-13T00:00:00"/>
    <x v="0"/>
    <x v="226"/>
    <x v="0"/>
    <x v="3"/>
    <x v="0"/>
    <x v="1"/>
    <s v="C-Line Magnetic Cubicle Keepers, Clear Polypropylene"/>
    <n v="14.82"/>
    <n v="3"/>
    <x v="0"/>
    <n v="6.22"/>
    <x v="0"/>
  </r>
  <r>
    <s v="CA-2012-148376"/>
    <x v="231"/>
    <x v="1"/>
    <d v="2012-12-31T00:00:00"/>
    <x v="0"/>
    <x v="51"/>
    <x v="0"/>
    <x v="0"/>
    <x v="0"/>
    <x v="9"/>
    <s v="Belkin F9G930V10-GRY 9 Outlet Surge"/>
    <n v="106.96"/>
    <n v="2"/>
    <x v="0"/>
    <n v="31.02"/>
    <x v="0"/>
  </r>
  <r>
    <s v="CA-2011-135657"/>
    <x v="232"/>
    <x v="0"/>
    <d v="2011-06-07T00:00:00"/>
    <x v="0"/>
    <x v="227"/>
    <x v="0"/>
    <x v="1"/>
    <x v="1"/>
    <x v="5"/>
    <s v="KI Adjustable-Height Table"/>
    <n v="515.88"/>
    <n v="6"/>
    <x v="0"/>
    <n v="113.49"/>
    <x v="2"/>
  </r>
  <r>
    <s v="CA-2011-139857"/>
    <x v="233"/>
    <x v="11"/>
    <d v="2011-02-07T00:00:00"/>
    <x v="0"/>
    <x v="228"/>
    <x v="0"/>
    <x v="18"/>
    <x v="0"/>
    <x v="12"/>
    <s v="Staples"/>
    <n v="12.35"/>
    <n v="5"/>
    <x v="0"/>
    <n v="5.8"/>
    <x v="0"/>
  </r>
  <r>
    <s v="CA-2013-106306"/>
    <x v="234"/>
    <x v="9"/>
    <d v="2013-03-09T00:00:00"/>
    <x v="0"/>
    <x v="115"/>
    <x v="0"/>
    <x v="65"/>
    <x v="3"/>
    <x v="2"/>
    <s v="GBC Standard Recycled Report Covers, Clear Plastic Sheets"/>
    <n v="9.6999999999999993"/>
    <n v="3"/>
    <x v="0"/>
    <n v="-7.11"/>
    <x v="0"/>
  </r>
  <r>
    <s v="CA-2014-123491"/>
    <x v="200"/>
    <x v="8"/>
    <d v="2014-11-06T00:00:00"/>
    <x v="0"/>
    <x v="229"/>
    <x v="0"/>
    <x v="3"/>
    <x v="0"/>
    <x v="0"/>
    <s v="Avery 500"/>
    <n v="43.86"/>
    <n v="6"/>
    <x v="0"/>
    <n v="20.61"/>
    <x v="0"/>
  </r>
  <r>
    <s v="CA-2014-104003"/>
    <x v="235"/>
    <x v="8"/>
    <d v="2014-10-14T00:00:00"/>
    <x v="0"/>
    <x v="230"/>
    <x v="0"/>
    <x v="3"/>
    <x v="0"/>
    <x v="15"/>
    <s v="O'Sullivan Manor Hill 2-Door Library in Brianna Oak"/>
    <n v="307.67"/>
    <n v="2"/>
    <x v="0"/>
    <n v="-14.48"/>
    <x v="0"/>
  </r>
  <r>
    <s v="CA-2012-130204"/>
    <x v="236"/>
    <x v="4"/>
    <d v="2012-09-09T00:00:00"/>
    <x v="0"/>
    <x v="34"/>
    <x v="0"/>
    <x v="3"/>
    <x v="0"/>
    <x v="3"/>
    <s v="Sterilite Officeware Hinged File Box"/>
    <n v="31.44"/>
    <n v="3"/>
    <x v="0"/>
    <n v="8.49"/>
    <x v="0"/>
  </r>
  <r>
    <s v="CA-2011-110527"/>
    <x v="237"/>
    <x v="3"/>
    <d v="2011-08-16T00:00:00"/>
    <x v="1"/>
    <x v="231"/>
    <x v="0"/>
    <x v="18"/>
    <x v="0"/>
    <x v="0"/>
    <s v="Avery 494"/>
    <n v="20.88"/>
    <n v="8"/>
    <x v="1"/>
    <n v="9.6"/>
    <x v="0"/>
  </r>
  <r>
    <s v="CA-2014-168837"/>
    <x v="238"/>
    <x v="8"/>
    <d v="2014-10-18T00:00:00"/>
    <x v="0"/>
    <x v="232"/>
    <x v="0"/>
    <x v="54"/>
    <x v="0"/>
    <x v="1"/>
    <s v="C-Line Cubicle Keepers Polyproplyene Holder With Velcro Backings"/>
    <n v="9.4600000000000009"/>
    <n v="2"/>
    <x v="0"/>
    <n v="3.69"/>
    <x v="0"/>
  </r>
  <r>
    <s v="CA-2014-116715"/>
    <x v="239"/>
    <x v="1"/>
    <d v="2014-12-06T00:00:00"/>
    <x v="0"/>
    <x v="202"/>
    <x v="0"/>
    <x v="3"/>
    <x v="0"/>
    <x v="3"/>
    <s v="Fellowes Mobile File Cart, Black"/>
    <n v="559.62"/>
    <n v="9"/>
    <x v="1"/>
    <n v="151.1"/>
    <x v="2"/>
  </r>
  <r>
    <s v="CA-2012-130785"/>
    <x v="240"/>
    <x v="4"/>
    <d v="2012-09-09T00:00:00"/>
    <x v="0"/>
    <x v="51"/>
    <x v="0"/>
    <x v="18"/>
    <x v="0"/>
    <x v="15"/>
    <s v="Sauder Camden County Barrister Bookcase, Planked Cherry Finish"/>
    <n v="411.33"/>
    <n v="4"/>
    <x v="0"/>
    <n v="-4.84"/>
    <x v="0"/>
  </r>
  <r>
    <s v="CA-2012-105347"/>
    <x v="8"/>
    <x v="7"/>
    <d v="2012-11-28T00:00:00"/>
    <x v="0"/>
    <x v="233"/>
    <x v="0"/>
    <x v="0"/>
    <x v="0"/>
    <x v="8"/>
    <s v="Xerox 1919"/>
    <n v="368.91"/>
    <n v="9"/>
    <x v="1"/>
    <n v="180.77"/>
    <x v="0"/>
  </r>
  <r>
    <s v="CA-2013-100965"/>
    <x v="241"/>
    <x v="6"/>
    <d v="2013-07-12T00:00:00"/>
    <x v="0"/>
    <x v="234"/>
    <x v="0"/>
    <x v="12"/>
    <x v="0"/>
    <x v="1"/>
    <s v="Howard Miller 11-1/2&quot; Diameter Grantwood Wall Clock"/>
    <n v="215.65"/>
    <n v="5"/>
    <x v="0"/>
    <n v="73.319999999999993"/>
    <x v="0"/>
  </r>
  <r>
    <s v="CA-2013-149461"/>
    <x v="139"/>
    <x v="7"/>
    <d v="2013-11-20T00:00:00"/>
    <x v="0"/>
    <x v="235"/>
    <x v="0"/>
    <x v="74"/>
    <x v="1"/>
    <x v="1"/>
    <s v="Eldon Image Series Desk Accessories, Burgundy"/>
    <n v="4.18"/>
    <n v="1"/>
    <x v="2"/>
    <n v="1.5"/>
    <x v="0"/>
  </r>
  <r>
    <s v="US-2013-116729"/>
    <x v="242"/>
    <x v="1"/>
    <d v="2013-12-29T00:00:00"/>
    <x v="0"/>
    <x v="45"/>
    <x v="0"/>
    <x v="0"/>
    <x v="0"/>
    <x v="11"/>
    <s v="Samsung Galaxy Note 2"/>
    <n v="2575.94"/>
    <n v="7"/>
    <x v="1"/>
    <n v="257.58999999999997"/>
    <x v="1"/>
  </r>
  <r>
    <s v="CA-2012-131597"/>
    <x v="185"/>
    <x v="4"/>
    <d v="2012-09-18T00:00:00"/>
    <x v="0"/>
    <x v="236"/>
    <x v="0"/>
    <x v="0"/>
    <x v="0"/>
    <x v="5"/>
    <s v="KI Conference Tables"/>
    <n v="170.14"/>
    <n v="3"/>
    <x v="0"/>
    <n v="-8.51"/>
    <x v="0"/>
  </r>
  <r>
    <s v="CA-2012-164833"/>
    <x v="243"/>
    <x v="0"/>
    <d v="2012-06-04T00:00:00"/>
    <x v="0"/>
    <x v="237"/>
    <x v="0"/>
    <x v="1"/>
    <x v="1"/>
    <x v="0"/>
    <s v="Avery 501"/>
    <n v="7.38"/>
    <n v="2"/>
    <x v="0"/>
    <n v="3.47"/>
    <x v="0"/>
  </r>
  <r>
    <s v="CA-2012-125423"/>
    <x v="127"/>
    <x v="1"/>
    <d v="2012-12-15T00:00:00"/>
    <x v="0"/>
    <x v="238"/>
    <x v="0"/>
    <x v="0"/>
    <x v="0"/>
    <x v="0"/>
    <s v="Avery 513"/>
    <n v="9.9600000000000009"/>
    <n v="2"/>
    <x v="0"/>
    <n v="4.58"/>
    <x v="0"/>
  </r>
  <r>
    <s v="CA-2013-167507"/>
    <x v="244"/>
    <x v="1"/>
    <d v="2013-12-29T00:00:00"/>
    <x v="0"/>
    <x v="239"/>
    <x v="0"/>
    <x v="75"/>
    <x v="4"/>
    <x v="2"/>
    <s v="Avery 3 1/2&quot; Diskette Storage Pages, 10/Pack"/>
    <n v="31.32"/>
    <n v="10"/>
    <x v="1"/>
    <n v="-25.06"/>
    <x v="0"/>
  </r>
  <r>
    <s v="US-2014-113852"/>
    <x v="245"/>
    <x v="6"/>
    <d v="2014-08-03T00:00:00"/>
    <x v="0"/>
    <x v="240"/>
    <x v="0"/>
    <x v="1"/>
    <x v="1"/>
    <x v="6"/>
    <s v="Imation 8GB Mini TravelDrive USB 2.0 Flash Drive"/>
    <n v="90.57"/>
    <n v="3"/>
    <x v="0"/>
    <n v="11.77"/>
    <x v="0"/>
  </r>
  <r>
    <s v="CA-2014-128370"/>
    <x v="246"/>
    <x v="4"/>
    <d v="2014-09-11T00:00:00"/>
    <x v="0"/>
    <x v="241"/>
    <x v="0"/>
    <x v="0"/>
    <x v="0"/>
    <x v="7"/>
    <s v="DMI Arturo Collection Mission-style Design Wood Chair"/>
    <n v="362.35"/>
    <n v="3"/>
    <x v="0"/>
    <n v="27.18"/>
    <x v="0"/>
  </r>
  <r>
    <s v="CA-2011-114643"/>
    <x v="247"/>
    <x v="0"/>
    <d v="2011-06-17T00:00:00"/>
    <x v="0"/>
    <x v="242"/>
    <x v="0"/>
    <x v="0"/>
    <x v="0"/>
    <x v="4"/>
    <s v="Staples"/>
    <n v="14.52"/>
    <n v="3"/>
    <x v="0"/>
    <n v="4.79"/>
    <x v="0"/>
  </r>
  <r>
    <s v="US-2013-100839"/>
    <x v="18"/>
    <x v="8"/>
    <d v="2013-10-18T00:00:00"/>
    <x v="0"/>
    <x v="243"/>
    <x v="0"/>
    <x v="7"/>
    <x v="5"/>
    <x v="5"/>
    <s v="Hon 5100 Series Wood Tables"/>
    <n v="727.45"/>
    <n v="5"/>
    <x v="0"/>
    <n v="-465.57"/>
    <x v="2"/>
  </r>
  <r>
    <s v="CA-2014-118857"/>
    <x v="248"/>
    <x v="10"/>
    <d v="2014-04-19T00:00:00"/>
    <x v="0"/>
    <x v="244"/>
    <x v="0"/>
    <x v="76"/>
    <x v="7"/>
    <x v="1"/>
    <s v="Howard Miller 12&quot; Round Wall Clock"/>
    <n v="196.45"/>
    <n v="5"/>
    <x v="0"/>
    <n v="70.72"/>
    <x v="0"/>
  </r>
  <r>
    <s v="CA-2013-148201"/>
    <x v="138"/>
    <x v="3"/>
    <d v="2013-08-30T00:00:00"/>
    <x v="0"/>
    <x v="84"/>
    <x v="0"/>
    <x v="1"/>
    <x v="1"/>
    <x v="8"/>
    <s v="Xerox 1931"/>
    <n v="6.48"/>
    <n v="1"/>
    <x v="2"/>
    <n v="3.11"/>
    <x v="0"/>
  </r>
  <r>
    <s v="CA-2011-116932"/>
    <x v="249"/>
    <x v="6"/>
    <d v="2011-07-25T00:00:00"/>
    <x v="0"/>
    <x v="245"/>
    <x v="0"/>
    <x v="3"/>
    <x v="0"/>
    <x v="4"/>
    <s v="Newell 334"/>
    <n v="99.2"/>
    <n v="5"/>
    <x v="0"/>
    <n v="25.79"/>
    <x v="0"/>
  </r>
  <r>
    <s v="CA-2014-142888"/>
    <x v="250"/>
    <x v="7"/>
    <d v="2014-11-26T00:00:00"/>
    <x v="0"/>
    <x v="246"/>
    <x v="0"/>
    <x v="77"/>
    <x v="1"/>
    <x v="5"/>
    <s v="Safco Drafting Table"/>
    <n v="70.98"/>
    <n v="1"/>
    <x v="2"/>
    <n v="20.58"/>
    <x v="0"/>
  </r>
  <r>
    <s v="CA-2014-118885"/>
    <x v="251"/>
    <x v="1"/>
    <d v="2015-01-03T00:00:00"/>
    <x v="0"/>
    <x v="216"/>
    <x v="0"/>
    <x v="0"/>
    <x v="0"/>
    <x v="7"/>
    <s v="Global High-Back Leather Tilter, Burgundy"/>
    <n v="393.57"/>
    <n v="4"/>
    <x v="0"/>
    <n v="-44.28"/>
    <x v="0"/>
  </r>
  <r>
    <s v="CA-2013-147578"/>
    <x v="63"/>
    <x v="10"/>
    <d v="2013-04-27T00:00:00"/>
    <x v="0"/>
    <x v="247"/>
    <x v="0"/>
    <x v="3"/>
    <x v="0"/>
    <x v="1"/>
    <s v="Ultra Door Pull Handle"/>
    <n v="31.56"/>
    <n v="3"/>
    <x v="0"/>
    <n v="10.41"/>
    <x v="0"/>
  </r>
  <r>
    <s v="CA-2011-157623"/>
    <x v="252"/>
    <x v="9"/>
    <d v="2011-03-18T00:00:00"/>
    <x v="0"/>
    <x v="76"/>
    <x v="0"/>
    <x v="29"/>
    <x v="0"/>
    <x v="8"/>
    <s v="Xerox 1972"/>
    <n v="10.56"/>
    <n v="2"/>
    <x v="0"/>
    <n v="4.75"/>
    <x v="0"/>
  </r>
  <r>
    <s v="CA-2013-100083"/>
    <x v="202"/>
    <x v="7"/>
    <d v="2013-11-30T00:00:00"/>
    <x v="0"/>
    <x v="248"/>
    <x v="0"/>
    <x v="78"/>
    <x v="4"/>
    <x v="8"/>
    <s v="IBM Multi-Purpose Copy Paper, 8 1/2 x 11&quot;, Case"/>
    <n v="24.78"/>
    <n v="1"/>
    <x v="2"/>
    <n v="7.75"/>
    <x v="0"/>
  </r>
  <r>
    <s v="CA-2012-109197"/>
    <x v="253"/>
    <x v="1"/>
    <d v="2013-01-04T00:00:00"/>
    <x v="0"/>
    <x v="40"/>
    <x v="0"/>
    <x v="79"/>
    <x v="8"/>
    <x v="2"/>
    <s v="Ibico Hi-Tech Manual Binding System"/>
    <n v="487.98"/>
    <n v="2"/>
    <x v="0"/>
    <n v="152.5"/>
    <x v="0"/>
  </r>
  <r>
    <s v="CA-2014-167094"/>
    <x v="254"/>
    <x v="8"/>
    <d v="2014-10-23T00:00:00"/>
    <x v="0"/>
    <x v="186"/>
    <x v="0"/>
    <x v="80"/>
    <x v="4"/>
    <x v="8"/>
    <s v="Xerox 218"/>
    <n v="5.18"/>
    <n v="1"/>
    <x v="2"/>
    <n v="1.81"/>
    <x v="0"/>
  </r>
  <r>
    <s v="CA-2012-157959"/>
    <x v="255"/>
    <x v="11"/>
    <d v="2012-02-04T00:00:00"/>
    <x v="0"/>
    <x v="185"/>
    <x v="0"/>
    <x v="0"/>
    <x v="0"/>
    <x v="1"/>
    <s v="Hand-Finished Solid Wood Document Frame"/>
    <n v="136.91999999999999"/>
    <n v="4"/>
    <x v="0"/>
    <n v="41.08"/>
    <x v="0"/>
  </r>
  <r>
    <s v="CA-2013-105963"/>
    <x v="256"/>
    <x v="7"/>
    <d v="2013-11-23T00:00:00"/>
    <x v="1"/>
    <x v="249"/>
    <x v="0"/>
    <x v="0"/>
    <x v="0"/>
    <x v="6"/>
    <s v="Imation 16GB Mini TravelDrive USB 2.0 Flash Drive"/>
    <n v="99.39"/>
    <n v="3"/>
    <x v="0"/>
    <n v="40.75"/>
    <x v="0"/>
  </r>
  <r>
    <s v="CA-2014-126865"/>
    <x v="257"/>
    <x v="1"/>
    <d v="2014-12-08T00:00:00"/>
    <x v="0"/>
    <x v="148"/>
    <x v="0"/>
    <x v="18"/>
    <x v="0"/>
    <x v="8"/>
    <s v="Xerox 1960"/>
    <n v="92.94"/>
    <n v="3"/>
    <x v="0"/>
    <n v="41.82"/>
    <x v="0"/>
  </r>
  <r>
    <s v="CA-2014-102834"/>
    <x v="258"/>
    <x v="9"/>
    <d v="2014-03-14T00:00:00"/>
    <x v="0"/>
    <x v="129"/>
    <x v="0"/>
    <x v="3"/>
    <x v="0"/>
    <x v="6"/>
    <s v="Logitech Wireless Headset h800"/>
    <n v="199.98"/>
    <n v="2"/>
    <x v="0"/>
    <n v="69.989999999999995"/>
    <x v="0"/>
  </r>
  <r>
    <s v="US-2013-139710"/>
    <x v="259"/>
    <x v="0"/>
    <d v="2013-06-16T00:00:00"/>
    <x v="0"/>
    <x v="162"/>
    <x v="0"/>
    <x v="0"/>
    <x v="0"/>
    <x v="11"/>
    <s v="Avaya 4621SW VoIP phone"/>
    <n v="177.48"/>
    <n v="3"/>
    <x v="0"/>
    <n v="19.97"/>
    <x v="0"/>
  </r>
  <r>
    <s v="CA-2014-121538"/>
    <x v="260"/>
    <x v="7"/>
    <d v="2014-12-02T00:00:00"/>
    <x v="0"/>
    <x v="250"/>
    <x v="0"/>
    <x v="15"/>
    <x v="5"/>
    <x v="8"/>
    <s v="Eaton Premium Continuous-Feed Paper, 25% Cotton, Letter Size, White, 1000 Shts/Box"/>
    <n v="88.77"/>
    <n v="2"/>
    <x v="0"/>
    <n v="31.07"/>
    <x v="0"/>
  </r>
  <r>
    <s v="US-2014-101539"/>
    <x v="261"/>
    <x v="9"/>
    <d v="2014-03-19T00:00:00"/>
    <x v="0"/>
    <x v="251"/>
    <x v="0"/>
    <x v="1"/>
    <x v="1"/>
    <x v="8"/>
    <s v="Xerox 214"/>
    <n v="6.48"/>
    <n v="1"/>
    <x v="2"/>
    <n v="3.11"/>
    <x v="0"/>
  </r>
  <r>
    <s v="CA-2013-152121"/>
    <x v="262"/>
    <x v="7"/>
    <d v="2013-11-30T00:00:00"/>
    <x v="0"/>
    <x v="252"/>
    <x v="0"/>
    <x v="11"/>
    <x v="3"/>
    <x v="11"/>
    <s v="Motorola Moto X"/>
    <n v="271.99"/>
    <n v="1"/>
    <x v="2"/>
    <n v="23.8"/>
    <x v="0"/>
  </r>
  <r>
    <s v="CA-2014-101245"/>
    <x v="263"/>
    <x v="7"/>
    <d v="2014-12-04T00:00:00"/>
    <x v="0"/>
    <x v="129"/>
    <x v="0"/>
    <x v="3"/>
    <x v="0"/>
    <x v="8"/>
    <s v="Tops White Computer Printout Paper"/>
    <n v="244.55"/>
    <n v="5"/>
    <x v="0"/>
    <n v="114.94"/>
    <x v="0"/>
  </r>
  <r>
    <s v="CA-2012-141768"/>
    <x v="171"/>
    <x v="2"/>
    <d v="2012-05-27T00:00:00"/>
    <x v="0"/>
    <x v="253"/>
    <x v="0"/>
    <x v="3"/>
    <x v="0"/>
    <x v="1"/>
    <s v="Ultra Door Push Plate"/>
    <n v="14.73"/>
    <n v="3"/>
    <x v="0"/>
    <n v="4.8600000000000003"/>
    <x v="0"/>
  </r>
  <r>
    <s v="CA-2013-112109"/>
    <x v="264"/>
    <x v="6"/>
    <d v="2013-07-13T00:00:00"/>
    <x v="0"/>
    <x v="254"/>
    <x v="0"/>
    <x v="81"/>
    <x v="5"/>
    <x v="2"/>
    <s v="GBC Twin Loop Wire Binding Elements"/>
    <n v="19.97"/>
    <n v="2"/>
    <x v="0"/>
    <n v="-13.31"/>
    <x v="0"/>
  </r>
  <r>
    <s v="CA-2012-109939"/>
    <x v="265"/>
    <x v="2"/>
    <d v="2012-05-12T00:00:00"/>
    <x v="0"/>
    <x v="73"/>
    <x v="0"/>
    <x v="38"/>
    <x v="4"/>
    <x v="4"/>
    <s v="Newell 321"/>
    <n v="5.25"/>
    <n v="2"/>
    <x v="0"/>
    <n v="0.59"/>
    <x v="0"/>
  </r>
  <r>
    <s v="CA-2013-112669"/>
    <x v="58"/>
    <x v="10"/>
    <d v="2013-04-15T00:00:00"/>
    <x v="0"/>
    <x v="177"/>
    <x v="0"/>
    <x v="65"/>
    <x v="3"/>
    <x v="7"/>
    <s v="Hon 4070 Series Pagoda Armless Upholstered Stacking Chairs"/>
    <n v="933.54"/>
    <n v="4"/>
    <x v="0"/>
    <n v="105.02"/>
    <x v="2"/>
  </r>
  <r>
    <s v="CA-2011-164721"/>
    <x v="266"/>
    <x v="7"/>
    <d v="2011-11-27T00:00:00"/>
    <x v="0"/>
    <x v="255"/>
    <x v="0"/>
    <x v="19"/>
    <x v="0"/>
    <x v="9"/>
    <s v="Belkin F9G930V10-GRY 9 Outlet Surge"/>
    <n v="320.88"/>
    <n v="6"/>
    <x v="0"/>
    <n v="93.06"/>
    <x v="0"/>
  </r>
  <r>
    <s v="CA-2014-133648"/>
    <x v="267"/>
    <x v="0"/>
    <d v="2014-07-03T00:00:00"/>
    <x v="1"/>
    <x v="256"/>
    <x v="0"/>
    <x v="80"/>
    <x v="4"/>
    <x v="0"/>
    <s v="Alphabetical Labels for Top Tab Filing"/>
    <n v="71.040000000000006"/>
    <n v="6"/>
    <x v="0"/>
    <n v="26.64"/>
    <x v="0"/>
  </r>
  <r>
    <s v="CA-2014-166128"/>
    <x v="268"/>
    <x v="10"/>
    <d v="2014-04-19T00:00:00"/>
    <x v="1"/>
    <x v="257"/>
    <x v="0"/>
    <x v="10"/>
    <x v="0"/>
    <x v="6"/>
    <s v="SanDisk Ultra 64 GB MicroSDHC Class 10 Memory Card"/>
    <n v="199.95"/>
    <n v="5"/>
    <x v="0"/>
    <n v="21.99"/>
    <x v="0"/>
  </r>
  <r>
    <s v="CA-2012-113110"/>
    <x v="216"/>
    <x v="9"/>
    <d v="2012-03-23T00:00:00"/>
    <x v="0"/>
    <x v="258"/>
    <x v="0"/>
    <x v="82"/>
    <x v="0"/>
    <x v="2"/>
    <s v="GBC Imprintable Covers"/>
    <n v="17.57"/>
    <n v="2"/>
    <x v="0"/>
    <n v="6.37"/>
    <x v="0"/>
  </r>
  <r>
    <s v="US-2014-111241"/>
    <x v="269"/>
    <x v="3"/>
    <d v="2014-08-23T00:00:00"/>
    <x v="0"/>
    <x v="259"/>
    <x v="0"/>
    <x v="59"/>
    <x v="0"/>
    <x v="2"/>
    <s v="GBC Recycled Regency Composition Covers"/>
    <n v="239.12"/>
    <n v="5"/>
    <x v="0"/>
    <n v="77.709999999999994"/>
    <x v="0"/>
  </r>
  <r>
    <s v="CA-2012-114237"/>
    <x v="270"/>
    <x v="9"/>
    <d v="2012-03-15T00:00:00"/>
    <x v="0"/>
    <x v="260"/>
    <x v="0"/>
    <x v="1"/>
    <x v="1"/>
    <x v="15"/>
    <s v="Safco Value Mate Series Steel Bookcases, Baked Enamel Finish on Steel, Gray"/>
    <n v="141.96"/>
    <n v="2"/>
    <x v="0"/>
    <n v="39.75"/>
    <x v="0"/>
  </r>
  <r>
    <s v="CA-2013-113516"/>
    <x v="271"/>
    <x v="4"/>
    <d v="2013-09-11T00:00:00"/>
    <x v="0"/>
    <x v="251"/>
    <x v="0"/>
    <x v="43"/>
    <x v="0"/>
    <x v="2"/>
    <s v="Square Ring Data Binders, Rigid 75 Pt. Covers, 11&quot; x 14-7/8&quot;"/>
    <n v="33.020000000000003"/>
    <n v="2"/>
    <x v="0"/>
    <n v="11.56"/>
    <x v="0"/>
  </r>
  <r>
    <s v="CA-2012-119214"/>
    <x v="272"/>
    <x v="5"/>
    <d v="2012-01-27T00:00:00"/>
    <x v="0"/>
    <x v="261"/>
    <x v="0"/>
    <x v="83"/>
    <x v="8"/>
    <x v="8"/>
    <s v="Wirebound Service Call Books, 5 1/2&quot; x 4&quot;"/>
    <n v="29.04"/>
    <n v="3"/>
    <x v="0"/>
    <n v="13.94"/>
    <x v="0"/>
  </r>
  <r>
    <s v="CA-2012-122287"/>
    <x v="273"/>
    <x v="0"/>
    <d v="2012-06-23T00:00:00"/>
    <x v="0"/>
    <x v="143"/>
    <x v="0"/>
    <x v="84"/>
    <x v="3"/>
    <x v="8"/>
    <s v="Xerox 1922"/>
    <n v="11.95"/>
    <n v="3"/>
    <x v="0"/>
    <n v="4.33"/>
    <x v="0"/>
  </r>
  <r>
    <s v="CA-2012-104493"/>
    <x v="274"/>
    <x v="8"/>
    <d v="2012-10-08T00:00:00"/>
    <x v="0"/>
    <x v="262"/>
    <x v="0"/>
    <x v="18"/>
    <x v="0"/>
    <x v="2"/>
    <s v="GBC Personal VeloBind Strips"/>
    <n v="57.5"/>
    <n v="6"/>
    <x v="0"/>
    <n v="20.13"/>
    <x v="0"/>
  </r>
  <r>
    <s v="CA-2011-106439"/>
    <x v="275"/>
    <x v="8"/>
    <d v="2011-11-04T00:00:00"/>
    <x v="0"/>
    <x v="153"/>
    <x v="0"/>
    <x v="0"/>
    <x v="0"/>
    <x v="12"/>
    <s v="Staples"/>
    <n v="11.34"/>
    <n v="3"/>
    <x v="0"/>
    <n v="5.22"/>
    <x v="0"/>
  </r>
  <r>
    <s v="CA-2012-133452"/>
    <x v="276"/>
    <x v="10"/>
    <d v="2012-04-19T00:00:00"/>
    <x v="0"/>
    <x v="86"/>
    <x v="0"/>
    <x v="67"/>
    <x v="0"/>
    <x v="6"/>
    <s v="Plantronics Audio 478 Stereo USB Headset"/>
    <n v="199.96"/>
    <n v="4"/>
    <x v="0"/>
    <n v="69.989999999999995"/>
    <x v="0"/>
  </r>
  <r>
    <s v="US-2014-110996"/>
    <x v="81"/>
    <x v="7"/>
    <d v="2014-11-26T00:00:00"/>
    <x v="0"/>
    <x v="263"/>
    <x v="0"/>
    <x v="85"/>
    <x v="0"/>
    <x v="7"/>
    <s v="Novimex High-Tech Fabric Mesh Task Chair"/>
    <n v="283.92"/>
    <n v="5"/>
    <x v="0"/>
    <n v="-46.14"/>
    <x v="0"/>
  </r>
  <r>
    <s v="CA-2013-129693"/>
    <x v="277"/>
    <x v="7"/>
    <d v="2013-12-03T00:00:00"/>
    <x v="0"/>
    <x v="264"/>
    <x v="0"/>
    <x v="1"/>
    <x v="1"/>
    <x v="2"/>
    <s v="Newell 3-Hole Punched Plastic Slotted Magazine Holders for Binders"/>
    <n v="7.31"/>
    <n v="2"/>
    <x v="0"/>
    <n v="2.56"/>
    <x v="0"/>
  </r>
  <r>
    <s v="CA-2014-122504"/>
    <x v="278"/>
    <x v="7"/>
    <d v="2014-11-13T00:00:00"/>
    <x v="0"/>
    <x v="205"/>
    <x v="0"/>
    <x v="19"/>
    <x v="0"/>
    <x v="6"/>
    <s v="Anker Ultra-Slim Mini Bluetooth 3.0 Wireless Keyboard"/>
    <n v="59.97"/>
    <n v="3"/>
    <x v="0"/>
    <n v="13.79"/>
    <x v="0"/>
  </r>
  <r>
    <s v="CA-2011-131051"/>
    <x v="279"/>
    <x v="1"/>
    <d v="2011-12-05T00:00:00"/>
    <x v="0"/>
    <x v="265"/>
    <x v="0"/>
    <x v="3"/>
    <x v="0"/>
    <x v="1"/>
    <s v="Floodlight Indoor Halogen Bulbs, 1 Bulb per Pack, 60 Watts"/>
    <n v="58.2"/>
    <n v="3"/>
    <x v="0"/>
    <n v="28.52"/>
    <x v="0"/>
  </r>
  <r>
    <s v="CA-2012-120103"/>
    <x v="183"/>
    <x v="1"/>
    <d v="2012-12-29T00:00:00"/>
    <x v="0"/>
    <x v="266"/>
    <x v="0"/>
    <x v="8"/>
    <x v="3"/>
    <x v="8"/>
    <s v="Computer Printout Paper with Letter-Trim Perforations"/>
    <n v="106.23"/>
    <n v="7"/>
    <x v="1"/>
    <n v="37.18"/>
    <x v="0"/>
  </r>
  <r>
    <s v="CA-2014-104647"/>
    <x v="280"/>
    <x v="11"/>
    <d v="2014-03-02T00:00:00"/>
    <x v="0"/>
    <x v="267"/>
    <x v="0"/>
    <x v="0"/>
    <x v="0"/>
    <x v="8"/>
    <s v="Ampad Phone Message Book, Recycled, 400 Message Capacity, 5 ¾ x 11"/>
    <n v="37.44"/>
    <n v="6"/>
    <x v="0"/>
    <n v="16.850000000000001"/>
    <x v="0"/>
  </r>
  <r>
    <s v="CA-2012-139290"/>
    <x v="281"/>
    <x v="8"/>
    <d v="2012-10-30T00:00:00"/>
    <x v="0"/>
    <x v="68"/>
    <x v="0"/>
    <x v="86"/>
    <x v="0"/>
    <x v="0"/>
    <s v="Avery 507"/>
    <n v="5.76"/>
    <n v="2"/>
    <x v="0"/>
    <n v="2.65"/>
    <x v="0"/>
  </r>
  <r>
    <s v="CA-2012-149678"/>
    <x v="276"/>
    <x v="10"/>
    <d v="2012-04-15T00:00:00"/>
    <x v="0"/>
    <x v="268"/>
    <x v="0"/>
    <x v="48"/>
    <x v="6"/>
    <x v="14"/>
    <s v="Martin-Yale Premier Letter Opener"/>
    <n v="12.88"/>
    <n v="1"/>
    <x v="2"/>
    <n v="0.39"/>
    <x v="0"/>
  </r>
  <r>
    <s v="CA-2014-124401"/>
    <x v="75"/>
    <x v="4"/>
    <d v="2014-09-13T00:00:00"/>
    <x v="0"/>
    <x v="26"/>
    <x v="0"/>
    <x v="6"/>
    <x v="4"/>
    <x v="3"/>
    <s v="Hanging Personal Folder File"/>
    <n v="37.68"/>
    <n v="3"/>
    <x v="0"/>
    <n v="2.36"/>
    <x v="0"/>
  </r>
  <r>
    <s v="US-2011-140116"/>
    <x v="282"/>
    <x v="9"/>
    <d v="2011-03-17T00:00:00"/>
    <x v="1"/>
    <x v="269"/>
    <x v="0"/>
    <x v="15"/>
    <x v="5"/>
    <x v="3"/>
    <s v="Tennsco 6- and 18-Compartment Lockers"/>
    <n v="636.41"/>
    <n v="3"/>
    <x v="0"/>
    <n v="-15.91"/>
    <x v="2"/>
  </r>
  <r>
    <s v="CA-2011-123295"/>
    <x v="283"/>
    <x v="6"/>
    <d v="2011-07-18T00:00:00"/>
    <x v="0"/>
    <x v="270"/>
    <x v="0"/>
    <x v="26"/>
    <x v="3"/>
    <x v="7"/>
    <s v="Office Star - Ergonomically Designed Knee Chair"/>
    <n v="259.14"/>
    <n v="4"/>
    <x v="0"/>
    <n v="-25.91"/>
    <x v="0"/>
  </r>
  <r>
    <s v="CA-2012-164882"/>
    <x v="30"/>
    <x v="8"/>
    <d v="2012-10-31T00:00:00"/>
    <x v="0"/>
    <x v="271"/>
    <x v="0"/>
    <x v="14"/>
    <x v="0"/>
    <x v="8"/>
    <s v="Xerox 191"/>
    <n v="19.98"/>
    <n v="1"/>
    <x v="2"/>
    <n v="9.39"/>
    <x v="0"/>
  </r>
  <r>
    <s v="CA-2013-130267"/>
    <x v="284"/>
    <x v="4"/>
    <d v="2013-09-24T00:00:00"/>
    <x v="0"/>
    <x v="272"/>
    <x v="0"/>
    <x v="87"/>
    <x v="0"/>
    <x v="8"/>
    <s v="Xerox Color Copier Paper, 11&quot; x 17&quot;, Ream"/>
    <n v="159.88"/>
    <n v="7"/>
    <x v="1"/>
    <n v="73.540000000000006"/>
    <x v="0"/>
  </r>
  <r>
    <s v="CA-2014-155460"/>
    <x v="285"/>
    <x v="10"/>
    <d v="2014-04-16T00:00:00"/>
    <x v="0"/>
    <x v="124"/>
    <x v="0"/>
    <x v="1"/>
    <x v="1"/>
    <x v="8"/>
    <s v="Xerox 4200 Series MultiUse Premium Copy Paper (20Lb. and 84 Bright)"/>
    <n v="5.28"/>
    <n v="1"/>
    <x v="2"/>
    <n v="2.38"/>
    <x v="0"/>
  </r>
  <r>
    <s v="CA-2014-158246"/>
    <x v="286"/>
    <x v="7"/>
    <d v="2014-11-12T00:00:00"/>
    <x v="0"/>
    <x v="189"/>
    <x v="0"/>
    <x v="88"/>
    <x v="0"/>
    <x v="7"/>
    <s v="Global Leather Task Chair, Black"/>
    <n v="215.98"/>
    <n v="3"/>
    <x v="0"/>
    <n v="-2.7"/>
    <x v="0"/>
  </r>
  <r>
    <s v="CA-2011-141607"/>
    <x v="168"/>
    <x v="1"/>
    <d v="2011-12-17T00:00:00"/>
    <x v="0"/>
    <x v="273"/>
    <x v="0"/>
    <x v="31"/>
    <x v="0"/>
    <x v="1"/>
    <s v="Eldon Advantage Chair Mats for Low to Medium Pile Carpets"/>
    <n v="43.31"/>
    <n v="1"/>
    <x v="2"/>
    <n v="4.33"/>
    <x v="0"/>
  </r>
  <r>
    <s v="CA-2013-111115"/>
    <x v="69"/>
    <x v="6"/>
    <d v="2013-07-28T00:00:00"/>
    <x v="0"/>
    <x v="274"/>
    <x v="0"/>
    <x v="0"/>
    <x v="0"/>
    <x v="12"/>
    <s v="OIC Binder Clips"/>
    <n v="21.48"/>
    <n v="6"/>
    <x v="0"/>
    <n v="10.74"/>
    <x v="0"/>
  </r>
  <r>
    <s v="CA-2013-101938"/>
    <x v="287"/>
    <x v="5"/>
    <d v="2013-01-12T00:00:00"/>
    <x v="0"/>
    <x v="275"/>
    <x v="0"/>
    <x v="54"/>
    <x v="0"/>
    <x v="4"/>
    <s v="Panasonic KP-350BK Electric Pencil Sharpener with Auto Stop"/>
    <n v="34.58"/>
    <n v="1"/>
    <x v="2"/>
    <n v="10.029999999999999"/>
    <x v="0"/>
  </r>
  <r>
    <s v="CA-2014-166296"/>
    <x v="288"/>
    <x v="9"/>
    <d v="2014-03-20T00:00:00"/>
    <x v="0"/>
    <x v="276"/>
    <x v="0"/>
    <x v="89"/>
    <x v="0"/>
    <x v="8"/>
    <s v="Multicolor Computer Printout Paper"/>
    <n v="314.55"/>
    <n v="3"/>
    <x v="0"/>
    <n v="150.97999999999999"/>
    <x v="0"/>
  </r>
  <r>
    <s v="CA-2011-152296"/>
    <x v="289"/>
    <x v="3"/>
    <d v="2011-08-03T00:00:00"/>
    <x v="0"/>
    <x v="277"/>
    <x v="0"/>
    <x v="3"/>
    <x v="0"/>
    <x v="2"/>
    <s v="Wilson Jones data.warehouse D-Ring Binders with DublLock"/>
    <n v="19.75"/>
    <n v="3"/>
    <x v="0"/>
    <n v="6.91"/>
    <x v="0"/>
  </r>
  <r>
    <s v="CA-2013-125738"/>
    <x v="290"/>
    <x v="8"/>
    <d v="2013-10-22T00:00:00"/>
    <x v="0"/>
    <x v="278"/>
    <x v="0"/>
    <x v="90"/>
    <x v="2"/>
    <x v="8"/>
    <s v="Xerox 1982"/>
    <n v="45.68"/>
    <n v="2"/>
    <x v="0"/>
    <n v="21.01"/>
    <x v="0"/>
  </r>
  <r>
    <s v="CA-2014-124576"/>
    <x v="291"/>
    <x v="3"/>
    <d v="2014-08-05T00:00:00"/>
    <x v="0"/>
    <x v="279"/>
    <x v="0"/>
    <x v="47"/>
    <x v="0"/>
    <x v="2"/>
    <s v="GBC Prestige Therm-A-Bind Covers"/>
    <n v="54.9"/>
    <n v="2"/>
    <x v="0"/>
    <n v="18.53"/>
    <x v="0"/>
  </r>
  <r>
    <s v="CA-2013-118913"/>
    <x v="292"/>
    <x v="0"/>
    <d v="2013-06-30T00:00:00"/>
    <x v="0"/>
    <x v="280"/>
    <x v="0"/>
    <x v="0"/>
    <x v="0"/>
    <x v="9"/>
    <s v="Fellowes Mighty 8 Compact Surge Protector"/>
    <n v="60.81"/>
    <n v="3"/>
    <x v="0"/>
    <n v="17.03"/>
    <x v="0"/>
  </r>
  <r>
    <s v="CA-2013-128412"/>
    <x v="35"/>
    <x v="1"/>
    <d v="2013-12-18T00:00:00"/>
    <x v="1"/>
    <x v="154"/>
    <x v="0"/>
    <x v="1"/>
    <x v="1"/>
    <x v="2"/>
    <s v="GBC DocuBind P50 Personal Binding Machine"/>
    <n v="153.55000000000001"/>
    <n v="3"/>
    <x v="0"/>
    <n v="51.82"/>
    <x v="0"/>
  </r>
  <r>
    <s v="CA-2012-138002"/>
    <x v="293"/>
    <x v="4"/>
    <d v="2012-09-12T00:00:00"/>
    <x v="0"/>
    <x v="184"/>
    <x v="0"/>
    <x v="1"/>
    <x v="1"/>
    <x v="2"/>
    <s v="Acco Hanging Data Binders"/>
    <n v="6.1"/>
    <n v="2"/>
    <x v="0"/>
    <n v="2.13"/>
    <x v="0"/>
  </r>
  <r>
    <s v="CA-2014-129378"/>
    <x v="84"/>
    <x v="8"/>
    <d v="2014-10-03T00:00:00"/>
    <x v="0"/>
    <x v="281"/>
    <x v="0"/>
    <x v="12"/>
    <x v="0"/>
    <x v="2"/>
    <s v="Wilson Jones Easy Flow II Sheet Lifters"/>
    <n v="1.44"/>
    <n v="1"/>
    <x v="2"/>
    <n v="0.5"/>
    <x v="0"/>
  </r>
  <r>
    <s v="CA-2014-130841"/>
    <x v="294"/>
    <x v="6"/>
    <d v="2014-08-02T00:00:00"/>
    <x v="0"/>
    <x v="282"/>
    <x v="0"/>
    <x v="3"/>
    <x v="0"/>
    <x v="2"/>
    <s v="Zipper Ring Binder Pockets"/>
    <n v="9.98"/>
    <n v="4"/>
    <x v="0"/>
    <n v="3.62"/>
    <x v="0"/>
  </r>
  <r>
    <s v="CA-2013-106383"/>
    <x v="295"/>
    <x v="9"/>
    <d v="2013-03-22T00:00:00"/>
    <x v="0"/>
    <x v="283"/>
    <x v="0"/>
    <x v="91"/>
    <x v="5"/>
    <x v="15"/>
    <s v="Atlantic Metals Mobile 2-Shelf Bookcases, Custom Colors"/>
    <n v="72.290000000000006"/>
    <n v="1"/>
    <x v="2"/>
    <n v="-98.8"/>
    <x v="0"/>
  </r>
  <r>
    <s v="CA-2011-128055"/>
    <x v="296"/>
    <x v="9"/>
    <d v="2011-04-05T00:00:00"/>
    <x v="0"/>
    <x v="170"/>
    <x v="0"/>
    <x v="3"/>
    <x v="0"/>
    <x v="2"/>
    <s v="GBC DocuBind 200 Manual Binding Machine"/>
    <n v="673.57"/>
    <n v="2"/>
    <x v="0"/>
    <n v="252.59"/>
    <x v="2"/>
  </r>
  <r>
    <s v="CA-2012-123232"/>
    <x v="297"/>
    <x v="1"/>
    <d v="2012-12-16T00:00:00"/>
    <x v="0"/>
    <x v="284"/>
    <x v="0"/>
    <x v="6"/>
    <x v="4"/>
    <x v="11"/>
    <s v="HTC One"/>
    <n v="319.97000000000003"/>
    <n v="4"/>
    <x v="0"/>
    <n v="36"/>
    <x v="0"/>
  </r>
  <r>
    <s v="CA-2013-122322"/>
    <x v="298"/>
    <x v="6"/>
    <d v="2013-07-22T00:00:00"/>
    <x v="0"/>
    <x v="285"/>
    <x v="0"/>
    <x v="63"/>
    <x v="2"/>
    <x v="14"/>
    <s v="Fiskars Home &amp; Office Scissors"/>
    <n v="44.4"/>
    <n v="5"/>
    <x v="0"/>
    <n v="12.43"/>
    <x v="0"/>
  </r>
  <r>
    <s v="CA-2013-146633"/>
    <x v="256"/>
    <x v="7"/>
    <d v="2013-11-18T00:00:00"/>
    <x v="0"/>
    <x v="286"/>
    <x v="0"/>
    <x v="0"/>
    <x v="0"/>
    <x v="2"/>
    <s v="Fellowes PB500 Electric Punch Plastic Comb Binding Machine with Manual Bind"/>
    <n v="1016.79"/>
    <n v="1"/>
    <x v="2"/>
    <n v="381.3"/>
    <x v="1"/>
  </r>
  <r>
    <s v="CA-2014-103380"/>
    <x v="250"/>
    <x v="7"/>
    <d v="2014-11-26T00:00:00"/>
    <x v="0"/>
    <x v="287"/>
    <x v="0"/>
    <x v="10"/>
    <x v="0"/>
    <x v="3"/>
    <s v="Eldon Portable Mobile Manager"/>
    <n v="56.56"/>
    <n v="2"/>
    <x v="0"/>
    <n v="15.27"/>
    <x v="0"/>
  </r>
  <r>
    <s v="CA-2012-116092"/>
    <x v="299"/>
    <x v="11"/>
    <d v="2012-02-18T00:00:00"/>
    <x v="0"/>
    <x v="288"/>
    <x v="0"/>
    <x v="0"/>
    <x v="0"/>
    <x v="8"/>
    <s v="Xerox 1959"/>
    <n v="13.36"/>
    <n v="2"/>
    <x v="0"/>
    <n v="6.41"/>
    <x v="0"/>
  </r>
  <r>
    <s v="CA-2013-117849"/>
    <x v="78"/>
    <x v="10"/>
    <d v="2013-04-18T00:00:00"/>
    <x v="0"/>
    <x v="289"/>
    <x v="0"/>
    <x v="18"/>
    <x v="0"/>
    <x v="8"/>
    <s v="Xerox 1911"/>
    <n v="143.69999999999999"/>
    <n v="3"/>
    <x v="0"/>
    <n v="68.98"/>
    <x v="0"/>
  </r>
  <r>
    <s v="CA-2012-169201"/>
    <x v="300"/>
    <x v="4"/>
    <d v="2012-10-01T00:00:00"/>
    <x v="0"/>
    <x v="172"/>
    <x v="0"/>
    <x v="3"/>
    <x v="0"/>
    <x v="9"/>
    <s v="Holmes Odor Grabber"/>
    <n v="43.26"/>
    <n v="3"/>
    <x v="0"/>
    <n v="14.28"/>
    <x v="0"/>
  </r>
  <r>
    <s v="CA-2014-105214"/>
    <x v="301"/>
    <x v="0"/>
    <d v="2014-06-20T00:00:00"/>
    <x v="0"/>
    <x v="16"/>
    <x v="0"/>
    <x v="3"/>
    <x v="0"/>
    <x v="7"/>
    <s v="Hon Multipurpose Stacking Arm Chairs"/>
    <n v="1212.96"/>
    <n v="7"/>
    <x v="1"/>
    <n v="90.97"/>
    <x v="1"/>
  </r>
  <r>
    <s v="CA-2012-117611"/>
    <x v="302"/>
    <x v="7"/>
    <d v="2012-11-10T00:00:00"/>
    <x v="0"/>
    <x v="290"/>
    <x v="0"/>
    <x v="18"/>
    <x v="0"/>
    <x v="12"/>
    <s v="Advantus Plastic Paper Clips"/>
    <n v="5"/>
    <n v="1"/>
    <x v="2"/>
    <n v="2.4"/>
    <x v="0"/>
  </r>
  <r>
    <s v="CA-2014-137470"/>
    <x v="303"/>
    <x v="4"/>
    <d v="2014-09-18T00:00:00"/>
    <x v="0"/>
    <x v="291"/>
    <x v="0"/>
    <x v="1"/>
    <x v="1"/>
    <x v="8"/>
    <s v="Xerox 1984"/>
    <n v="12.96"/>
    <n v="2"/>
    <x v="0"/>
    <n v="6.35"/>
    <x v="0"/>
  </r>
  <r>
    <s v="CA-2012-102036"/>
    <x v="304"/>
    <x v="4"/>
    <d v="2012-09-27T00:00:00"/>
    <x v="0"/>
    <x v="28"/>
    <x v="0"/>
    <x v="1"/>
    <x v="1"/>
    <x v="3"/>
    <s v="Fellowes Bases and Tops For Staxonsteel/High-Stak Systems"/>
    <n v="199.74"/>
    <n v="6"/>
    <x v="0"/>
    <n v="47.94"/>
    <x v="0"/>
  </r>
  <r>
    <s v="CA-2012-142944"/>
    <x v="305"/>
    <x v="9"/>
    <d v="2012-03-11T00:00:00"/>
    <x v="0"/>
    <x v="125"/>
    <x v="0"/>
    <x v="3"/>
    <x v="0"/>
    <x v="1"/>
    <s v="Deflect-o Glass Clear Studded Chair Mats"/>
    <n v="435.26"/>
    <n v="7"/>
    <x v="1"/>
    <n v="95.76"/>
    <x v="0"/>
  </r>
  <r>
    <s v="CA-2011-157882"/>
    <x v="306"/>
    <x v="8"/>
    <d v="2011-10-08T00:00:00"/>
    <x v="0"/>
    <x v="292"/>
    <x v="0"/>
    <x v="0"/>
    <x v="0"/>
    <x v="5"/>
    <s v="Bevis Round Conference Room Tables and Bases"/>
    <n v="143.43"/>
    <n v="1"/>
    <x v="2"/>
    <n v="3.59"/>
    <x v="0"/>
  </r>
  <r>
    <s v="CA-2014-142622"/>
    <x v="200"/>
    <x v="8"/>
    <d v="2014-11-03T00:00:00"/>
    <x v="0"/>
    <x v="293"/>
    <x v="0"/>
    <x v="1"/>
    <x v="1"/>
    <x v="7"/>
    <s v="Novimex Fabric Task Chair"/>
    <n v="97.57"/>
    <n v="2"/>
    <x v="0"/>
    <n v="-6.1"/>
    <x v="0"/>
  </r>
  <r>
    <s v="CA-2014-143343"/>
    <x v="67"/>
    <x v="0"/>
    <d v="2014-06-14T00:00:00"/>
    <x v="0"/>
    <x v="294"/>
    <x v="0"/>
    <x v="0"/>
    <x v="0"/>
    <x v="4"/>
    <s v="Newell 351"/>
    <n v="16.399999999999999"/>
    <n v="5"/>
    <x v="0"/>
    <n v="4.76"/>
    <x v="0"/>
  </r>
  <r>
    <s v="CA-2014-115154"/>
    <x v="307"/>
    <x v="5"/>
    <d v="2014-01-12T00:00:00"/>
    <x v="0"/>
    <x v="295"/>
    <x v="0"/>
    <x v="1"/>
    <x v="1"/>
    <x v="5"/>
    <s v="Balt Solid Wood Round Tables"/>
    <n v="892.98"/>
    <n v="2"/>
    <x v="0"/>
    <n v="80.37"/>
    <x v="2"/>
  </r>
  <r>
    <s v="US-2014-120418"/>
    <x v="217"/>
    <x v="0"/>
    <d v="2014-06-13T00:00:00"/>
    <x v="0"/>
    <x v="296"/>
    <x v="0"/>
    <x v="84"/>
    <x v="3"/>
    <x v="7"/>
    <s v="Global Leather Executive Chair"/>
    <n v="280.79000000000002"/>
    <n v="1"/>
    <x v="2"/>
    <n v="35.1"/>
    <x v="0"/>
  </r>
  <r>
    <s v="CA-2014-165491"/>
    <x v="308"/>
    <x v="9"/>
    <d v="2014-03-25T00:00:00"/>
    <x v="0"/>
    <x v="111"/>
    <x v="0"/>
    <x v="1"/>
    <x v="1"/>
    <x v="6"/>
    <s v="Imation Secure Drive + Hardware Encrypted USB flash drive - 16 GB"/>
    <n v="265.93"/>
    <n v="7"/>
    <x v="1"/>
    <n v="63.82"/>
    <x v="0"/>
  </r>
  <r>
    <s v="CA-2014-138422"/>
    <x v="151"/>
    <x v="4"/>
    <d v="2014-09-27T00:00:00"/>
    <x v="0"/>
    <x v="297"/>
    <x v="0"/>
    <x v="92"/>
    <x v="5"/>
    <x v="10"/>
    <s v="Wausau Papers Astrobrights Colored Envelopes"/>
    <n v="14.35"/>
    <n v="3"/>
    <x v="0"/>
    <n v="5.2"/>
    <x v="0"/>
  </r>
  <r>
    <s v="CA-2013-155187"/>
    <x v="309"/>
    <x v="4"/>
    <d v="2013-09-27T00:00:00"/>
    <x v="0"/>
    <x v="298"/>
    <x v="0"/>
    <x v="0"/>
    <x v="0"/>
    <x v="3"/>
    <s v="Tennsco Lockers, Gray"/>
    <n v="41.96"/>
    <n v="2"/>
    <x v="0"/>
    <n v="2.94"/>
    <x v="0"/>
  </r>
  <r>
    <s v="CA-2014-109701"/>
    <x v="239"/>
    <x v="1"/>
    <d v="2014-12-04T00:00:00"/>
    <x v="0"/>
    <x v="299"/>
    <x v="0"/>
    <x v="0"/>
    <x v="0"/>
    <x v="2"/>
    <s v="Staples"/>
    <n v="9.02"/>
    <n v="6"/>
    <x v="0"/>
    <n v="3.16"/>
    <x v="0"/>
  </r>
  <r>
    <s v="CA-2012-111514"/>
    <x v="108"/>
    <x v="3"/>
    <d v="2012-09-02T00:00:00"/>
    <x v="0"/>
    <x v="300"/>
    <x v="0"/>
    <x v="3"/>
    <x v="0"/>
    <x v="15"/>
    <s v="Atlantic Metals Mobile 3-Shelf Bookcases, Custom Colors"/>
    <n v="1552.83"/>
    <n v="7"/>
    <x v="1"/>
    <n v="200.95"/>
    <x v="1"/>
  </r>
  <r>
    <s v="CA-2011-102295"/>
    <x v="142"/>
    <x v="7"/>
    <d v="2011-11-26T00:00:00"/>
    <x v="0"/>
    <x v="301"/>
    <x v="0"/>
    <x v="93"/>
    <x v="0"/>
    <x v="7"/>
    <s v="Global Leather &amp; Oak Executive Chair, Burgundy"/>
    <n v="120.71"/>
    <n v="1"/>
    <x v="2"/>
    <n v="-18.11"/>
    <x v="0"/>
  </r>
  <r>
    <s v="CA-2012-148628"/>
    <x v="152"/>
    <x v="1"/>
    <d v="2012-12-11T00:00:00"/>
    <x v="0"/>
    <x v="302"/>
    <x v="0"/>
    <x v="94"/>
    <x v="0"/>
    <x v="8"/>
    <s v="Message Book, Phone, Wirebound Standard Line Memo, 2 3/4&quot; X 5&quot;"/>
    <n v="32.75"/>
    <n v="5"/>
    <x v="0"/>
    <n v="15.07"/>
    <x v="0"/>
  </r>
  <r>
    <s v="US-2014-117534"/>
    <x v="310"/>
    <x v="9"/>
    <d v="2014-03-27T00:00:00"/>
    <x v="0"/>
    <x v="303"/>
    <x v="0"/>
    <x v="59"/>
    <x v="0"/>
    <x v="9"/>
    <s v="Acco Smartsocket Color-Coded Six-Outlet AC Adapter Model Surge Protectors"/>
    <n v="176.04"/>
    <n v="4"/>
    <x v="0"/>
    <n v="45.77"/>
    <x v="0"/>
  </r>
  <r>
    <s v="CA-2012-145065"/>
    <x v="111"/>
    <x v="1"/>
    <d v="2012-12-15T00:00:00"/>
    <x v="0"/>
    <x v="304"/>
    <x v="0"/>
    <x v="18"/>
    <x v="0"/>
    <x v="12"/>
    <s v="Staples"/>
    <n v="7.86"/>
    <n v="2"/>
    <x v="0"/>
    <n v="3.62"/>
    <x v="0"/>
  </r>
  <r>
    <s v="CA-2014-169264"/>
    <x v="311"/>
    <x v="3"/>
    <d v="2014-08-17T00:00:00"/>
    <x v="0"/>
    <x v="163"/>
    <x v="0"/>
    <x v="3"/>
    <x v="0"/>
    <x v="0"/>
    <s v="Avery File Folder Labels"/>
    <n v="5.76"/>
    <n v="2"/>
    <x v="0"/>
    <n v="2.82"/>
    <x v="0"/>
  </r>
  <r>
    <s v="CA-2014-108574"/>
    <x v="235"/>
    <x v="8"/>
    <d v="2014-10-12T00:00:00"/>
    <x v="0"/>
    <x v="305"/>
    <x v="0"/>
    <x v="0"/>
    <x v="0"/>
    <x v="6"/>
    <s v="Logitech G19 Programmable Gaming Keyboard"/>
    <n v="1115.9100000000001"/>
    <n v="9"/>
    <x v="1"/>
    <n v="200.86"/>
    <x v="1"/>
  </r>
  <r>
    <s v="CA-2014-144589"/>
    <x v="227"/>
    <x v="5"/>
    <d v="2014-01-26T00:00:00"/>
    <x v="0"/>
    <x v="306"/>
    <x v="0"/>
    <x v="3"/>
    <x v="0"/>
    <x v="4"/>
    <s v="Staples"/>
    <n v="24.2"/>
    <n v="5"/>
    <x v="0"/>
    <n v="7.99"/>
    <x v="0"/>
  </r>
  <r>
    <s v="CA-2014-155985"/>
    <x v="312"/>
    <x v="9"/>
    <d v="2014-03-26T00:00:00"/>
    <x v="0"/>
    <x v="307"/>
    <x v="0"/>
    <x v="3"/>
    <x v="0"/>
    <x v="1"/>
    <s v="DAX Natural Wood-Tone Poster Frame"/>
    <n v="211.84"/>
    <n v="8"/>
    <x v="1"/>
    <n v="76.260000000000005"/>
    <x v="0"/>
  </r>
  <r>
    <s v="CA-2012-142041"/>
    <x v="313"/>
    <x v="0"/>
    <d v="2012-06-09T00:00:00"/>
    <x v="0"/>
    <x v="308"/>
    <x v="0"/>
    <x v="0"/>
    <x v="0"/>
    <x v="2"/>
    <s v="Staples"/>
    <n v="7.52"/>
    <n v="5"/>
    <x v="0"/>
    <n v="2.63"/>
    <x v="0"/>
  </r>
  <r>
    <s v="CA-2011-151295"/>
    <x v="314"/>
    <x v="7"/>
    <d v="2011-11-16T00:00:00"/>
    <x v="0"/>
    <x v="127"/>
    <x v="0"/>
    <x v="0"/>
    <x v="0"/>
    <x v="8"/>
    <s v="Xerox 1974"/>
    <n v="11.96"/>
    <n v="2"/>
    <x v="0"/>
    <n v="5.86"/>
    <x v="0"/>
  </r>
  <r>
    <s v="CA-2014-168655"/>
    <x v="315"/>
    <x v="8"/>
    <d v="2014-10-19T00:00:00"/>
    <x v="0"/>
    <x v="309"/>
    <x v="0"/>
    <x v="95"/>
    <x v="6"/>
    <x v="6"/>
    <s v="WD My Passport Ultra 2TB Portable External Hard Drive"/>
    <n v="595"/>
    <n v="5"/>
    <x v="0"/>
    <n v="95.2"/>
    <x v="2"/>
  </r>
  <r>
    <s v="CA-2013-107202"/>
    <x v="73"/>
    <x v="2"/>
    <d v="2013-05-29T00:00:00"/>
    <x v="1"/>
    <x v="310"/>
    <x v="0"/>
    <x v="96"/>
    <x v="7"/>
    <x v="16"/>
    <s v="Panasonic KX MB2061 Multifunction Printer"/>
    <n v="2396.4"/>
    <n v="10"/>
    <x v="1"/>
    <n v="179.73"/>
    <x v="1"/>
  </r>
  <r>
    <s v="CA-2014-159597"/>
    <x v="286"/>
    <x v="7"/>
    <d v="2014-11-15T00:00:00"/>
    <x v="0"/>
    <x v="311"/>
    <x v="0"/>
    <x v="97"/>
    <x v="0"/>
    <x v="3"/>
    <s v="Safco Wire Cube Shelving System, For Use as 4 or 5 14&quot; Cubes, Black"/>
    <n v="63.56"/>
    <n v="2"/>
    <x v="0"/>
    <n v="3.18"/>
    <x v="0"/>
  </r>
  <r>
    <s v="CA-2014-100748"/>
    <x v="316"/>
    <x v="2"/>
    <d v="2014-05-21T00:00:00"/>
    <x v="1"/>
    <x v="312"/>
    <x v="0"/>
    <x v="3"/>
    <x v="0"/>
    <x v="0"/>
    <s v="Self-Adhesive Address Labels for Typewriters by Universal"/>
    <n v="58.48"/>
    <n v="8"/>
    <x v="1"/>
    <n v="27.49"/>
    <x v="0"/>
  </r>
  <r>
    <s v="CA-2014-129805"/>
    <x v="38"/>
    <x v="1"/>
    <d v="2015-01-03T00:00:00"/>
    <x v="0"/>
    <x v="313"/>
    <x v="0"/>
    <x v="1"/>
    <x v="1"/>
    <x v="1"/>
    <s v="3M Hangers With Command Adhesive"/>
    <n v="7.4"/>
    <n v="2"/>
    <x v="0"/>
    <n v="3.03"/>
    <x v="0"/>
  </r>
  <r>
    <s v="CA-2014-140053"/>
    <x v="317"/>
    <x v="6"/>
    <d v="2014-07-11T00:00:00"/>
    <x v="1"/>
    <x v="181"/>
    <x v="0"/>
    <x v="48"/>
    <x v="6"/>
    <x v="1"/>
    <s v="Tenex Traditional Chairmats for Medium Pile Carpet, Standard Lip, 36&quot; x 48&quot;"/>
    <n v="545.85"/>
    <n v="9"/>
    <x v="1"/>
    <n v="114.63"/>
    <x v="2"/>
  </r>
  <r>
    <s v="CA-2011-164210"/>
    <x v="318"/>
    <x v="7"/>
    <d v="2011-11-20T00:00:00"/>
    <x v="0"/>
    <x v="314"/>
    <x v="0"/>
    <x v="30"/>
    <x v="5"/>
    <x v="5"/>
    <s v="Bevis Rectangular Conference Tables"/>
    <n v="145.97999999999999"/>
    <n v="2"/>
    <x v="0"/>
    <n v="-99.27"/>
    <x v="0"/>
  </r>
  <r>
    <s v="CA-2012-100573"/>
    <x v="5"/>
    <x v="4"/>
    <d v="2012-10-01T00:00:00"/>
    <x v="0"/>
    <x v="315"/>
    <x v="0"/>
    <x v="0"/>
    <x v="0"/>
    <x v="10"/>
    <s v="#10- 4 1/8&quot; x 9 1/2&quot; Recycled Envelopes"/>
    <n v="17.48"/>
    <n v="2"/>
    <x v="0"/>
    <n v="8.2200000000000006"/>
    <x v="0"/>
  </r>
  <r>
    <s v="CA-2013-140207"/>
    <x v="319"/>
    <x v="7"/>
    <d v="2013-11-11T00:00:00"/>
    <x v="0"/>
    <x v="210"/>
    <x v="0"/>
    <x v="12"/>
    <x v="0"/>
    <x v="2"/>
    <s v="Cardinal Holdit Data Disk Pockets"/>
    <n v="29.12"/>
    <n v="5"/>
    <x v="0"/>
    <n v="9.83"/>
    <x v="0"/>
  </r>
  <r>
    <s v="CA-2012-142419"/>
    <x v="320"/>
    <x v="6"/>
    <d v="2012-07-13T00:00:00"/>
    <x v="0"/>
    <x v="316"/>
    <x v="0"/>
    <x v="1"/>
    <x v="1"/>
    <x v="8"/>
    <s v="Xerox 1896"/>
    <n v="29.97"/>
    <n v="3"/>
    <x v="0"/>
    <n v="13.49"/>
    <x v="0"/>
  </r>
  <r>
    <s v="CA-2013-114972"/>
    <x v="85"/>
    <x v="7"/>
    <d v="2013-11-07T00:00:00"/>
    <x v="0"/>
    <x v="164"/>
    <x v="0"/>
    <x v="0"/>
    <x v="0"/>
    <x v="7"/>
    <s v="Global Deluxe High-Back Office Chair in Storm"/>
    <n v="217.58"/>
    <n v="2"/>
    <x v="0"/>
    <n v="-29.92"/>
    <x v="0"/>
  </r>
  <r>
    <s v="CA-2014-102750"/>
    <x v="321"/>
    <x v="4"/>
    <d v="2014-09-09T00:00:00"/>
    <x v="0"/>
    <x v="317"/>
    <x v="0"/>
    <x v="0"/>
    <x v="0"/>
    <x v="5"/>
    <s v="Chromcraft Bull-Nose Wood Oval Conference Tables &amp; Bases"/>
    <n v="1322.35"/>
    <n v="3"/>
    <x v="0"/>
    <n v="-99.18"/>
    <x v="1"/>
  </r>
  <r>
    <s v="CA-2014-147956"/>
    <x v="322"/>
    <x v="1"/>
    <d v="2015-01-01T00:00:00"/>
    <x v="1"/>
    <x v="37"/>
    <x v="0"/>
    <x v="1"/>
    <x v="1"/>
    <x v="3"/>
    <s v="Office Impressions Heavy Duty Welded Shelving &amp; Multimedia Storage Drawers"/>
    <n v="1003.62"/>
    <n v="6"/>
    <x v="0"/>
    <n v="0"/>
    <x v="1"/>
  </r>
  <r>
    <s v="CA-2014-126067"/>
    <x v="323"/>
    <x v="3"/>
    <d v="2014-09-04T00:00:00"/>
    <x v="0"/>
    <x v="297"/>
    <x v="0"/>
    <x v="1"/>
    <x v="1"/>
    <x v="11"/>
    <s v="Anker 24W Portable Micro USB Car Charger"/>
    <n v="35.17"/>
    <n v="4"/>
    <x v="0"/>
    <n v="11.43"/>
    <x v="0"/>
  </r>
  <r>
    <s v="CA-2011-113579"/>
    <x v="324"/>
    <x v="1"/>
    <d v="2011-12-15T00:00:00"/>
    <x v="0"/>
    <x v="13"/>
    <x v="0"/>
    <x v="0"/>
    <x v="0"/>
    <x v="8"/>
    <s v="White GlueTop Scratch Pads"/>
    <n v="90.24"/>
    <n v="6"/>
    <x v="0"/>
    <n v="41.51"/>
    <x v="0"/>
  </r>
  <r>
    <s v="CA-2012-122371"/>
    <x v="42"/>
    <x v="4"/>
    <d v="2012-10-01T00:00:00"/>
    <x v="0"/>
    <x v="318"/>
    <x v="0"/>
    <x v="18"/>
    <x v="0"/>
    <x v="3"/>
    <s v="Sortfiler Multipurpose Personal File Organizer, Black"/>
    <n v="64.17"/>
    <n v="3"/>
    <x v="0"/>
    <n v="18.61"/>
    <x v="0"/>
  </r>
  <r>
    <s v="CA-2013-126935"/>
    <x v="325"/>
    <x v="2"/>
    <d v="2013-05-25T00:00:00"/>
    <x v="0"/>
    <x v="319"/>
    <x v="0"/>
    <x v="3"/>
    <x v="0"/>
    <x v="2"/>
    <s v="GBC Personal VeloBind Strips"/>
    <n v="9.58"/>
    <n v="1"/>
    <x v="2"/>
    <n v="3.35"/>
    <x v="0"/>
  </r>
  <r>
    <s v="CA-2013-149482"/>
    <x v="326"/>
    <x v="7"/>
    <d v="2013-11-20T00:00:00"/>
    <x v="0"/>
    <x v="320"/>
    <x v="0"/>
    <x v="3"/>
    <x v="0"/>
    <x v="0"/>
    <s v="Avery 52"/>
    <n v="7.38"/>
    <n v="2"/>
    <x v="0"/>
    <n v="3.47"/>
    <x v="0"/>
  </r>
  <r>
    <s v="CA-2011-143917"/>
    <x v="327"/>
    <x v="6"/>
    <d v="2011-07-27T00:00:00"/>
    <x v="0"/>
    <x v="48"/>
    <x v="0"/>
    <x v="3"/>
    <x v="0"/>
    <x v="3"/>
    <s v="Fellowes Personal Hanging Folder Files, Navy"/>
    <n v="53.72"/>
    <n v="4"/>
    <x v="0"/>
    <n v="15.04"/>
    <x v="0"/>
  </r>
  <r>
    <s v="CA-2014-163902"/>
    <x v="328"/>
    <x v="9"/>
    <d v="2014-03-09T00:00:00"/>
    <x v="0"/>
    <x v="68"/>
    <x v="0"/>
    <x v="0"/>
    <x v="0"/>
    <x v="11"/>
    <s v="Panasonic KX TS3282B Corded phone"/>
    <n v="196.78"/>
    <n v="3"/>
    <x v="0"/>
    <n v="14.76"/>
    <x v="0"/>
  </r>
  <r>
    <s v="CA-2012-143238"/>
    <x v="293"/>
    <x v="4"/>
    <d v="2012-09-08T00:00:00"/>
    <x v="0"/>
    <x v="321"/>
    <x v="0"/>
    <x v="98"/>
    <x v="0"/>
    <x v="6"/>
    <s v="Memorex Mini Travel Drive 8 GB USB 2.0 Flash Drive"/>
    <n v="46.32"/>
    <n v="4"/>
    <x v="0"/>
    <n v="18.059999999999999"/>
    <x v="0"/>
  </r>
  <r>
    <s v="CA-2012-113404"/>
    <x v="329"/>
    <x v="6"/>
    <d v="2012-07-16T00:00:00"/>
    <x v="0"/>
    <x v="308"/>
    <x v="0"/>
    <x v="3"/>
    <x v="0"/>
    <x v="7"/>
    <s v="Hon 2090 Pillow Soft Series Mid Back Swivel/Tilt Chairs"/>
    <n v="1348.7"/>
    <n v="6"/>
    <x v="0"/>
    <n v="-219.16"/>
    <x v="1"/>
  </r>
  <r>
    <s v="CA-2013-144792"/>
    <x v="330"/>
    <x v="2"/>
    <d v="2013-05-05T00:00:00"/>
    <x v="0"/>
    <x v="322"/>
    <x v="0"/>
    <x v="11"/>
    <x v="3"/>
    <x v="1"/>
    <s v="12-1/2 Diameter Round Wall Clock"/>
    <n v="111.89"/>
    <n v="7"/>
    <x v="1"/>
    <n v="22.38"/>
    <x v="0"/>
  </r>
  <r>
    <s v="CA-2014-108070"/>
    <x v="331"/>
    <x v="10"/>
    <d v="2014-04-21T00:00:00"/>
    <x v="0"/>
    <x v="60"/>
    <x v="0"/>
    <x v="12"/>
    <x v="0"/>
    <x v="3"/>
    <s v="Belkin 19&quot; Vented Equipment Shelf, Black"/>
    <n v="205.92"/>
    <n v="4"/>
    <x v="0"/>
    <n v="2.06"/>
    <x v="0"/>
  </r>
  <r>
    <s v="US-2012-128090"/>
    <x v="332"/>
    <x v="3"/>
    <d v="2012-08-22T00:00:00"/>
    <x v="0"/>
    <x v="323"/>
    <x v="0"/>
    <x v="8"/>
    <x v="3"/>
    <x v="4"/>
    <s v="Newell 346"/>
    <n v="2.2999999999999998"/>
    <n v="1"/>
    <x v="2"/>
    <n v="0.26"/>
    <x v="0"/>
  </r>
  <r>
    <s v="CA-2012-147788"/>
    <x v="22"/>
    <x v="2"/>
    <d v="2012-06-04T00:00:00"/>
    <x v="0"/>
    <x v="306"/>
    <x v="0"/>
    <x v="4"/>
    <x v="2"/>
    <x v="15"/>
    <s v="O'Sullivan Living Dimensions 3-Shelf Bookcases"/>
    <n v="1406.86"/>
    <n v="7"/>
    <x v="1"/>
    <n v="140.69"/>
    <x v="1"/>
  </r>
  <r>
    <s v="CA-2014-123967"/>
    <x v="333"/>
    <x v="7"/>
    <d v="2014-11-04T00:00:00"/>
    <x v="0"/>
    <x v="82"/>
    <x v="0"/>
    <x v="99"/>
    <x v="1"/>
    <x v="2"/>
    <s v="GBC Standard Plastic Binding Systems' Combs"/>
    <n v="25.12"/>
    <n v="5"/>
    <x v="0"/>
    <n v="7.85"/>
    <x v="0"/>
  </r>
  <r>
    <s v="CA-2013-137729"/>
    <x v="334"/>
    <x v="2"/>
    <d v="2013-05-10T00:00:00"/>
    <x v="0"/>
    <x v="287"/>
    <x v="0"/>
    <x v="0"/>
    <x v="0"/>
    <x v="3"/>
    <s v="Perma STOR-ALL Hanging File Box, 13 1/8&quot;W x 12 1/4&quot;D x 10 1/2&quot;H"/>
    <n v="5.98"/>
    <n v="1"/>
    <x v="2"/>
    <n v="1.02"/>
    <x v="0"/>
  </r>
  <r>
    <s v="CA-2013-154053"/>
    <x v="335"/>
    <x v="9"/>
    <d v="2013-03-11T00:00:00"/>
    <x v="0"/>
    <x v="324"/>
    <x v="0"/>
    <x v="18"/>
    <x v="0"/>
    <x v="4"/>
    <s v="Berol Giant Pencil Sharpener"/>
    <n v="16.989999999999998"/>
    <n v="1"/>
    <x v="2"/>
    <n v="4.93"/>
    <x v="0"/>
  </r>
  <r>
    <s v="CA-2013-137204"/>
    <x v="149"/>
    <x v="10"/>
    <d v="2013-05-06T00:00:00"/>
    <x v="1"/>
    <x v="325"/>
    <x v="0"/>
    <x v="0"/>
    <x v="0"/>
    <x v="7"/>
    <s v="Global Stack Chair without Arms, Black"/>
    <n v="41.57"/>
    <n v="2"/>
    <x v="0"/>
    <n v="2.6"/>
    <x v="0"/>
  </r>
  <r>
    <s v="CA-2011-147298"/>
    <x v="336"/>
    <x v="10"/>
    <d v="2011-05-03T00:00:00"/>
    <x v="1"/>
    <x v="326"/>
    <x v="0"/>
    <x v="0"/>
    <x v="0"/>
    <x v="7"/>
    <s v="Bevis Steel Folding Chairs"/>
    <n v="230.28"/>
    <n v="3"/>
    <x v="0"/>
    <n v="23.03"/>
    <x v="0"/>
  </r>
  <r>
    <s v="CA-2014-147942"/>
    <x v="337"/>
    <x v="10"/>
    <d v="2014-04-06T00:00:00"/>
    <x v="0"/>
    <x v="266"/>
    <x v="0"/>
    <x v="3"/>
    <x v="0"/>
    <x v="0"/>
    <s v="Avery 498"/>
    <n v="5.78"/>
    <n v="2"/>
    <x v="0"/>
    <n v="2.72"/>
    <x v="0"/>
  </r>
  <r>
    <s v="CA-2014-115931"/>
    <x v="338"/>
    <x v="1"/>
    <d v="2014-12-27T00:00:00"/>
    <x v="0"/>
    <x v="327"/>
    <x v="0"/>
    <x v="13"/>
    <x v="6"/>
    <x v="4"/>
    <s v="Design Ebony Sketching Pencil"/>
    <n v="4.17"/>
    <n v="3"/>
    <x v="0"/>
    <n v="1.08"/>
    <x v="0"/>
  </r>
  <r>
    <s v="US-2014-110604"/>
    <x v="132"/>
    <x v="2"/>
    <d v="2014-05-21T00:00:00"/>
    <x v="0"/>
    <x v="328"/>
    <x v="0"/>
    <x v="1"/>
    <x v="1"/>
    <x v="1"/>
    <s v="24-Hour Round Wall Clock"/>
    <n v="39.96"/>
    <n v="2"/>
    <x v="0"/>
    <n v="17.18"/>
    <x v="0"/>
  </r>
  <r>
    <s v="CA-2012-162369"/>
    <x v="339"/>
    <x v="3"/>
    <d v="2012-08-19T00:00:00"/>
    <x v="0"/>
    <x v="329"/>
    <x v="0"/>
    <x v="0"/>
    <x v="0"/>
    <x v="3"/>
    <s v="Fellowes Super Stor/Drawer Files"/>
    <n v="323.10000000000002"/>
    <n v="2"/>
    <x v="0"/>
    <n v="61.39"/>
    <x v="0"/>
  </r>
  <r>
    <s v="US-2013-146794"/>
    <x v="340"/>
    <x v="4"/>
    <d v="2013-10-02T00:00:00"/>
    <x v="0"/>
    <x v="19"/>
    <x v="0"/>
    <x v="24"/>
    <x v="0"/>
    <x v="15"/>
    <s v="Bestar Classic Bookcase"/>
    <n v="424.96"/>
    <n v="5"/>
    <x v="0"/>
    <n v="20"/>
    <x v="0"/>
  </r>
  <r>
    <s v="CA-2014-112515"/>
    <x v="303"/>
    <x v="4"/>
    <d v="2014-09-22T00:00:00"/>
    <x v="0"/>
    <x v="330"/>
    <x v="0"/>
    <x v="63"/>
    <x v="2"/>
    <x v="2"/>
    <s v="Avery Non-Stick Binders"/>
    <n v="10.78"/>
    <n v="3"/>
    <x v="0"/>
    <n v="3.5"/>
    <x v="0"/>
  </r>
  <r>
    <s v="CA-2013-150343"/>
    <x v="341"/>
    <x v="3"/>
    <d v="2013-08-21T00:00:00"/>
    <x v="0"/>
    <x v="331"/>
    <x v="0"/>
    <x v="3"/>
    <x v="0"/>
    <x v="10"/>
    <s v="Convenience Packs of Business Envelopes"/>
    <n v="10.86"/>
    <n v="3"/>
    <x v="0"/>
    <n v="5.0999999999999996"/>
    <x v="0"/>
  </r>
  <r>
    <s v="CA-2012-135538"/>
    <x v="183"/>
    <x v="1"/>
    <d v="2012-12-28T00:00:00"/>
    <x v="0"/>
    <x v="158"/>
    <x v="0"/>
    <x v="5"/>
    <x v="3"/>
    <x v="7"/>
    <s v="SAFCO Arco Folding Chair"/>
    <n v="883.84"/>
    <n v="4"/>
    <x v="0"/>
    <n v="99.43"/>
    <x v="2"/>
  </r>
  <r>
    <s v="US-2012-139759"/>
    <x v="342"/>
    <x v="3"/>
    <d v="2012-08-30T00:00:00"/>
    <x v="0"/>
    <x v="332"/>
    <x v="0"/>
    <x v="0"/>
    <x v="0"/>
    <x v="7"/>
    <s v="Global Deluxe Stacking Chair, Gray"/>
    <n v="40.78"/>
    <n v="1"/>
    <x v="2"/>
    <n v="4.59"/>
    <x v="0"/>
  </r>
  <r>
    <s v="CA-2014-136875"/>
    <x v="343"/>
    <x v="1"/>
    <d v="2014-12-04T00:00:00"/>
    <x v="0"/>
    <x v="333"/>
    <x v="0"/>
    <x v="18"/>
    <x v="0"/>
    <x v="8"/>
    <s v="Xerox 1888"/>
    <n v="166.44"/>
    <n v="3"/>
    <x v="0"/>
    <n v="79.89"/>
    <x v="0"/>
  </r>
  <r>
    <s v="US-2011-160780"/>
    <x v="344"/>
    <x v="0"/>
    <d v="2011-06-21T00:00:00"/>
    <x v="0"/>
    <x v="334"/>
    <x v="0"/>
    <x v="60"/>
    <x v="5"/>
    <x v="2"/>
    <s v="Wilson Jones 1&quot; Hanging DublLock Ring Binders"/>
    <n v="11.09"/>
    <n v="7"/>
    <x v="1"/>
    <n v="-8.1300000000000008"/>
    <x v="0"/>
  </r>
  <r>
    <s v="CA-2014-137085"/>
    <x v="79"/>
    <x v="0"/>
    <d v="2014-07-07T00:00:00"/>
    <x v="1"/>
    <x v="335"/>
    <x v="0"/>
    <x v="0"/>
    <x v="0"/>
    <x v="2"/>
    <s v="Satellite Sectional Post Binders"/>
    <n v="312.55"/>
    <n v="9"/>
    <x v="1"/>
    <n v="101.58"/>
    <x v="0"/>
  </r>
  <r>
    <s v="CA-2012-153220"/>
    <x v="345"/>
    <x v="7"/>
    <d v="2012-11-14T00:00:00"/>
    <x v="0"/>
    <x v="103"/>
    <x v="0"/>
    <x v="0"/>
    <x v="0"/>
    <x v="8"/>
    <s v="Adams &quot;While You Were Out&quot; Message Pads"/>
    <n v="15.7"/>
    <n v="5"/>
    <x v="0"/>
    <n v="7.07"/>
    <x v="0"/>
  </r>
  <r>
    <s v="US-2013-144211"/>
    <x v="346"/>
    <x v="3"/>
    <d v="2013-09-03T00:00:00"/>
    <x v="0"/>
    <x v="28"/>
    <x v="0"/>
    <x v="100"/>
    <x v="5"/>
    <x v="8"/>
    <s v="Wirebound Four 2-3/4 x 5 Forms per Page, 400 Sets per Book"/>
    <n v="15.48"/>
    <n v="3"/>
    <x v="0"/>
    <n v="5.61"/>
    <x v="0"/>
  </r>
  <r>
    <s v="CA-2013-138079"/>
    <x v="347"/>
    <x v="5"/>
    <d v="2013-01-28T00:00:00"/>
    <x v="0"/>
    <x v="336"/>
    <x v="0"/>
    <x v="1"/>
    <x v="1"/>
    <x v="1"/>
    <s v="Contract Clock, 14&quot;, Brown"/>
    <n v="109.9"/>
    <n v="5"/>
    <x v="0"/>
    <n v="37.369999999999997"/>
    <x v="0"/>
  </r>
  <r>
    <s v="CA-2014-155873"/>
    <x v="301"/>
    <x v="0"/>
    <d v="2014-06-22T00:00:00"/>
    <x v="0"/>
    <x v="337"/>
    <x v="0"/>
    <x v="13"/>
    <x v="6"/>
    <x v="14"/>
    <s v="Acme Elite Stainless Steel Scissors"/>
    <n v="16.68"/>
    <n v="2"/>
    <x v="0"/>
    <n v="4.34"/>
    <x v="0"/>
  </r>
  <r>
    <s v="CA-2012-121797"/>
    <x v="348"/>
    <x v="5"/>
    <d v="2012-02-06T00:00:00"/>
    <x v="1"/>
    <x v="84"/>
    <x v="0"/>
    <x v="0"/>
    <x v="0"/>
    <x v="1"/>
    <s v="Computer Room Manger, 14&quot;"/>
    <n v="227.36"/>
    <n v="7"/>
    <x v="1"/>
    <n v="81.849999999999994"/>
    <x v="0"/>
  </r>
  <r>
    <s v="CA-2012-103723"/>
    <x v="194"/>
    <x v="1"/>
    <d v="2012-12-06T00:00:00"/>
    <x v="0"/>
    <x v="184"/>
    <x v="0"/>
    <x v="1"/>
    <x v="1"/>
    <x v="4"/>
    <s v="Prang Drawing Pencil Set"/>
    <n v="13.9"/>
    <n v="5"/>
    <x v="0"/>
    <n v="5.56"/>
    <x v="0"/>
  </r>
  <r>
    <s v="CA-2014-144827"/>
    <x v="71"/>
    <x v="1"/>
    <d v="2014-12-28T00:00:00"/>
    <x v="0"/>
    <x v="338"/>
    <x v="0"/>
    <x v="32"/>
    <x v="0"/>
    <x v="3"/>
    <s v="Fellowes Mobile File Cart, Black"/>
    <n v="124.36"/>
    <n v="2"/>
    <x v="0"/>
    <n v="33.58"/>
    <x v="0"/>
  </r>
  <r>
    <s v="CA-2011-153479"/>
    <x v="349"/>
    <x v="8"/>
    <d v="2011-10-08T00:00:00"/>
    <x v="0"/>
    <x v="339"/>
    <x v="0"/>
    <x v="39"/>
    <x v="0"/>
    <x v="0"/>
    <s v="Avery 512"/>
    <n v="14.45"/>
    <n v="5"/>
    <x v="0"/>
    <n v="6.79"/>
    <x v="0"/>
  </r>
  <r>
    <s v="CA-2014-104801"/>
    <x v="350"/>
    <x v="11"/>
    <d v="2014-02-20T00:00:00"/>
    <x v="0"/>
    <x v="340"/>
    <x v="0"/>
    <x v="1"/>
    <x v="1"/>
    <x v="4"/>
    <s v="Newell 311"/>
    <n v="6.63"/>
    <n v="3"/>
    <x v="0"/>
    <n v="1.79"/>
    <x v="0"/>
  </r>
  <r>
    <s v="CA-2012-129770"/>
    <x v="351"/>
    <x v="11"/>
    <d v="2012-02-23T00:00:00"/>
    <x v="0"/>
    <x v="254"/>
    <x v="0"/>
    <x v="101"/>
    <x v="6"/>
    <x v="8"/>
    <s v="Staples"/>
    <n v="49.12"/>
    <n v="4"/>
    <x v="0"/>
    <n v="23.09"/>
    <x v="0"/>
  </r>
  <r>
    <s v="CA-2011-149244"/>
    <x v="352"/>
    <x v="7"/>
    <d v="2011-11-08T00:00:00"/>
    <x v="0"/>
    <x v="341"/>
    <x v="0"/>
    <x v="18"/>
    <x v="0"/>
    <x v="1"/>
    <s v="Executive Impressions 12&quot; Wall Clock"/>
    <n v="35.340000000000003"/>
    <n v="2"/>
    <x v="0"/>
    <n v="13.43"/>
    <x v="0"/>
  </r>
  <r>
    <s v="CA-2012-140144"/>
    <x v="353"/>
    <x v="0"/>
    <d v="2012-06-25T00:00:00"/>
    <x v="0"/>
    <x v="249"/>
    <x v="0"/>
    <x v="3"/>
    <x v="0"/>
    <x v="1"/>
    <s v="Howard Miller 13&quot; Diameter Pewter Finish Round Wall Clock"/>
    <n v="257.64"/>
    <n v="6"/>
    <x v="0"/>
    <n v="100.48"/>
    <x v="0"/>
  </r>
  <r>
    <s v="US-2011-141257"/>
    <x v="354"/>
    <x v="0"/>
    <d v="2011-06-14T00:00:00"/>
    <x v="0"/>
    <x v="342"/>
    <x v="0"/>
    <x v="1"/>
    <x v="1"/>
    <x v="7"/>
    <s v="Hon Deluxe Fabric Upholstered Stacking Chairs, Squared Back"/>
    <n v="585.54999999999995"/>
    <n v="3"/>
    <x v="0"/>
    <n v="73.19"/>
    <x v="2"/>
  </r>
  <r>
    <s v="CA-2011-154669"/>
    <x v="90"/>
    <x v="3"/>
    <d v="2011-08-11T00:00:00"/>
    <x v="0"/>
    <x v="306"/>
    <x v="0"/>
    <x v="102"/>
    <x v="0"/>
    <x v="3"/>
    <s v="Advantus Rolling Drawer Organizers"/>
    <n v="423.28"/>
    <n v="11"/>
    <x v="1"/>
    <n v="110.05"/>
    <x v="0"/>
  </r>
  <r>
    <s v="CA-2011-158029"/>
    <x v="222"/>
    <x v="2"/>
    <d v="2011-05-30T00:00:00"/>
    <x v="0"/>
    <x v="343"/>
    <x v="0"/>
    <x v="0"/>
    <x v="0"/>
    <x v="7"/>
    <s v="Hon Olson Stacker Stools"/>
    <n v="225.3"/>
    <n v="2"/>
    <x v="0"/>
    <n v="22.53"/>
    <x v="0"/>
  </r>
  <r>
    <s v="CA-2012-155306"/>
    <x v="355"/>
    <x v="10"/>
    <d v="2012-04-21T00:00:00"/>
    <x v="0"/>
    <x v="344"/>
    <x v="0"/>
    <x v="3"/>
    <x v="0"/>
    <x v="4"/>
    <s v="Prang Drawing Pencil Set"/>
    <n v="5.56"/>
    <n v="2"/>
    <x v="0"/>
    <n v="2.2200000000000002"/>
    <x v="0"/>
  </r>
  <r>
    <s v="CA-2011-129574"/>
    <x v="222"/>
    <x v="2"/>
    <d v="2011-05-29T00:00:00"/>
    <x v="0"/>
    <x v="345"/>
    <x v="0"/>
    <x v="103"/>
    <x v="2"/>
    <x v="8"/>
    <s v="Wirebound Service Call Books, 5 1/2&quot; x 4&quot;"/>
    <n v="48.4"/>
    <n v="5"/>
    <x v="0"/>
    <n v="23.23"/>
    <x v="0"/>
  </r>
  <r>
    <s v="CA-2014-126536"/>
    <x v="315"/>
    <x v="8"/>
    <d v="2014-10-15T00:00:00"/>
    <x v="0"/>
    <x v="23"/>
    <x v="0"/>
    <x v="3"/>
    <x v="0"/>
    <x v="6"/>
    <s v="Maxell 4.7GB DVD-R 5/Pack"/>
    <n v="0.99"/>
    <n v="1"/>
    <x v="2"/>
    <n v="0.44"/>
    <x v="0"/>
  </r>
  <r>
    <s v="CA-2013-144729"/>
    <x v="155"/>
    <x v="8"/>
    <d v="2013-10-26T00:00:00"/>
    <x v="0"/>
    <x v="60"/>
    <x v="0"/>
    <x v="18"/>
    <x v="0"/>
    <x v="3"/>
    <s v="Belkin 19&quot; Vented Equipment Shelf, Black"/>
    <n v="154.44"/>
    <n v="3"/>
    <x v="0"/>
    <n v="1.54"/>
    <x v="0"/>
  </r>
  <r>
    <s v="CA-2012-127019"/>
    <x v="143"/>
    <x v="1"/>
    <d v="2012-12-25T00:00:00"/>
    <x v="0"/>
    <x v="346"/>
    <x v="0"/>
    <x v="21"/>
    <x v="5"/>
    <x v="9"/>
    <s v="Belkin 6 Outlet Metallic Surge Strip"/>
    <n v="60.98"/>
    <n v="7"/>
    <x v="1"/>
    <n v="4.57"/>
    <x v="0"/>
  </r>
  <r>
    <s v="CA-2012-138534"/>
    <x v="356"/>
    <x v="6"/>
    <d v="2012-07-19T00:00:00"/>
    <x v="0"/>
    <x v="198"/>
    <x v="0"/>
    <x v="104"/>
    <x v="0"/>
    <x v="15"/>
    <s v="Sauder Camden County Collection Libraries, Planked Cherry Finish"/>
    <n v="195.47"/>
    <n v="2"/>
    <x v="0"/>
    <n v="-13.8"/>
    <x v="0"/>
  </r>
  <r>
    <s v="CA-2012-149972"/>
    <x v="304"/>
    <x v="4"/>
    <d v="2012-09-23T00:00:00"/>
    <x v="0"/>
    <x v="228"/>
    <x v="0"/>
    <x v="0"/>
    <x v="0"/>
    <x v="7"/>
    <s v="Hon Every-Day Series Multi-Task Chairs"/>
    <n v="601.54"/>
    <n v="4"/>
    <x v="0"/>
    <n v="0"/>
    <x v="2"/>
  </r>
  <r>
    <s v="CA-2011-154599"/>
    <x v="357"/>
    <x v="10"/>
    <d v="2011-04-17T00:00:00"/>
    <x v="0"/>
    <x v="347"/>
    <x v="0"/>
    <x v="105"/>
    <x v="0"/>
    <x v="11"/>
    <s v="Pyle PMP37LED"/>
    <n v="1075.0899999999999"/>
    <n v="14"/>
    <x v="1"/>
    <n v="94.07"/>
    <x v="1"/>
  </r>
  <r>
    <s v="US-2012-110163"/>
    <x v="358"/>
    <x v="7"/>
    <d v="2012-11-04T00:00:00"/>
    <x v="0"/>
    <x v="348"/>
    <x v="0"/>
    <x v="38"/>
    <x v="4"/>
    <x v="4"/>
    <s v="Lumber Crayons"/>
    <n v="7.88"/>
    <n v="1"/>
    <x v="2"/>
    <n v="1.77"/>
    <x v="0"/>
  </r>
  <r>
    <s v="CA-2014-143329"/>
    <x v="56"/>
    <x v="7"/>
    <d v="2014-11-09T00:00:00"/>
    <x v="0"/>
    <x v="349"/>
    <x v="0"/>
    <x v="101"/>
    <x v="6"/>
    <x v="1"/>
    <s v="9-3/4 Diameter Round Wall Clock"/>
    <n v="41.37"/>
    <n v="3"/>
    <x v="0"/>
    <n v="17.38"/>
    <x v="0"/>
  </r>
  <r>
    <s v="CA-2012-159380"/>
    <x v="359"/>
    <x v="2"/>
    <d v="2012-05-16T00:00:00"/>
    <x v="0"/>
    <x v="350"/>
    <x v="0"/>
    <x v="3"/>
    <x v="0"/>
    <x v="8"/>
    <s v="Xerox 1962"/>
    <n v="12.84"/>
    <n v="3"/>
    <x v="0"/>
    <n v="5.78"/>
    <x v="0"/>
  </r>
  <r>
    <s v="CA-2012-148635"/>
    <x v="360"/>
    <x v="6"/>
    <d v="2012-07-27T00:00:00"/>
    <x v="0"/>
    <x v="351"/>
    <x v="0"/>
    <x v="1"/>
    <x v="1"/>
    <x v="12"/>
    <s v="Plymouth Boxed Rubber Bands by Plymouth"/>
    <n v="9.42"/>
    <n v="2"/>
    <x v="0"/>
    <n v="0.47"/>
    <x v="0"/>
  </r>
  <r>
    <s v="CA-2013-160500"/>
    <x v="334"/>
    <x v="2"/>
    <d v="2013-05-09T00:00:00"/>
    <x v="0"/>
    <x v="352"/>
    <x v="0"/>
    <x v="55"/>
    <x v="0"/>
    <x v="2"/>
    <s v="Computer Printout Index Tabs"/>
    <n v="6.72"/>
    <n v="5"/>
    <x v="0"/>
    <n v="2.35"/>
    <x v="0"/>
  </r>
  <r>
    <s v="CA-2014-100202"/>
    <x v="160"/>
    <x v="5"/>
    <d v="2014-01-06T00:00:00"/>
    <x v="0"/>
    <x v="142"/>
    <x v="0"/>
    <x v="36"/>
    <x v="0"/>
    <x v="11"/>
    <s v="Adtran 1202752G1"/>
    <n v="302.38"/>
    <n v="3"/>
    <x v="0"/>
    <n v="22.68"/>
    <x v="0"/>
  </r>
  <r>
    <s v="CA-2011-148915"/>
    <x v="116"/>
    <x v="7"/>
    <d v="2011-11-05T00:00:00"/>
    <x v="0"/>
    <x v="353"/>
    <x v="0"/>
    <x v="6"/>
    <x v="4"/>
    <x v="3"/>
    <s v="Carina Mini System Audio Rack, Model AR050B"/>
    <n v="443.92"/>
    <n v="5"/>
    <x v="0"/>
    <n v="-94.33"/>
    <x v="0"/>
  </r>
  <r>
    <s v="CA-2014-110842"/>
    <x v="361"/>
    <x v="7"/>
    <d v="2014-11-17T00:00:00"/>
    <x v="0"/>
    <x v="348"/>
    <x v="0"/>
    <x v="0"/>
    <x v="0"/>
    <x v="9"/>
    <s v="Belkin 6 Outlet Metallic Surge Strip"/>
    <n v="10.89"/>
    <n v="1"/>
    <x v="2"/>
    <n v="2.83"/>
    <x v="0"/>
  </r>
  <r>
    <s v="CA-2013-128594"/>
    <x v="138"/>
    <x v="3"/>
    <d v="2013-08-30T00:00:00"/>
    <x v="0"/>
    <x v="354"/>
    <x v="0"/>
    <x v="18"/>
    <x v="0"/>
    <x v="7"/>
    <s v="Global Troy Executive Leather Low-Back Tilter"/>
    <n v="1603.14"/>
    <n v="4"/>
    <x v="0"/>
    <n v="100.2"/>
    <x v="1"/>
  </r>
  <r>
    <s v="US-2014-103828"/>
    <x v="362"/>
    <x v="3"/>
    <d v="2014-08-14T00:00:00"/>
    <x v="0"/>
    <x v="96"/>
    <x v="0"/>
    <x v="3"/>
    <x v="0"/>
    <x v="3"/>
    <s v="Sterilite Officeware Hinged File Box"/>
    <n v="31.44"/>
    <n v="3"/>
    <x v="0"/>
    <n v="8.49"/>
    <x v="0"/>
  </r>
  <r>
    <s v="CA-2011-148040"/>
    <x v="363"/>
    <x v="9"/>
    <d v="2011-03-26T00:00:00"/>
    <x v="0"/>
    <x v="355"/>
    <x v="0"/>
    <x v="26"/>
    <x v="3"/>
    <x v="8"/>
    <s v="Xerox 1951"/>
    <n v="74.349999999999994"/>
    <n v="3"/>
    <x v="0"/>
    <n v="23.24"/>
    <x v="0"/>
  </r>
  <r>
    <s v="CA-2014-135167"/>
    <x v="50"/>
    <x v="0"/>
    <d v="2014-06-21T00:00:00"/>
    <x v="0"/>
    <x v="356"/>
    <x v="0"/>
    <x v="0"/>
    <x v="0"/>
    <x v="4"/>
    <s v="Dixon Prang Watercolor Pencils, 10-Color Set with Brush"/>
    <n v="4.26"/>
    <n v="1"/>
    <x v="2"/>
    <n v="1.75"/>
    <x v="0"/>
  </r>
  <r>
    <s v="CA-2014-137022"/>
    <x v="364"/>
    <x v="7"/>
    <d v="2014-11-23T00:00:00"/>
    <x v="0"/>
    <x v="357"/>
    <x v="0"/>
    <x v="18"/>
    <x v="0"/>
    <x v="3"/>
    <s v="Tennsco Regal Shelving Units"/>
    <n v="811.28"/>
    <n v="8"/>
    <x v="1"/>
    <n v="24.34"/>
    <x v="2"/>
  </r>
  <r>
    <s v="US-2013-167339"/>
    <x v="365"/>
    <x v="5"/>
    <d v="2013-01-23T00:00:00"/>
    <x v="0"/>
    <x v="131"/>
    <x v="0"/>
    <x v="18"/>
    <x v="0"/>
    <x v="7"/>
    <s v="Global Super Steno Chair"/>
    <n v="153.57"/>
    <n v="2"/>
    <x v="0"/>
    <n v="-5.76"/>
    <x v="0"/>
  </r>
  <r>
    <s v="CA-2013-130799"/>
    <x v="366"/>
    <x v="7"/>
    <d v="2013-11-17T00:00:00"/>
    <x v="0"/>
    <x v="258"/>
    <x v="0"/>
    <x v="3"/>
    <x v="0"/>
    <x v="1"/>
    <s v="Eldon Regeneration Recycled Desk Accessories, Smoke"/>
    <n v="6.96"/>
    <n v="4"/>
    <x v="0"/>
    <n v="2.23"/>
    <x v="0"/>
  </r>
  <r>
    <s v="CA-2013-164483"/>
    <x v="367"/>
    <x v="5"/>
    <d v="2013-02-03T00:00:00"/>
    <x v="0"/>
    <x v="79"/>
    <x v="0"/>
    <x v="3"/>
    <x v="0"/>
    <x v="2"/>
    <s v="Heavy-Duty E-Z-D Binders"/>
    <n v="17.46"/>
    <n v="2"/>
    <x v="0"/>
    <n v="5.89"/>
    <x v="0"/>
  </r>
  <r>
    <s v="US-2013-159856"/>
    <x v="368"/>
    <x v="8"/>
    <d v="2013-10-23T00:00:00"/>
    <x v="0"/>
    <x v="358"/>
    <x v="0"/>
    <x v="69"/>
    <x v="3"/>
    <x v="7"/>
    <s v="Global Deluxe Steno Chair"/>
    <n v="307.92"/>
    <n v="5"/>
    <x v="0"/>
    <n v="-34.64"/>
    <x v="0"/>
  </r>
  <r>
    <s v="CA-2014-102099"/>
    <x v="156"/>
    <x v="1"/>
    <d v="2014-12-20T00:00:00"/>
    <x v="0"/>
    <x v="358"/>
    <x v="0"/>
    <x v="0"/>
    <x v="0"/>
    <x v="4"/>
    <s v="Newell 327"/>
    <n v="6.63"/>
    <n v="3"/>
    <x v="0"/>
    <n v="1.79"/>
    <x v="0"/>
  </r>
  <r>
    <s v="CA-2014-164049"/>
    <x v="369"/>
    <x v="7"/>
    <d v="2014-11-07T00:00:00"/>
    <x v="0"/>
    <x v="359"/>
    <x v="0"/>
    <x v="1"/>
    <x v="1"/>
    <x v="8"/>
    <s v="Wirebound Message Books, Four 2 3/4 x 5 Forms per Page, 200 Sets per Book"/>
    <n v="23.85"/>
    <n v="5"/>
    <x v="0"/>
    <n v="10.73"/>
    <x v="0"/>
  </r>
  <r>
    <s v="CA-2011-127586"/>
    <x v="180"/>
    <x v="4"/>
    <d v="2011-09-30T00:00:00"/>
    <x v="0"/>
    <x v="210"/>
    <x v="0"/>
    <x v="1"/>
    <x v="1"/>
    <x v="3"/>
    <s v="Dual Level, Single-Width Filing Carts"/>
    <n v="310.12"/>
    <n v="2"/>
    <x v="0"/>
    <n v="80.63"/>
    <x v="0"/>
  </r>
  <r>
    <s v="CA-2014-166415"/>
    <x v="370"/>
    <x v="11"/>
    <d v="2014-02-24T00:00:00"/>
    <x v="0"/>
    <x v="91"/>
    <x v="0"/>
    <x v="1"/>
    <x v="1"/>
    <x v="12"/>
    <s v="Rubber Band Ball"/>
    <n v="11.22"/>
    <n v="3"/>
    <x v="0"/>
    <n v="0.22"/>
    <x v="0"/>
  </r>
  <r>
    <s v="CA-2014-164329"/>
    <x v="371"/>
    <x v="5"/>
    <d v="2014-01-31T00:00:00"/>
    <x v="0"/>
    <x v="187"/>
    <x v="0"/>
    <x v="3"/>
    <x v="0"/>
    <x v="3"/>
    <s v="Space Solutions Commercial Steel Shelving"/>
    <n v="129.30000000000001"/>
    <n v="2"/>
    <x v="0"/>
    <n v="6.47"/>
    <x v="0"/>
  </r>
  <r>
    <s v="CA-2012-168564"/>
    <x v="372"/>
    <x v="3"/>
    <d v="2012-08-08T00:00:00"/>
    <x v="0"/>
    <x v="360"/>
    <x v="0"/>
    <x v="3"/>
    <x v="0"/>
    <x v="2"/>
    <s v="ACCOHIDE 3-Ring Binder, Blue, 1&quot;"/>
    <n v="6.61"/>
    <n v="2"/>
    <x v="0"/>
    <n v="2.23"/>
    <x v="0"/>
  </r>
  <r>
    <s v="US-2013-169040"/>
    <x v="158"/>
    <x v="1"/>
    <d v="2013-12-13T00:00:00"/>
    <x v="0"/>
    <x v="361"/>
    <x v="0"/>
    <x v="1"/>
    <x v="1"/>
    <x v="11"/>
    <s v="Plantronics Calisto P620-M USB Wireless Speakerphone System"/>
    <n v="156.79"/>
    <n v="1"/>
    <x v="2"/>
    <n v="13.72"/>
    <x v="0"/>
  </r>
  <r>
    <s v="CA-2014-126242"/>
    <x v="196"/>
    <x v="7"/>
    <d v="2014-11-25T00:00:00"/>
    <x v="0"/>
    <x v="362"/>
    <x v="0"/>
    <x v="0"/>
    <x v="0"/>
    <x v="3"/>
    <s v="File Shuttle II and Handi-File, Black"/>
    <n v="305.01"/>
    <n v="9"/>
    <x v="1"/>
    <n v="76.25"/>
    <x v="0"/>
  </r>
  <r>
    <s v="CA-2013-166443"/>
    <x v="99"/>
    <x v="7"/>
    <d v="2013-11-06T00:00:00"/>
    <x v="0"/>
    <x v="363"/>
    <x v="0"/>
    <x v="3"/>
    <x v="0"/>
    <x v="1"/>
    <s v="Advantus Panel Wall Acrylic Frame"/>
    <n v="38.29"/>
    <n v="7"/>
    <x v="1"/>
    <n v="16.46"/>
    <x v="0"/>
  </r>
  <r>
    <s v="CA-2014-169859"/>
    <x v="373"/>
    <x v="1"/>
    <d v="2014-12-19T00:00:00"/>
    <x v="0"/>
    <x v="204"/>
    <x v="0"/>
    <x v="18"/>
    <x v="0"/>
    <x v="1"/>
    <s v="Eldon 400 Class Desk Accessories, Black Carbon"/>
    <n v="26.25"/>
    <n v="3"/>
    <x v="0"/>
    <n v="11.03"/>
    <x v="0"/>
  </r>
  <r>
    <s v="CA-2014-134915"/>
    <x v="34"/>
    <x v="7"/>
    <d v="2014-11-13T00:00:00"/>
    <x v="0"/>
    <x v="364"/>
    <x v="0"/>
    <x v="65"/>
    <x v="3"/>
    <x v="6"/>
    <s v="Memorex Micro Travel Drive 8 GB"/>
    <n v="41.6"/>
    <n v="4"/>
    <x v="0"/>
    <n v="13"/>
    <x v="0"/>
  </r>
  <r>
    <s v="CA-2012-158456"/>
    <x v="183"/>
    <x v="1"/>
    <d v="2012-12-29T00:00:00"/>
    <x v="0"/>
    <x v="177"/>
    <x v="0"/>
    <x v="0"/>
    <x v="0"/>
    <x v="2"/>
    <s v="Avery Hole Reinforcements"/>
    <n v="19.940000000000001"/>
    <n v="4"/>
    <x v="0"/>
    <n v="7.23"/>
    <x v="0"/>
  </r>
  <r>
    <s v="CA-2014-143665"/>
    <x v="374"/>
    <x v="10"/>
    <d v="2014-05-02T00:00:00"/>
    <x v="0"/>
    <x v="365"/>
    <x v="0"/>
    <x v="1"/>
    <x v="1"/>
    <x v="8"/>
    <s v="Strathmore Photo Mount Cards"/>
    <n v="20.34"/>
    <n v="3"/>
    <x v="0"/>
    <n v="9.36"/>
    <x v="0"/>
  </r>
  <r>
    <s v="CA-2014-137428"/>
    <x v="375"/>
    <x v="1"/>
    <d v="2014-12-22T00:00:00"/>
    <x v="0"/>
    <x v="366"/>
    <x v="0"/>
    <x v="51"/>
    <x v="0"/>
    <x v="7"/>
    <s v="Global Deluxe Stacking Chair, Gray"/>
    <n v="81.569999999999993"/>
    <n v="2"/>
    <x v="0"/>
    <n v="9.18"/>
    <x v="0"/>
  </r>
  <r>
    <s v="CA-2011-131310"/>
    <x v="48"/>
    <x v="6"/>
    <d v="2011-07-18T00:00:00"/>
    <x v="0"/>
    <x v="107"/>
    <x v="0"/>
    <x v="1"/>
    <x v="1"/>
    <x v="7"/>
    <s v="Safco Chair Connectors, 6/Carton"/>
    <n v="123.14"/>
    <n v="4"/>
    <x v="0"/>
    <n v="13.85"/>
    <x v="0"/>
  </r>
  <r>
    <s v="US-2011-112872"/>
    <x v="376"/>
    <x v="1"/>
    <d v="2011-12-11T00:00:00"/>
    <x v="0"/>
    <x v="367"/>
    <x v="0"/>
    <x v="80"/>
    <x v="4"/>
    <x v="3"/>
    <s v="File Shuttle I and Handi-File"/>
    <n v="53.42"/>
    <n v="3"/>
    <x v="0"/>
    <n v="4.67"/>
    <x v="0"/>
  </r>
  <r>
    <s v="CA-2013-139010"/>
    <x v="377"/>
    <x v="11"/>
    <d v="2013-02-26T00:00:00"/>
    <x v="0"/>
    <x v="368"/>
    <x v="0"/>
    <x v="0"/>
    <x v="0"/>
    <x v="6"/>
    <s v="SanDisk Ultra 16 GB MicroSDHC Class 10 Memory Card"/>
    <n v="12.99"/>
    <n v="1"/>
    <x v="2"/>
    <n v="0.78"/>
    <x v="0"/>
  </r>
  <r>
    <s v="CA-2013-112893"/>
    <x v="378"/>
    <x v="4"/>
    <d v="2013-09-14T00:00:00"/>
    <x v="0"/>
    <x v="88"/>
    <x v="0"/>
    <x v="87"/>
    <x v="0"/>
    <x v="2"/>
    <s v="VariCap6 Expandable Binder"/>
    <n v="55.36"/>
    <n v="4"/>
    <x v="0"/>
    <n v="18.68"/>
    <x v="0"/>
  </r>
  <r>
    <s v="US-2011-150532"/>
    <x v="379"/>
    <x v="6"/>
    <d v="2011-07-21T00:00:00"/>
    <x v="1"/>
    <x v="58"/>
    <x v="0"/>
    <x v="8"/>
    <x v="3"/>
    <x v="3"/>
    <s v="Eldon Fold 'N Roll Cart System"/>
    <n v="55.92"/>
    <n v="5"/>
    <x v="0"/>
    <n v="6.29"/>
    <x v="0"/>
  </r>
  <r>
    <s v="CA-2011-130729"/>
    <x v="380"/>
    <x v="8"/>
    <d v="2011-10-29T00:00:00"/>
    <x v="0"/>
    <x v="73"/>
    <x v="0"/>
    <x v="86"/>
    <x v="0"/>
    <x v="2"/>
    <s v="Avery Premier Heavy-Duty Binder with Round Locking Rings"/>
    <n v="34.270000000000003"/>
    <n v="3"/>
    <x v="0"/>
    <n v="11.14"/>
    <x v="0"/>
  </r>
  <r>
    <s v="CA-2014-134845"/>
    <x v="381"/>
    <x v="10"/>
    <d v="2014-04-24T00:00:00"/>
    <x v="0"/>
    <x v="369"/>
    <x v="0"/>
    <x v="30"/>
    <x v="5"/>
    <x v="2"/>
    <s v="Insertable Tab Post Binder Dividers"/>
    <n v="12.03"/>
    <n v="5"/>
    <x v="0"/>
    <n v="-9.2200000000000006"/>
    <x v="0"/>
  </r>
  <r>
    <s v="CA-2012-123568"/>
    <x v="302"/>
    <x v="7"/>
    <d v="2012-11-14T00:00:00"/>
    <x v="0"/>
    <x v="61"/>
    <x v="0"/>
    <x v="2"/>
    <x v="2"/>
    <x v="12"/>
    <s v="Alliance Rubber Bands"/>
    <n v="5.04"/>
    <n v="3"/>
    <x v="0"/>
    <n v="0.2"/>
    <x v="0"/>
  </r>
  <r>
    <s v="CA-2011-106719"/>
    <x v="382"/>
    <x v="3"/>
    <d v="2011-08-24T00:00:00"/>
    <x v="0"/>
    <x v="223"/>
    <x v="0"/>
    <x v="106"/>
    <x v="8"/>
    <x v="2"/>
    <s v="SlimView Poly Binder, 3/8&quot;"/>
    <n v="8.2899999999999991"/>
    <n v="2"/>
    <x v="0"/>
    <n v="2.69"/>
    <x v="0"/>
  </r>
  <r>
    <s v="US-2013-164189"/>
    <x v="383"/>
    <x v="9"/>
    <d v="2013-03-29T00:00:00"/>
    <x v="0"/>
    <x v="370"/>
    <x v="0"/>
    <x v="107"/>
    <x v="4"/>
    <x v="11"/>
    <s v="BlackBerry Q10"/>
    <n v="403.17"/>
    <n v="4"/>
    <x v="0"/>
    <n v="25.2"/>
    <x v="0"/>
  </r>
  <r>
    <s v="US-2013-114293"/>
    <x v="384"/>
    <x v="7"/>
    <d v="2013-11-27T00:00:00"/>
    <x v="0"/>
    <x v="168"/>
    <x v="0"/>
    <x v="107"/>
    <x v="4"/>
    <x v="7"/>
    <s v="Novimex Fabric Task Chair"/>
    <n v="195.14"/>
    <n v="4"/>
    <x v="0"/>
    <n v="-12.2"/>
    <x v="0"/>
  </r>
  <r>
    <s v="CA-2014-101749"/>
    <x v="385"/>
    <x v="8"/>
    <d v="2014-10-09T00:00:00"/>
    <x v="0"/>
    <x v="371"/>
    <x v="0"/>
    <x v="10"/>
    <x v="0"/>
    <x v="5"/>
    <s v="Lesro Sheffield Collection Coffee Table, End Table, Center Table, Corner Table"/>
    <n v="171.29"/>
    <n v="3"/>
    <x v="0"/>
    <n v="-6.42"/>
    <x v="0"/>
  </r>
  <r>
    <s v="CA-2014-149559"/>
    <x v="386"/>
    <x v="4"/>
    <d v="2014-09-13T00:00:00"/>
    <x v="0"/>
    <x v="276"/>
    <x v="0"/>
    <x v="23"/>
    <x v="0"/>
    <x v="8"/>
    <s v="Xerox 1996"/>
    <n v="12.96"/>
    <n v="2"/>
    <x v="0"/>
    <n v="6.22"/>
    <x v="0"/>
  </r>
  <r>
    <s v="CA-2011-137351"/>
    <x v="387"/>
    <x v="4"/>
    <d v="2011-10-04T00:00:00"/>
    <x v="0"/>
    <x v="46"/>
    <x v="0"/>
    <x v="1"/>
    <x v="1"/>
    <x v="2"/>
    <s v="DXL Angle-View Binders with Locking Rings by Samsill"/>
    <n v="43.18"/>
    <n v="7"/>
    <x v="1"/>
    <n v="13.49"/>
    <x v="0"/>
  </r>
  <r>
    <s v="US-2014-148054"/>
    <x v="388"/>
    <x v="8"/>
    <d v="2014-10-12T00:00:00"/>
    <x v="0"/>
    <x v="106"/>
    <x v="0"/>
    <x v="108"/>
    <x v="9"/>
    <x v="1"/>
    <s v="36X48 HARDFLOOR CHAIRMAT"/>
    <n v="41.96"/>
    <n v="2"/>
    <x v="0"/>
    <n v="2.94"/>
    <x v="0"/>
  </r>
  <r>
    <s v="CA-2014-131492"/>
    <x v="389"/>
    <x v="8"/>
    <d v="2014-10-25T00:00:00"/>
    <x v="0"/>
    <x v="219"/>
    <x v="0"/>
    <x v="3"/>
    <x v="0"/>
    <x v="10"/>
    <s v="Ampad #10 Peel &amp; Seel Holiday Envelopes"/>
    <n v="8.9600000000000009"/>
    <n v="2"/>
    <x v="0"/>
    <n v="4.3"/>
    <x v="0"/>
  </r>
  <r>
    <s v="CA-2014-106859"/>
    <x v="288"/>
    <x v="9"/>
    <d v="2014-03-19T00:00:00"/>
    <x v="0"/>
    <x v="372"/>
    <x v="0"/>
    <x v="95"/>
    <x v="6"/>
    <x v="3"/>
    <s v="SimpliFile Personal File, Black Granite, 15w x 6-15/16d x 11-1/4h"/>
    <n v="90.8"/>
    <n v="8"/>
    <x v="1"/>
    <n v="25.42"/>
    <x v="0"/>
  </r>
  <r>
    <s v="CA-2013-125206"/>
    <x v="390"/>
    <x v="5"/>
    <d v="2013-01-05T00:00:00"/>
    <x v="0"/>
    <x v="87"/>
    <x v="0"/>
    <x v="0"/>
    <x v="0"/>
    <x v="3"/>
    <s v="Recycled Steel Personal File for Hanging File Folders"/>
    <n v="114.46"/>
    <n v="2"/>
    <x v="0"/>
    <n v="28.62"/>
    <x v="0"/>
  </r>
  <r>
    <s v="CA-2012-126137"/>
    <x v="391"/>
    <x v="8"/>
    <d v="2012-10-08T00:00:00"/>
    <x v="0"/>
    <x v="31"/>
    <x v="0"/>
    <x v="0"/>
    <x v="0"/>
    <x v="15"/>
    <s v="Safco Value Mate Series Steel Bookcases, Baked Enamel Finish on Steel, Gray"/>
    <n v="120.67"/>
    <n v="2"/>
    <x v="0"/>
    <n v="18.45"/>
    <x v="0"/>
  </r>
  <r>
    <s v="CA-2011-104780"/>
    <x v="392"/>
    <x v="2"/>
    <d v="2011-05-25T00:00:00"/>
    <x v="0"/>
    <x v="159"/>
    <x v="0"/>
    <x v="18"/>
    <x v="0"/>
    <x v="4"/>
    <s v="4009 Highlighters by Sanford"/>
    <n v="31.84"/>
    <n v="8"/>
    <x v="1"/>
    <n v="10.51"/>
    <x v="0"/>
  </r>
  <r>
    <s v="CA-2014-101182"/>
    <x v="321"/>
    <x v="4"/>
    <d v="2014-09-06T00:00:00"/>
    <x v="0"/>
    <x v="373"/>
    <x v="0"/>
    <x v="109"/>
    <x v="0"/>
    <x v="8"/>
    <s v="Xerox 220"/>
    <n v="12.96"/>
    <n v="2"/>
    <x v="0"/>
    <n v="6.22"/>
    <x v="0"/>
  </r>
  <r>
    <s v="CA-2013-150350"/>
    <x v="393"/>
    <x v="3"/>
    <d v="2013-08-31T00:00:00"/>
    <x v="1"/>
    <x v="374"/>
    <x v="0"/>
    <x v="1"/>
    <x v="1"/>
    <x v="16"/>
    <s v="Okidata C331dn Printer"/>
    <n v="837.6"/>
    <n v="3"/>
    <x v="0"/>
    <n v="62.82"/>
    <x v="2"/>
  </r>
  <r>
    <s v="CA-2011-136399"/>
    <x v="394"/>
    <x v="1"/>
    <d v="2011-12-17T00:00:00"/>
    <x v="0"/>
    <x v="375"/>
    <x v="0"/>
    <x v="0"/>
    <x v="0"/>
    <x v="1"/>
    <s v="Executive Impressions 14&quot; Contract Wall Clock"/>
    <n v="44.46"/>
    <n v="2"/>
    <x v="0"/>
    <n v="14.67"/>
    <x v="0"/>
  </r>
  <r>
    <s v="CA-2014-131828"/>
    <x v="206"/>
    <x v="11"/>
    <d v="2014-02-14T00:00:00"/>
    <x v="0"/>
    <x v="376"/>
    <x v="0"/>
    <x v="1"/>
    <x v="1"/>
    <x v="7"/>
    <s v="Global Leather and Oak Executive Chair, Black"/>
    <n v="963.14"/>
    <n v="4"/>
    <x v="0"/>
    <n v="108.35"/>
    <x v="2"/>
  </r>
  <r>
    <s v="CA-2011-109218"/>
    <x v="395"/>
    <x v="0"/>
    <d v="2011-07-03T00:00:00"/>
    <x v="0"/>
    <x v="94"/>
    <x v="0"/>
    <x v="0"/>
    <x v="0"/>
    <x v="4"/>
    <s v="BIC Brite Liner Highlighters, Chisel Tip"/>
    <n v="32.4"/>
    <n v="5"/>
    <x v="0"/>
    <n v="10.37"/>
    <x v="0"/>
  </r>
  <r>
    <s v="US-2011-109036"/>
    <x v="396"/>
    <x v="1"/>
    <d v="2011-12-25T00:00:00"/>
    <x v="0"/>
    <x v="55"/>
    <x v="0"/>
    <x v="1"/>
    <x v="1"/>
    <x v="0"/>
    <s v="Avery 489"/>
    <n v="31.05"/>
    <n v="3"/>
    <x v="0"/>
    <n v="14.9"/>
    <x v="0"/>
  </r>
  <r>
    <s v="CA-2011-128986"/>
    <x v="31"/>
    <x v="3"/>
    <d v="2011-08-05T00:00:00"/>
    <x v="0"/>
    <x v="377"/>
    <x v="0"/>
    <x v="65"/>
    <x v="3"/>
    <x v="8"/>
    <s v="White Computer Printout Paper by Universal"/>
    <n v="93.02"/>
    <n v="3"/>
    <x v="0"/>
    <n v="33.72"/>
    <x v="0"/>
  </r>
  <r>
    <s v="CA-2011-153969"/>
    <x v="53"/>
    <x v="4"/>
    <d v="2011-09-25T00:00:00"/>
    <x v="0"/>
    <x v="343"/>
    <x v="0"/>
    <x v="3"/>
    <x v="0"/>
    <x v="10"/>
    <s v="Staples"/>
    <n v="15.56"/>
    <n v="2"/>
    <x v="0"/>
    <n v="7.31"/>
    <x v="0"/>
  </r>
  <r>
    <s v="US-2014-132059"/>
    <x v="151"/>
    <x v="4"/>
    <d v="2014-09-30T00:00:00"/>
    <x v="0"/>
    <x v="154"/>
    <x v="0"/>
    <x v="92"/>
    <x v="5"/>
    <x v="15"/>
    <s v="Atlantic Metals Mobile 5-Shelf Bookcases, Custom Colors"/>
    <n v="180.59"/>
    <n v="2"/>
    <x v="0"/>
    <n v="-240.78"/>
    <x v="0"/>
  </r>
  <r>
    <s v="US-2014-146416"/>
    <x v="397"/>
    <x v="8"/>
    <d v="2014-10-23T00:00:00"/>
    <x v="0"/>
    <x v="378"/>
    <x v="0"/>
    <x v="110"/>
    <x v="0"/>
    <x v="0"/>
    <s v="Avery 510"/>
    <n v="3.75"/>
    <n v="1"/>
    <x v="2"/>
    <n v="1.8"/>
    <x v="0"/>
  </r>
  <r>
    <s v="CA-2012-149384"/>
    <x v="398"/>
    <x v="6"/>
    <d v="2012-07-10T00:00:00"/>
    <x v="0"/>
    <x v="6"/>
    <x v="0"/>
    <x v="69"/>
    <x v="3"/>
    <x v="2"/>
    <s v="Accohide Poly Flexible Ring Binders"/>
    <n v="3.37"/>
    <n v="3"/>
    <x v="0"/>
    <n v="-2.2400000000000002"/>
    <x v="0"/>
  </r>
  <r>
    <s v="CA-2011-158372"/>
    <x v="399"/>
    <x v="7"/>
    <d v="2011-11-16T00:00:00"/>
    <x v="0"/>
    <x v="26"/>
    <x v="0"/>
    <x v="18"/>
    <x v="0"/>
    <x v="11"/>
    <s v="Jabra SPEAK 410"/>
    <n v="601.54"/>
    <n v="8"/>
    <x v="1"/>
    <n v="60.15"/>
    <x v="2"/>
  </r>
  <r>
    <s v="CA-2013-108882"/>
    <x v="400"/>
    <x v="5"/>
    <d v="2013-01-15T00:00:00"/>
    <x v="0"/>
    <x v="298"/>
    <x v="0"/>
    <x v="59"/>
    <x v="0"/>
    <x v="6"/>
    <s v="Logitech G500s Laser Gaming Mouse with Adjustable Weight Tuning"/>
    <n v="349.95"/>
    <n v="5"/>
    <x v="0"/>
    <n v="118.98"/>
    <x v="0"/>
  </r>
  <r>
    <s v="CA-2014-150189"/>
    <x v="182"/>
    <x v="6"/>
    <d v="2014-07-11T00:00:00"/>
    <x v="0"/>
    <x v="136"/>
    <x v="0"/>
    <x v="111"/>
    <x v="0"/>
    <x v="0"/>
    <s v="Avery 485"/>
    <n v="75.180000000000007"/>
    <n v="6"/>
    <x v="0"/>
    <n v="35.33"/>
    <x v="0"/>
  </r>
  <r>
    <s v="CA-2011-114433"/>
    <x v="3"/>
    <x v="2"/>
    <d v="2011-05-17T00:00:00"/>
    <x v="0"/>
    <x v="148"/>
    <x v="0"/>
    <x v="54"/>
    <x v="0"/>
    <x v="6"/>
    <s v="Plantronics Audio 478 Stereo USB Headset"/>
    <n v="149.97"/>
    <n v="3"/>
    <x v="0"/>
    <n v="52.49"/>
    <x v="0"/>
  </r>
  <r>
    <s v="CA-2011-108189"/>
    <x v="401"/>
    <x v="8"/>
    <d v="2011-10-05T00:00:00"/>
    <x v="0"/>
    <x v="74"/>
    <x v="0"/>
    <x v="69"/>
    <x v="3"/>
    <x v="8"/>
    <s v="Adams Telephone Message Book W/Dividers/Space For Phone Numbers, 5 1/4&quot;X8 1/2&quot;, 300/Messages"/>
    <n v="9.41"/>
    <n v="2"/>
    <x v="0"/>
    <n v="3.41"/>
    <x v="0"/>
  </r>
  <r>
    <s v="CA-2013-138933"/>
    <x v="402"/>
    <x v="10"/>
    <d v="2013-04-28T00:00:00"/>
    <x v="0"/>
    <x v="379"/>
    <x v="0"/>
    <x v="49"/>
    <x v="0"/>
    <x v="2"/>
    <s v="Cardinal Holdit Business Card Pockets"/>
    <n v="3.98"/>
    <n v="1"/>
    <x v="2"/>
    <n v="1.39"/>
    <x v="0"/>
  </r>
  <r>
    <s v="US-2014-140907"/>
    <x v="146"/>
    <x v="1"/>
    <d v="2014-12-13T00:00:00"/>
    <x v="0"/>
    <x v="43"/>
    <x v="0"/>
    <x v="1"/>
    <x v="1"/>
    <x v="6"/>
    <s v="Logitech Desktop MK120 Mouse and keyboard Combo"/>
    <n v="49.08"/>
    <n v="3"/>
    <x v="0"/>
    <n v="4.91"/>
    <x v="0"/>
  </r>
  <r>
    <s v="CA-2013-159730"/>
    <x v="11"/>
    <x v="4"/>
    <d v="2013-09-22T00:00:00"/>
    <x v="0"/>
    <x v="380"/>
    <x v="0"/>
    <x v="1"/>
    <x v="1"/>
    <x v="7"/>
    <s v="Harbour Creations 67200 Series Stacking Chairs"/>
    <n v="113.89"/>
    <n v="2"/>
    <x v="0"/>
    <n v="9.9700000000000006"/>
    <x v="0"/>
  </r>
  <r>
    <s v="CA-2013-155474"/>
    <x v="264"/>
    <x v="6"/>
    <d v="2013-07-15T00:00:00"/>
    <x v="0"/>
    <x v="381"/>
    <x v="0"/>
    <x v="1"/>
    <x v="1"/>
    <x v="11"/>
    <s v="Logitech Mobile Speakerphone P710e - speaker phone"/>
    <n v="107.98"/>
    <n v="1"/>
    <x v="2"/>
    <n v="9.4499999999999993"/>
    <x v="0"/>
  </r>
  <r>
    <s v="CA-2011-140662"/>
    <x v="403"/>
    <x v="7"/>
    <d v="2011-11-19T00:00:00"/>
    <x v="0"/>
    <x v="382"/>
    <x v="0"/>
    <x v="3"/>
    <x v="0"/>
    <x v="6"/>
    <s v="Case Logic 2.4GHz Wireless Keyboard"/>
    <n v="99.98"/>
    <n v="2"/>
    <x v="0"/>
    <n v="8"/>
    <x v="0"/>
  </r>
  <r>
    <s v="CA-2012-155145"/>
    <x v="231"/>
    <x v="1"/>
    <d v="2012-12-29T00:00:00"/>
    <x v="0"/>
    <x v="347"/>
    <x v="0"/>
    <x v="112"/>
    <x v="0"/>
    <x v="6"/>
    <s v="Maxell 4.7GB DVD-R 5/Pack"/>
    <n v="7.92"/>
    <n v="8"/>
    <x v="1"/>
    <n v="3.48"/>
    <x v="0"/>
  </r>
  <r>
    <s v="CA-2012-146038"/>
    <x v="404"/>
    <x v="11"/>
    <d v="2012-02-16T00:00:00"/>
    <x v="1"/>
    <x v="383"/>
    <x v="0"/>
    <x v="0"/>
    <x v="0"/>
    <x v="7"/>
    <s v="Global Deluxe Stacking Chair, Gray"/>
    <n v="203.92"/>
    <n v="5"/>
    <x v="0"/>
    <n v="22.94"/>
    <x v="0"/>
  </r>
  <r>
    <s v="CA-2014-133865"/>
    <x v="405"/>
    <x v="2"/>
    <d v="2014-05-13T00:00:00"/>
    <x v="0"/>
    <x v="384"/>
    <x v="0"/>
    <x v="0"/>
    <x v="0"/>
    <x v="13"/>
    <s v="Canon Imageclass D680 Copier / Fax"/>
    <n v="3359.95"/>
    <n v="6"/>
    <x v="0"/>
    <n v="1049.99"/>
    <x v="1"/>
  </r>
  <r>
    <s v="CA-2012-157770"/>
    <x v="127"/>
    <x v="1"/>
    <d v="2012-12-15T00:00:00"/>
    <x v="0"/>
    <x v="385"/>
    <x v="0"/>
    <x v="113"/>
    <x v="0"/>
    <x v="11"/>
    <s v="Plantronics Voyager Pro Legend"/>
    <n v="494.38"/>
    <n v="3"/>
    <x v="0"/>
    <n v="49.44"/>
    <x v="0"/>
  </r>
  <r>
    <s v="CA-2011-106264"/>
    <x v="43"/>
    <x v="1"/>
    <d v="2011-12-30T00:00:00"/>
    <x v="0"/>
    <x v="267"/>
    <x v="0"/>
    <x v="18"/>
    <x v="0"/>
    <x v="14"/>
    <s v="Acme Rosewood Handle Letter Opener"/>
    <n v="11.91"/>
    <n v="3"/>
    <x v="0"/>
    <n v="0.12"/>
    <x v="0"/>
  </r>
  <r>
    <s v="US-2012-110569"/>
    <x v="406"/>
    <x v="2"/>
    <d v="2012-05-30T00:00:00"/>
    <x v="1"/>
    <x v="5"/>
    <x v="0"/>
    <x v="8"/>
    <x v="3"/>
    <x v="2"/>
    <s v="Cardinal EasyOpen D-Ring Binders"/>
    <n v="19.190000000000001"/>
    <n v="7"/>
    <x v="1"/>
    <n v="-12.8"/>
    <x v="0"/>
  </r>
  <r>
    <s v="CA-2014-136308"/>
    <x v="364"/>
    <x v="7"/>
    <d v="2014-11-17T00:00:00"/>
    <x v="0"/>
    <x v="386"/>
    <x v="0"/>
    <x v="3"/>
    <x v="0"/>
    <x v="16"/>
    <s v="Bady BDG101FRU Card Printer"/>
    <n v="1919.98"/>
    <n v="3"/>
    <x v="0"/>
    <n v="216"/>
    <x v="1"/>
  </r>
  <r>
    <s v="US-2011-133130"/>
    <x v="407"/>
    <x v="4"/>
    <d v="2011-10-01T00:00:00"/>
    <x v="0"/>
    <x v="221"/>
    <x v="0"/>
    <x v="18"/>
    <x v="0"/>
    <x v="7"/>
    <s v="DMI Arturo Collection Mission-style Design Wood Chair"/>
    <n v="603.91999999999996"/>
    <n v="5"/>
    <x v="0"/>
    <n v="45.29"/>
    <x v="2"/>
  </r>
  <r>
    <s v="CA-2012-165057"/>
    <x v="408"/>
    <x v="4"/>
    <d v="2012-09-15T00:00:00"/>
    <x v="0"/>
    <x v="227"/>
    <x v="0"/>
    <x v="14"/>
    <x v="0"/>
    <x v="4"/>
    <s v="Boston 19500 Mighty Mite Electric Pencil Sharpener"/>
    <n v="181.35"/>
    <n v="9"/>
    <x v="1"/>
    <n v="48.96"/>
    <x v="0"/>
  </r>
  <r>
    <s v="US-2014-109253"/>
    <x v="409"/>
    <x v="3"/>
    <d v="2014-08-23T00:00:00"/>
    <x v="0"/>
    <x v="387"/>
    <x v="0"/>
    <x v="54"/>
    <x v="0"/>
    <x v="4"/>
    <s v="Newell 336"/>
    <n v="17.12"/>
    <n v="4"/>
    <x v="0"/>
    <n v="4.96"/>
    <x v="0"/>
  </r>
  <r>
    <s v="CA-2012-112011"/>
    <x v="410"/>
    <x v="3"/>
    <d v="2012-08-20T00:00:00"/>
    <x v="1"/>
    <x v="388"/>
    <x v="0"/>
    <x v="114"/>
    <x v="0"/>
    <x v="4"/>
    <s v="50 Colored Long Pencils"/>
    <n v="50.8"/>
    <n v="5"/>
    <x v="0"/>
    <n v="13.21"/>
    <x v="0"/>
  </r>
  <r>
    <s v="US-2013-157308"/>
    <x v="411"/>
    <x v="3"/>
    <d v="2013-08-22T00:00:00"/>
    <x v="0"/>
    <x v="151"/>
    <x v="0"/>
    <x v="1"/>
    <x v="1"/>
    <x v="2"/>
    <s v="Acco Pressboard Covers with Storage Hooks, 14 7/8&quot; x 11&quot;, Light Blue"/>
    <n v="15.71"/>
    <n v="4"/>
    <x v="0"/>
    <n v="5.7"/>
    <x v="0"/>
  </r>
  <r>
    <s v="US-2011-134733"/>
    <x v="412"/>
    <x v="4"/>
    <d v="2011-09-28T00:00:00"/>
    <x v="0"/>
    <x v="389"/>
    <x v="0"/>
    <x v="18"/>
    <x v="0"/>
    <x v="15"/>
    <s v="Rush Hierlooms Collection 1&quot; Thick Stackable Bookcases"/>
    <n v="436"/>
    <n v="3"/>
    <x v="0"/>
    <n v="20.52"/>
    <x v="0"/>
  </r>
  <r>
    <s v="CA-2011-115161"/>
    <x v="413"/>
    <x v="11"/>
    <d v="2011-02-03T00:00:00"/>
    <x v="0"/>
    <x v="390"/>
    <x v="0"/>
    <x v="40"/>
    <x v="0"/>
    <x v="15"/>
    <s v="Sauder Facets Collection Library, Sky Alder Finish"/>
    <n v="290.67"/>
    <n v="2"/>
    <x v="0"/>
    <n v="3.42"/>
    <x v="0"/>
  </r>
  <r>
    <s v="CA-2012-115511"/>
    <x v="414"/>
    <x v="7"/>
    <d v="2012-11-25T00:00:00"/>
    <x v="0"/>
    <x v="217"/>
    <x v="0"/>
    <x v="28"/>
    <x v="7"/>
    <x v="15"/>
    <s v="Hon Metal Bookcases, Putty"/>
    <n v="141.96"/>
    <n v="2"/>
    <x v="0"/>
    <n v="41.17"/>
    <x v="0"/>
  </r>
  <r>
    <s v="CA-2014-123778"/>
    <x v="151"/>
    <x v="4"/>
    <d v="2014-10-01T00:00:00"/>
    <x v="1"/>
    <x v="31"/>
    <x v="0"/>
    <x v="3"/>
    <x v="0"/>
    <x v="2"/>
    <s v="Acco PRESSTEX Data Binder with Storage Hooks, Light Blue, 9 1/2&quot; X 11&quot;"/>
    <n v="25.82"/>
    <n v="6"/>
    <x v="0"/>
    <n v="9.0399999999999991"/>
    <x v="0"/>
  </r>
  <r>
    <s v="CA-2011-166471"/>
    <x v="237"/>
    <x v="3"/>
    <d v="2011-08-13T00:00:00"/>
    <x v="0"/>
    <x v="391"/>
    <x v="0"/>
    <x v="1"/>
    <x v="1"/>
    <x v="11"/>
    <s v="Cisco Unified IP Phone 7945G VoIP phone"/>
    <n v="1091.17"/>
    <n v="4"/>
    <x v="0"/>
    <n v="68.2"/>
    <x v="1"/>
  </r>
  <r>
    <s v="CA-2012-152527"/>
    <x v="415"/>
    <x v="8"/>
    <d v="2012-10-17T00:00:00"/>
    <x v="0"/>
    <x v="392"/>
    <x v="0"/>
    <x v="0"/>
    <x v="0"/>
    <x v="3"/>
    <s v="Eldon Base for stackable storage shelf, platinum"/>
    <n v="77.88"/>
    <n v="2"/>
    <x v="0"/>
    <n v="3.89"/>
    <x v="0"/>
  </r>
  <r>
    <s v="CA-2013-100244"/>
    <x v="416"/>
    <x v="4"/>
    <d v="2013-09-25T00:00:00"/>
    <x v="0"/>
    <x v="317"/>
    <x v="0"/>
    <x v="3"/>
    <x v="0"/>
    <x v="8"/>
    <s v="Strathmore Photo Frame Cards"/>
    <n v="65.790000000000006"/>
    <n v="9"/>
    <x v="1"/>
    <n v="30.26"/>
    <x v="0"/>
  </r>
  <r>
    <s v="CA-2012-151841"/>
    <x v="417"/>
    <x v="10"/>
    <d v="2012-05-02T00:00:00"/>
    <x v="0"/>
    <x v="393"/>
    <x v="0"/>
    <x v="7"/>
    <x v="5"/>
    <x v="9"/>
    <s v="Belkin 6 Outlet Metallic Surge Strip"/>
    <n v="43.56"/>
    <n v="5"/>
    <x v="0"/>
    <n v="3.27"/>
    <x v="0"/>
  </r>
  <r>
    <s v="CA-2013-134803"/>
    <x v="418"/>
    <x v="2"/>
    <d v="2013-06-04T00:00:00"/>
    <x v="0"/>
    <x v="107"/>
    <x v="0"/>
    <x v="0"/>
    <x v="0"/>
    <x v="9"/>
    <s v="Kensington 7 Outlet MasterPiece HOMEOFFICE Power Control Center"/>
    <n v="262.24"/>
    <n v="2"/>
    <x v="0"/>
    <n v="78.67"/>
    <x v="0"/>
  </r>
  <r>
    <s v="CA-2014-148264"/>
    <x v="55"/>
    <x v="1"/>
    <d v="2014-12-10T00:00:00"/>
    <x v="0"/>
    <x v="394"/>
    <x v="0"/>
    <x v="20"/>
    <x v="0"/>
    <x v="3"/>
    <s v="Akro-Mils 12-Gallon Tote"/>
    <n v="29.79"/>
    <n v="3"/>
    <x v="0"/>
    <n v="8.64"/>
    <x v="0"/>
  </r>
  <r>
    <s v="CA-2014-131212"/>
    <x v="257"/>
    <x v="1"/>
    <d v="2014-12-10T00:00:00"/>
    <x v="0"/>
    <x v="95"/>
    <x v="0"/>
    <x v="71"/>
    <x v="1"/>
    <x v="2"/>
    <s v="GBC Wire Binding Combs"/>
    <n v="24.82"/>
    <n v="3"/>
    <x v="0"/>
    <n v="8.3800000000000008"/>
    <x v="0"/>
  </r>
  <r>
    <s v="CA-2012-144099"/>
    <x v="419"/>
    <x v="7"/>
    <d v="2012-11-30T00:00:00"/>
    <x v="0"/>
    <x v="395"/>
    <x v="0"/>
    <x v="3"/>
    <x v="0"/>
    <x v="2"/>
    <s v="Acco PRESSTEX Data Binder with Storage Hooks, Dark Blue, 14 7/8&quot; X 11&quot;"/>
    <n v="4.3"/>
    <n v="1"/>
    <x v="2"/>
    <n v="1.56"/>
    <x v="0"/>
  </r>
  <r>
    <s v="CA-2013-162614"/>
    <x v="420"/>
    <x v="8"/>
    <d v="2013-10-14T00:00:00"/>
    <x v="0"/>
    <x v="396"/>
    <x v="0"/>
    <x v="0"/>
    <x v="0"/>
    <x v="2"/>
    <s v="GBC Recycled VeloBinder Covers"/>
    <n v="27.26"/>
    <n v="2"/>
    <x v="0"/>
    <n v="8.86"/>
    <x v="0"/>
  </r>
  <r>
    <s v="CA-2011-168592"/>
    <x v="105"/>
    <x v="4"/>
    <d v="2011-09-14T00:00:00"/>
    <x v="0"/>
    <x v="397"/>
    <x v="0"/>
    <x v="3"/>
    <x v="0"/>
    <x v="9"/>
    <s v="Holmes Replacement Filter for HEPA Air Cleaner, Medium Room"/>
    <n v="56.65"/>
    <n v="5"/>
    <x v="0"/>
    <n v="24.36"/>
    <x v="0"/>
  </r>
  <r>
    <s v="US-2013-150035"/>
    <x v="421"/>
    <x v="1"/>
    <d v="2013-12-06T00:00:00"/>
    <x v="0"/>
    <x v="398"/>
    <x v="0"/>
    <x v="3"/>
    <x v="0"/>
    <x v="1"/>
    <s v="Westinghouse Clip-On Gooseneck Lamps"/>
    <n v="16.739999999999998"/>
    <n v="2"/>
    <x v="0"/>
    <n v="4.3499999999999996"/>
    <x v="0"/>
  </r>
  <r>
    <s v="CA-2011-143385"/>
    <x v="422"/>
    <x v="3"/>
    <d v="2011-09-05T00:00:00"/>
    <x v="0"/>
    <x v="399"/>
    <x v="0"/>
    <x v="115"/>
    <x v="6"/>
    <x v="6"/>
    <s v="KeyTronic KT400U2 - Keyboard - Black"/>
    <n v="92.52"/>
    <n v="9"/>
    <x v="1"/>
    <n v="18.5"/>
    <x v="0"/>
  </r>
  <r>
    <s v="CA-2013-131289"/>
    <x v="423"/>
    <x v="1"/>
    <d v="2013-12-15T00:00:00"/>
    <x v="0"/>
    <x v="236"/>
    <x v="0"/>
    <x v="3"/>
    <x v="0"/>
    <x v="4"/>
    <s v="Newell 341"/>
    <n v="8.56"/>
    <n v="2"/>
    <x v="0"/>
    <n v="2.48"/>
    <x v="0"/>
  </r>
  <r>
    <s v="CA-2013-107328"/>
    <x v="424"/>
    <x v="3"/>
    <d v="2013-08-16T00:00:00"/>
    <x v="1"/>
    <x v="400"/>
    <x v="0"/>
    <x v="0"/>
    <x v="0"/>
    <x v="5"/>
    <s v="Chromcraft 48&quot; x 96&quot; Racetrack Double Pedestal Table"/>
    <n v="513.02"/>
    <n v="2"/>
    <x v="0"/>
    <n v="12.83"/>
    <x v="2"/>
  </r>
  <r>
    <s v="CA-2012-168767"/>
    <x v="425"/>
    <x v="10"/>
    <d v="2012-04-15T00:00:00"/>
    <x v="0"/>
    <x v="401"/>
    <x v="0"/>
    <x v="93"/>
    <x v="0"/>
    <x v="2"/>
    <s v="Insertable Tab Post Binder Dividers"/>
    <n v="12.83"/>
    <n v="2"/>
    <x v="0"/>
    <n v="4.33"/>
    <x v="0"/>
  </r>
  <r>
    <s v="CA-2013-137673"/>
    <x v="426"/>
    <x v="4"/>
    <d v="2013-09-11T00:00:00"/>
    <x v="0"/>
    <x v="213"/>
    <x v="0"/>
    <x v="18"/>
    <x v="0"/>
    <x v="6"/>
    <s v="HP Standard 104 key PS/2 Keyboard"/>
    <n v="116"/>
    <n v="8"/>
    <x v="1"/>
    <n v="29"/>
    <x v="0"/>
  </r>
  <r>
    <s v="CA-2013-130680"/>
    <x v="427"/>
    <x v="0"/>
    <d v="2013-06-30T00:00:00"/>
    <x v="0"/>
    <x v="75"/>
    <x v="0"/>
    <x v="18"/>
    <x v="0"/>
    <x v="11"/>
    <s v="Macally Suction Cup Mount"/>
    <n v="38.24"/>
    <n v="4"/>
    <x v="0"/>
    <n v="-9.56"/>
    <x v="0"/>
  </r>
  <r>
    <s v="CA-2011-110849"/>
    <x v="428"/>
    <x v="10"/>
    <d v="2011-04-23T00:00:00"/>
    <x v="0"/>
    <x v="93"/>
    <x v="0"/>
    <x v="0"/>
    <x v="0"/>
    <x v="16"/>
    <s v="Ativa MDM8000 8-Sheet Micro-Cut Shredder"/>
    <n v="287.97000000000003"/>
    <n v="4"/>
    <x v="0"/>
    <n v="97.19"/>
    <x v="0"/>
  </r>
  <r>
    <s v="CA-2011-120838"/>
    <x v="429"/>
    <x v="9"/>
    <d v="2011-03-26T00:00:00"/>
    <x v="0"/>
    <x v="402"/>
    <x v="0"/>
    <x v="0"/>
    <x v="0"/>
    <x v="3"/>
    <s v="Economy Rollaway Files"/>
    <n v="330.4"/>
    <n v="2"/>
    <x v="0"/>
    <n v="85.9"/>
    <x v="0"/>
  </r>
  <r>
    <s v="CA-2014-118542"/>
    <x v="88"/>
    <x v="1"/>
    <d v="2014-12-06T00:00:00"/>
    <x v="0"/>
    <x v="49"/>
    <x v="0"/>
    <x v="0"/>
    <x v="0"/>
    <x v="8"/>
    <s v="Xerox 1905"/>
    <n v="45.36"/>
    <n v="7"/>
    <x v="1"/>
    <n v="21.77"/>
    <x v="0"/>
  </r>
  <r>
    <s v="CA-2014-152737"/>
    <x v="278"/>
    <x v="7"/>
    <d v="2014-11-13T00:00:00"/>
    <x v="0"/>
    <x v="403"/>
    <x v="0"/>
    <x v="3"/>
    <x v="0"/>
    <x v="2"/>
    <s v="Avery Self-Adhesive Photo Pockets for Polaroid Photos"/>
    <n v="21.79"/>
    <n v="4"/>
    <x v="0"/>
    <n v="7.63"/>
    <x v="0"/>
  </r>
  <r>
    <s v="CA-2013-130029"/>
    <x v="430"/>
    <x v="6"/>
    <d v="2013-07-07T00:00:00"/>
    <x v="0"/>
    <x v="404"/>
    <x v="0"/>
    <x v="0"/>
    <x v="0"/>
    <x v="8"/>
    <s v="Xerox 200"/>
    <n v="12.96"/>
    <n v="2"/>
    <x v="0"/>
    <n v="6.22"/>
    <x v="0"/>
  </r>
  <r>
    <s v="CA-2014-168109"/>
    <x v="317"/>
    <x v="6"/>
    <d v="2014-07-04T00:00:00"/>
    <x v="0"/>
    <x v="405"/>
    <x v="0"/>
    <x v="1"/>
    <x v="1"/>
    <x v="6"/>
    <s v="Logitech 910-002974 M325 Wireless Mouse for Web Scrolling"/>
    <n v="59.98"/>
    <n v="2"/>
    <x v="0"/>
    <n v="26.39"/>
    <x v="0"/>
  </r>
  <r>
    <s v="CA-2013-103163"/>
    <x v="431"/>
    <x v="0"/>
    <d v="2013-06-12T00:00:00"/>
    <x v="0"/>
    <x v="29"/>
    <x v="0"/>
    <x v="104"/>
    <x v="0"/>
    <x v="2"/>
    <s v="Avery Hanging File Binders"/>
    <n v="4.78"/>
    <n v="1"/>
    <x v="2"/>
    <n v="1.55"/>
    <x v="0"/>
  </r>
  <r>
    <s v="CA-2014-161823"/>
    <x v="432"/>
    <x v="4"/>
    <d v="2014-09-09T00:00:00"/>
    <x v="0"/>
    <x v="326"/>
    <x v="0"/>
    <x v="3"/>
    <x v="0"/>
    <x v="4"/>
    <s v="Premium Writing Pencils, Soft, #2 by Central Association for the Blind"/>
    <n v="5.96"/>
    <n v="2"/>
    <x v="0"/>
    <n v="1.67"/>
    <x v="0"/>
  </r>
  <r>
    <s v="CA-2014-138310"/>
    <x v="123"/>
    <x v="0"/>
    <d v="2014-07-01T00:00:00"/>
    <x v="0"/>
    <x v="163"/>
    <x v="0"/>
    <x v="15"/>
    <x v="5"/>
    <x v="6"/>
    <s v="Kensington Orbit Wireless Mobile Trackball for PC and Mac"/>
    <n v="431.93"/>
    <n v="9"/>
    <x v="1"/>
    <n v="64.790000000000006"/>
    <x v="0"/>
  </r>
  <r>
    <s v="CA-2014-141929"/>
    <x v="321"/>
    <x v="4"/>
    <d v="2014-09-09T00:00:00"/>
    <x v="0"/>
    <x v="406"/>
    <x v="0"/>
    <x v="0"/>
    <x v="0"/>
    <x v="2"/>
    <s v="Ibico Hi-Tech Manual Binding System"/>
    <n v="487.98"/>
    <n v="2"/>
    <x v="0"/>
    <n v="152.5"/>
    <x v="0"/>
  </r>
  <r>
    <s v="CA-2014-113530"/>
    <x v="91"/>
    <x v="2"/>
    <d v="2014-05-22T00:00:00"/>
    <x v="0"/>
    <x v="296"/>
    <x v="0"/>
    <x v="3"/>
    <x v="0"/>
    <x v="7"/>
    <s v="Situations Contoured Folding Chairs, 4/Set"/>
    <n v="681.41"/>
    <n v="12"/>
    <x v="1"/>
    <n v="42.59"/>
    <x v="2"/>
  </r>
  <r>
    <s v="CA-2011-169726"/>
    <x v="237"/>
    <x v="3"/>
    <d v="2011-08-13T00:00:00"/>
    <x v="0"/>
    <x v="62"/>
    <x v="0"/>
    <x v="1"/>
    <x v="1"/>
    <x v="2"/>
    <s v="Ibico Ibimaster 300 Manual Binding System"/>
    <n v="2060.7399999999998"/>
    <n v="7"/>
    <x v="1"/>
    <n v="643.98"/>
    <x v="1"/>
  </r>
  <r>
    <s v="CA-2014-132178"/>
    <x v="433"/>
    <x v="2"/>
    <d v="2014-05-09T00:00:00"/>
    <x v="0"/>
    <x v="407"/>
    <x v="0"/>
    <x v="0"/>
    <x v="0"/>
    <x v="3"/>
    <s v="Multi-Use Personal File Cart and Caster Set, Three Stacking Bins"/>
    <n v="69.52"/>
    <n v="2"/>
    <x v="0"/>
    <n v="19.47"/>
    <x v="0"/>
  </r>
  <r>
    <s v="CA-2011-156594"/>
    <x v="396"/>
    <x v="1"/>
    <d v="2011-12-23T00:00:00"/>
    <x v="0"/>
    <x v="200"/>
    <x v="0"/>
    <x v="0"/>
    <x v="0"/>
    <x v="2"/>
    <s v="Ibico Hi-Tech Manual Binding System"/>
    <n v="487.98"/>
    <n v="2"/>
    <x v="0"/>
    <n v="152.5"/>
    <x v="0"/>
  </r>
  <r>
    <s v="CA-2011-146528"/>
    <x v="327"/>
    <x v="6"/>
    <d v="2011-07-27T00:00:00"/>
    <x v="0"/>
    <x v="408"/>
    <x v="0"/>
    <x v="0"/>
    <x v="0"/>
    <x v="8"/>
    <s v="Xerox 1966"/>
    <n v="6.48"/>
    <n v="1"/>
    <x v="2"/>
    <n v="3.18"/>
    <x v="0"/>
  </r>
  <r>
    <s v="CA-2013-161676"/>
    <x v="166"/>
    <x v="6"/>
    <d v="2013-07-24T00:00:00"/>
    <x v="0"/>
    <x v="409"/>
    <x v="0"/>
    <x v="65"/>
    <x v="3"/>
    <x v="14"/>
    <s v="Elite 5&quot; Scissors"/>
    <n v="33.799999999999997"/>
    <n v="5"/>
    <x v="0"/>
    <n v="4.2300000000000004"/>
    <x v="0"/>
  </r>
  <r>
    <s v="CA-2011-129364"/>
    <x v="434"/>
    <x v="1"/>
    <d v="2011-12-13T00:00:00"/>
    <x v="0"/>
    <x v="396"/>
    <x v="0"/>
    <x v="38"/>
    <x v="4"/>
    <x v="0"/>
    <s v="Avery 499"/>
    <n v="27.89"/>
    <n v="7"/>
    <x v="1"/>
    <n v="9.06"/>
    <x v="0"/>
  </r>
  <r>
    <s v="CA-2012-156440"/>
    <x v="435"/>
    <x v="1"/>
    <d v="2012-12-09T00:00:00"/>
    <x v="0"/>
    <x v="282"/>
    <x v="0"/>
    <x v="18"/>
    <x v="0"/>
    <x v="1"/>
    <s v="Executive Impressions 14&quot; Contract Wall Clock"/>
    <n v="44.46"/>
    <n v="2"/>
    <x v="0"/>
    <n v="14.67"/>
    <x v="0"/>
  </r>
  <r>
    <s v="CA-2013-102792"/>
    <x v="129"/>
    <x v="1"/>
    <d v="2013-12-20T00:00:00"/>
    <x v="0"/>
    <x v="72"/>
    <x v="0"/>
    <x v="49"/>
    <x v="0"/>
    <x v="4"/>
    <s v="Crayola Colored Pencils"/>
    <n v="9.84"/>
    <n v="3"/>
    <x v="0"/>
    <n v="3.25"/>
    <x v="0"/>
  </r>
  <r>
    <s v="CA-2014-140760"/>
    <x v="436"/>
    <x v="0"/>
    <d v="2014-06-06T00:00:00"/>
    <x v="0"/>
    <x v="410"/>
    <x v="0"/>
    <x v="35"/>
    <x v="3"/>
    <x v="8"/>
    <s v="Xerox 4200 Series MultiUse Premium Copy Paper (20Lb. and 84 Bright)"/>
    <n v="25.34"/>
    <n v="6"/>
    <x v="0"/>
    <n v="7.92"/>
    <x v="0"/>
  </r>
  <r>
    <s v="US-2012-131359"/>
    <x v="437"/>
    <x v="8"/>
    <d v="2012-11-02T00:00:00"/>
    <x v="0"/>
    <x v="44"/>
    <x v="0"/>
    <x v="15"/>
    <x v="5"/>
    <x v="16"/>
    <s v="Lexmark S315 Color Inkjet Printer"/>
    <n v="59.99"/>
    <n v="2"/>
    <x v="0"/>
    <n v="-46"/>
    <x v="0"/>
  </r>
  <r>
    <s v="CA-2012-151680"/>
    <x v="438"/>
    <x v="7"/>
    <d v="2012-11-21T00:00:00"/>
    <x v="0"/>
    <x v="393"/>
    <x v="0"/>
    <x v="1"/>
    <x v="1"/>
    <x v="1"/>
    <s v="Tenex V2T-RE Standard Weight Series Chair Mat, 45&quot; x 53&quot;, Lip 25&quot; x 12&quot;"/>
    <n v="141.96"/>
    <n v="2"/>
    <x v="0"/>
    <n v="22.71"/>
    <x v="0"/>
  </r>
  <r>
    <s v="CA-2011-140039"/>
    <x v="439"/>
    <x v="4"/>
    <d v="2011-09-17T00:00:00"/>
    <x v="0"/>
    <x v="388"/>
    <x v="0"/>
    <x v="69"/>
    <x v="3"/>
    <x v="3"/>
    <s v="Eldon File Chest Portable File"/>
    <n v="79.400000000000006"/>
    <n v="5"/>
    <x v="0"/>
    <n v="5.96"/>
    <x v="0"/>
  </r>
  <r>
    <s v="CA-2014-113670"/>
    <x v="175"/>
    <x v="8"/>
    <d v="2014-10-18T00:00:00"/>
    <x v="0"/>
    <x v="411"/>
    <x v="0"/>
    <x v="0"/>
    <x v="0"/>
    <x v="5"/>
    <s v="Bush Advantage Collection Round Conference Table"/>
    <n v="510.24"/>
    <n v="3"/>
    <x v="0"/>
    <n v="6.38"/>
    <x v="2"/>
  </r>
  <r>
    <s v="CA-2014-166198"/>
    <x v="440"/>
    <x v="10"/>
    <d v="2014-04-25T00:00:00"/>
    <x v="0"/>
    <x v="232"/>
    <x v="0"/>
    <x v="1"/>
    <x v="1"/>
    <x v="6"/>
    <s v="Verbatim Slim CD and DVD Storage Cases, 50/Pack"/>
    <n v="11.54"/>
    <n v="1"/>
    <x v="2"/>
    <n v="3.46"/>
    <x v="0"/>
  </r>
  <r>
    <s v="CA-2011-135608"/>
    <x v="434"/>
    <x v="1"/>
    <d v="2011-12-10T00:00:00"/>
    <x v="0"/>
    <x v="293"/>
    <x v="0"/>
    <x v="53"/>
    <x v="1"/>
    <x v="8"/>
    <s v="Xerox 1964"/>
    <n v="45.68"/>
    <n v="2"/>
    <x v="0"/>
    <n v="21.01"/>
    <x v="0"/>
  </r>
  <r>
    <s v="US-2011-169789"/>
    <x v="441"/>
    <x v="1"/>
    <d v="2012-01-04T00:00:00"/>
    <x v="0"/>
    <x v="412"/>
    <x v="0"/>
    <x v="8"/>
    <x v="3"/>
    <x v="2"/>
    <s v="Ibico Ibimaster 300 Manual Binding System"/>
    <n v="551.99"/>
    <n v="5"/>
    <x v="0"/>
    <n v="-459.99"/>
    <x v="2"/>
  </r>
  <r>
    <s v="CA-2013-151512"/>
    <x v="189"/>
    <x v="1"/>
    <d v="2014-01-03T00:00:00"/>
    <x v="1"/>
    <x v="19"/>
    <x v="0"/>
    <x v="15"/>
    <x v="5"/>
    <x v="9"/>
    <s v="Harmony HEPA Quiet Air Purifiers"/>
    <n v="18.72"/>
    <n v="2"/>
    <x v="0"/>
    <n v="3.51"/>
    <x v="0"/>
  </r>
  <r>
    <s v="CA-2014-161956"/>
    <x v="442"/>
    <x v="3"/>
    <d v="2014-08-30T00:00:00"/>
    <x v="0"/>
    <x v="370"/>
    <x v="0"/>
    <x v="20"/>
    <x v="0"/>
    <x v="1"/>
    <s v="GE 48&quot; Fluorescent Tube, Cool White Energy Saver, 34 Watts, 30/Box"/>
    <n v="198.46"/>
    <n v="2"/>
    <x v="0"/>
    <n v="99.23"/>
    <x v="0"/>
  </r>
  <r>
    <s v="CA-2012-167745"/>
    <x v="86"/>
    <x v="4"/>
    <d v="2012-09-23T00:00:00"/>
    <x v="0"/>
    <x v="155"/>
    <x v="0"/>
    <x v="0"/>
    <x v="0"/>
    <x v="4"/>
    <s v="Quartet Omega Colored Chalk, 12/Pack"/>
    <n v="11.68"/>
    <n v="2"/>
    <x v="0"/>
    <n v="5.49"/>
    <x v="0"/>
  </r>
  <r>
    <s v="CA-2013-155530"/>
    <x v="443"/>
    <x v="1"/>
    <d v="2013-12-22T00:00:00"/>
    <x v="0"/>
    <x v="413"/>
    <x v="0"/>
    <x v="3"/>
    <x v="0"/>
    <x v="5"/>
    <s v="Bretford Just In Time Height-Adjustable Multi-Task Work Tables"/>
    <n v="2003.52"/>
    <n v="6"/>
    <x v="0"/>
    <n v="-325.57"/>
    <x v="1"/>
  </r>
  <r>
    <s v="CA-2012-107937"/>
    <x v="444"/>
    <x v="2"/>
    <d v="2012-05-08T00:00:00"/>
    <x v="0"/>
    <x v="414"/>
    <x v="0"/>
    <x v="116"/>
    <x v="0"/>
    <x v="1"/>
    <s v="Rubbermaid ClusterMat Chairmats, Mat Size- 66&quot; x 60&quot;, Lip 20&quot; x 11&quot; -90 Degree Angle"/>
    <n v="665.88"/>
    <n v="6"/>
    <x v="0"/>
    <n v="106.54"/>
    <x v="2"/>
  </r>
  <r>
    <s v="CA-2013-144218"/>
    <x v="445"/>
    <x v="7"/>
    <d v="2013-11-05T00:00:00"/>
    <x v="0"/>
    <x v="415"/>
    <x v="0"/>
    <x v="0"/>
    <x v="0"/>
    <x v="3"/>
    <s v="Dual Level, Single-Width Filing Carts"/>
    <n v="1085.42"/>
    <n v="7"/>
    <x v="1"/>
    <n v="282.20999999999998"/>
    <x v="1"/>
  </r>
  <r>
    <s v="CA-2011-107139"/>
    <x v="446"/>
    <x v="6"/>
    <d v="2011-07-11T00:00:00"/>
    <x v="0"/>
    <x v="397"/>
    <x v="0"/>
    <x v="0"/>
    <x v="0"/>
    <x v="2"/>
    <s v="Vinyl Sectional Post Binders"/>
    <n v="180.96"/>
    <n v="6"/>
    <x v="0"/>
    <n v="67.86"/>
    <x v="0"/>
  </r>
  <r>
    <s v="US-2011-117163"/>
    <x v="447"/>
    <x v="5"/>
    <d v="2011-02-03T00:00:00"/>
    <x v="0"/>
    <x v="416"/>
    <x v="0"/>
    <x v="18"/>
    <x v="0"/>
    <x v="3"/>
    <s v="Recycled Steel Personal File for Hanging File Folders"/>
    <n v="57.23"/>
    <n v="1"/>
    <x v="2"/>
    <n v="14.31"/>
    <x v="0"/>
  </r>
  <r>
    <s v="CA-2011-100363"/>
    <x v="448"/>
    <x v="10"/>
    <d v="2011-04-15T00:00:00"/>
    <x v="1"/>
    <x v="327"/>
    <x v="0"/>
    <x v="65"/>
    <x v="3"/>
    <x v="12"/>
    <s v="Binder Clips by OIC"/>
    <n v="2.37"/>
    <n v="2"/>
    <x v="0"/>
    <n v="0.83"/>
    <x v="0"/>
  </r>
  <r>
    <s v="CA-2011-126760"/>
    <x v="449"/>
    <x v="6"/>
    <d v="2011-08-02T00:00:00"/>
    <x v="1"/>
    <x v="8"/>
    <x v="0"/>
    <x v="68"/>
    <x v="7"/>
    <x v="11"/>
    <s v="Apple iPhone 5S"/>
    <n v="911.98"/>
    <n v="2"/>
    <x v="0"/>
    <n v="114"/>
    <x v="2"/>
  </r>
  <r>
    <s v="CA-2011-101931"/>
    <x v="450"/>
    <x v="8"/>
    <d v="2011-10-31T00:00:00"/>
    <x v="0"/>
    <x v="417"/>
    <x v="0"/>
    <x v="0"/>
    <x v="0"/>
    <x v="2"/>
    <s v="Avery Non-Stick Binders"/>
    <n v="7.18"/>
    <n v="2"/>
    <x v="0"/>
    <n v="2.25"/>
    <x v="0"/>
  </r>
  <r>
    <s v="US-2014-131849"/>
    <x v="451"/>
    <x v="0"/>
    <d v="2014-06-11T00:00:00"/>
    <x v="0"/>
    <x v="377"/>
    <x v="0"/>
    <x v="3"/>
    <x v="0"/>
    <x v="1"/>
    <s v="Eldon 300 Class Desk Accessories, Black"/>
    <n v="4.95"/>
    <n v="1"/>
    <x v="2"/>
    <n v="2.1800000000000002"/>
    <x v="0"/>
  </r>
  <r>
    <s v="CA-2011-140816"/>
    <x v="396"/>
    <x v="1"/>
    <d v="2011-12-20T00:00:00"/>
    <x v="0"/>
    <x v="333"/>
    <x v="0"/>
    <x v="117"/>
    <x v="5"/>
    <x v="6"/>
    <s v="Logitech G430 Surround Sound Gaming Headset with Dolby 7.1 Technology"/>
    <n v="447.94"/>
    <n v="7"/>
    <x v="1"/>
    <n v="89.59"/>
    <x v="0"/>
  </r>
  <r>
    <s v="CA-2014-123246"/>
    <x v="452"/>
    <x v="8"/>
    <d v="2014-10-20T00:00:00"/>
    <x v="0"/>
    <x v="418"/>
    <x v="0"/>
    <x v="18"/>
    <x v="0"/>
    <x v="4"/>
    <s v="Economy #2 Pencils"/>
    <n v="10.64"/>
    <n v="4"/>
    <x v="0"/>
    <n v="2.77"/>
    <x v="0"/>
  </r>
  <r>
    <s v="CA-2011-124709"/>
    <x v="453"/>
    <x v="6"/>
    <d v="2011-07-29T00:00:00"/>
    <x v="0"/>
    <x v="240"/>
    <x v="0"/>
    <x v="3"/>
    <x v="0"/>
    <x v="6"/>
    <s v="WD My Passport Ultra 2TB Portable External Hard Drive"/>
    <n v="238"/>
    <n v="2"/>
    <x v="0"/>
    <n v="38.08"/>
    <x v="0"/>
  </r>
  <r>
    <s v="CA-2012-132486"/>
    <x v="454"/>
    <x v="8"/>
    <d v="2012-10-27T00:00:00"/>
    <x v="0"/>
    <x v="419"/>
    <x v="0"/>
    <x v="18"/>
    <x v="0"/>
    <x v="6"/>
    <s v="Maxell DVD-RAM Discs"/>
    <n v="148.32"/>
    <n v="9"/>
    <x v="1"/>
    <n v="63.78"/>
    <x v="0"/>
  </r>
  <r>
    <s v="CA-2012-129896"/>
    <x v="455"/>
    <x v="0"/>
    <d v="2012-06-20T00:00:00"/>
    <x v="0"/>
    <x v="420"/>
    <x v="0"/>
    <x v="5"/>
    <x v="3"/>
    <x v="8"/>
    <s v="Xerox 1895"/>
    <n v="9.57"/>
    <n v="2"/>
    <x v="0"/>
    <n v="2.99"/>
    <x v="0"/>
  </r>
  <r>
    <s v="US-2013-163881"/>
    <x v="202"/>
    <x v="7"/>
    <d v="2013-12-01T00:00:00"/>
    <x v="0"/>
    <x v="59"/>
    <x v="0"/>
    <x v="0"/>
    <x v="0"/>
    <x v="6"/>
    <s v="Plantronics CS510 - Over-the-Head monaural Wireless Headset System"/>
    <n v="659.9"/>
    <n v="2"/>
    <x v="0"/>
    <n v="217.77"/>
    <x v="2"/>
  </r>
  <r>
    <s v="US-2012-119312"/>
    <x v="274"/>
    <x v="8"/>
    <d v="2012-10-07T00:00:00"/>
    <x v="0"/>
    <x v="210"/>
    <x v="0"/>
    <x v="0"/>
    <x v="0"/>
    <x v="3"/>
    <s v="Eldon ProFile File 'N Store Portable File Tub Letter/Legal Size Black"/>
    <n v="270.33999999999997"/>
    <n v="14"/>
    <x v="1"/>
    <n v="75.7"/>
    <x v="0"/>
  </r>
  <r>
    <s v="US-2014-142573"/>
    <x v="456"/>
    <x v="6"/>
    <d v="2014-07-24T00:00:00"/>
    <x v="0"/>
    <x v="421"/>
    <x v="0"/>
    <x v="8"/>
    <x v="3"/>
    <x v="5"/>
    <s v="Chromcraft 48&quot; x 96&quot; Racetrack Double Pedestal Table"/>
    <n v="801.6"/>
    <n v="5"/>
    <x v="0"/>
    <n v="-448.9"/>
    <x v="2"/>
  </r>
  <r>
    <s v="CA-2011-103940"/>
    <x v="457"/>
    <x v="4"/>
    <d v="2011-09-21T00:00:00"/>
    <x v="0"/>
    <x v="69"/>
    <x v="0"/>
    <x v="1"/>
    <x v="1"/>
    <x v="3"/>
    <s v="Eldon Gobal File Keepers"/>
    <n v="30.28"/>
    <n v="2"/>
    <x v="0"/>
    <n v="1.21"/>
    <x v="0"/>
  </r>
  <r>
    <s v="CA-2014-123001"/>
    <x v="169"/>
    <x v="4"/>
    <d v="2014-09-09T00:00:00"/>
    <x v="0"/>
    <x v="268"/>
    <x v="0"/>
    <x v="104"/>
    <x v="0"/>
    <x v="4"/>
    <s v="OIC #2 Pencils, Medium Soft"/>
    <n v="9.4"/>
    <n v="5"/>
    <x v="0"/>
    <n v="2.73"/>
    <x v="0"/>
  </r>
  <r>
    <s v="CA-2013-133144"/>
    <x v="458"/>
    <x v="2"/>
    <d v="2013-05-22T00:00:00"/>
    <x v="0"/>
    <x v="410"/>
    <x v="0"/>
    <x v="0"/>
    <x v="0"/>
    <x v="8"/>
    <s v="Xerox 196"/>
    <n v="17.34"/>
    <n v="3"/>
    <x v="0"/>
    <n v="8.5"/>
    <x v="0"/>
  </r>
  <r>
    <s v="US-2013-151862"/>
    <x v="459"/>
    <x v="9"/>
    <d v="2013-03-09T00:00:00"/>
    <x v="1"/>
    <x v="388"/>
    <x v="0"/>
    <x v="15"/>
    <x v="5"/>
    <x v="11"/>
    <s v="RCA ViSYS 25423RE1 Corded phone"/>
    <n v="159.97999999999999"/>
    <n v="2"/>
    <x v="0"/>
    <n v="14"/>
    <x v="0"/>
  </r>
  <r>
    <s v="CA-2013-114951"/>
    <x v="460"/>
    <x v="0"/>
    <d v="2013-07-04T00:00:00"/>
    <x v="1"/>
    <x v="10"/>
    <x v="0"/>
    <x v="3"/>
    <x v="0"/>
    <x v="1"/>
    <s v="Eldon Expressions Wood Desk Accessories, Oak"/>
    <n v="22.14"/>
    <n v="3"/>
    <x v="0"/>
    <n v="6.42"/>
    <x v="0"/>
  </r>
  <r>
    <s v="CA-2014-134838"/>
    <x v="370"/>
    <x v="11"/>
    <d v="2014-02-21T00:00:00"/>
    <x v="0"/>
    <x v="231"/>
    <x v="0"/>
    <x v="0"/>
    <x v="0"/>
    <x v="4"/>
    <s v="Newell 320"/>
    <n v="12.84"/>
    <n v="3"/>
    <x v="0"/>
    <n v="3.47"/>
    <x v="0"/>
  </r>
  <r>
    <s v="CA-2013-146010"/>
    <x v="95"/>
    <x v="2"/>
    <d v="2013-05-24T00:00:00"/>
    <x v="0"/>
    <x v="422"/>
    <x v="0"/>
    <x v="21"/>
    <x v="5"/>
    <x v="2"/>
    <s v="GBC Durable Plastic Covers"/>
    <n v="40.64"/>
    <n v="7"/>
    <x v="1"/>
    <n v="-32.51"/>
    <x v="0"/>
  </r>
  <r>
    <s v="CA-2011-135090"/>
    <x v="461"/>
    <x v="7"/>
    <d v="2011-11-26T00:00:00"/>
    <x v="0"/>
    <x v="423"/>
    <x v="0"/>
    <x v="0"/>
    <x v="0"/>
    <x v="8"/>
    <s v="Xerox 1895"/>
    <n v="53.82"/>
    <n v="9"/>
    <x v="1"/>
    <n v="24.22"/>
    <x v="0"/>
  </r>
  <r>
    <s v="CA-2014-101308"/>
    <x v="462"/>
    <x v="8"/>
    <d v="2014-10-08T00:00:00"/>
    <x v="0"/>
    <x v="173"/>
    <x v="0"/>
    <x v="1"/>
    <x v="1"/>
    <x v="12"/>
    <s v="Staples"/>
    <n v="8.94"/>
    <n v="3"/>
    <x v="0"/>
    <n v="4.1100000000000003"/>
    <x v="0"/>
  </r>
  <r>
    <s v="CA-2014-119564"/>
    <x v="463"/>
    <x v="1"/>
    <d v="2014-12-21T00:00:00"/>
    <x v="0"/>
    <x v="424"/>
    <x v="0"/>
    <x v="1"/>
    <x v="1"/>
    <x v="1"/>
    <s v="Master Giant Foot Doorstop, Safety Yellow"/>
    <n v="22.77"/>
    <n v="3"/>
    <x v="0"/>
    <n v="9.7899999999999991"/>
    <x v="0"/>
  </r>
  <r>
    <s v="CA-2013-135265"/>
    <x v="241"/>
    <x v="6"/>
    <d v="2013-07-10T00:00:00"/>
    <x v="0"/>
    <x v="425"/>
    <x v="0"/>
    <x v="0"/>
    <x v="0"/>
    <x v="7"/>
    <s v="Global Leather Task Chair, Black"/>
    <n v="287.97000000000003"/>
    <n v="4"/>
    <x v="0"/>
    <n v="-3.6"/>
    <x v="0"/>
  </r>
  <r>
    <s v="CA-2013-108735"/>
    <x v="464"/>
    <x v="10"/>
    <d v="2013-04-22T00:00:00"/>
    <x v="0"/>
    <x v="198"/>
    <x v="0"/>
    <x v="118"/>
    <x v="0"/>
    <x v="15"/>
    <s v="Bush Westfield Collection Bookcases, Fully Assembled"/>
    <n v="257.5"/>
    <n v="3"/>
    <x v="0"/>
    <n v="24.24"/>
    <x v="0"/>
  </r>
  <r>
    <s v="CA-2011-116834"/>
    <x v="465"/>
    <x v="8"/>
    <d v="2011-10-16T00:00:00"/>
    <x v="0"/>
    <x v="345"/>
    <x v="0"/>
    <x v="1"/>
    <x v="1"/>
    <x v="1"/>
    <s v="DAX Cubicle Frames - 8x10"/>
    <n v="63.47"/>
    <n v="11"/>
    <x v="1"/>
    <n v="19.04"/>
    <x v="0"/>
  </r>
  <r>
    <s v="CA-2012-107468"/>
    <x v="466"/>
    <x v="1"/>
    <d v="2012-12-22T00:00:00"/>
    <x v="0"/>
    <x v="426"/>
    <x v="0"/>
    <x v="30"/>
    <x v="5"/>
    <x v="4"/>
    <s v="Newell 320"/>
    <n v="6.85"/>
    <n v="2"/>
    <x v="0"/>
    <n v="0.6"/>
    <x v="0"/>
  </r>
  <r>
    <s v="CA-2014-144463"/>
    <x v="467"/>
    <x v="5"/>
    <d v="2014-01-06T00:00:00"/>
    <x v="0"/>
    <x v="227"/>
    <x v="0"/>
    <x v="0"/>
    <x v="0"/>
    <x v="1"/>
    <s v="Howard Miller 11-1/2&quot; Diameter Brentwood Wall Clock"/>
    <n v="474.43"/>
    <n v="11"/>
    <x v="1"/>
    <n v="199.26"/>
    <x v="0"/>
  </r>
  <r>
    <s v="CA-2014-130764"/>
    <x v="468"/>
    <x v="8"/>
    <d v="2014-10-29T00:00:00"/>
    <x v="0"/>
    <x v="427"/>
    <x v="0"/>
    <x v="3"/>
    <x v="0"/>
    <x v="15"/>
    <s v="O'Sullivan Elevations Bookcase, Cherry Finish"/>
    <n v="556.66999999999996"/>
    <n v="5"/>
    <x v="0"/>
    <n v="6.55"/>
    <x v="2"/>
  </r>
  <r>
    <s v="CA-2013-169957"/>
    <x v="340"/>
    <x v="4"/>
    <d v="2013-10-01T00:00:00"/>
    <x v="0"/>
    <x v="428"/>
    <x v="0"/>
    <x v="119"/>
    <x v="1"/>
    <x v="9"/>
    <s v="Belkin 7 Outlet SurgeMaster II"/>
    <n v="236.88"/>
    <n v="6"/>
    <x v="0"/>
    <n v="66.33"/>
    <x v="0"/>
  </r>
  <r>
    <s v="CA-2011-110786"/>
    <x v="469"/>
    <x v="1"/>
    <d v="2012-01-02T00:00:00"/>
    <x v="0"/>
    <x v="336"/>
    <x v="0"/>
    <x v="3"/>
    <x v="0"/>
    <x v="1"/>
    <s v="Stacking Trays by OIC"/>
    <n v="24.9"/>
    <n v="5"/>
    <x v="0"/>
    <n v="8.2200000000000006"/>
    <x v="0"/>
  </r>
  <r>
    <s v="CA-2012-137750"/>
    <x v="470"/>
    <x v="0"/>
    <d v="2012-06-30T00:00:00"/>
    <x v="0"/>
    <x v="429"/>
    <x v="0"/>
    <x v="3"/>
    <x v="0"/>
    <x v="1"/>
    <s v="Dana Halogen Swing-Arm Architect Lamp"/>
    <n v="204.85"/>
    <n v="5"/>
    <x v="0"/>
    <n v="57.36"/>
    <x v="0"/>
  </r>
  <r>
    <s v="CA-2012-124058"/>
    <x v="148"/>
    <x v="7"/>
    <d v="2012-11-24T00:00:00"/>
    <x v="0"/>
    <x v="18"/>
    <x v="0"/>
    <x v="54"/>
    <x v="0"/>
    <x v="11"/>
    <s v="Gear Head AU3700S Headset"/>
    <n v="72.739999999999995"/>
    <n v="7"/>
    <x v="1"/>
    <n v="-15.46"/>
    <x v="0"/>
  </r>
  <r>
    <s v="US-2012-138716"/>
    <x v="144"/>
    <x v="4"/>
    <d v="2012-09-20T00:00:00"/>
    <x v="0"/>
    <x v="376"/>
    <x v="0"/>
    <x v="1"/>
    <x v="1"/>
    <x v="2"/>
    <s v="Acco Data Flex Cable Posts For Top &amp; Bottom Load Binders, 6&quot; Capacity"/>
    <n v="25.03"/>
    <n v="3"/>
    <x v="0"/>
    <n v="7.82"/>
    <x v="0"/>
  </r>
  <r>
    <s v="CA-2013-140417"/>
    <x v="187"/>
    <x v="4"/>
    <d v="2013-09-30T00:00:00"/>
    <x v="0"/>
    <x v="430"/>
    <x v="0"/>
    <x v="73"/>
    <x v="4"/>
    <x v="8"/>
    <s v="REDIFORM Incoming/Outgoing Call Register, 11&quot; X 8 1/2&quot;, 100 Messages"/>
    <n v="60.05"/>
    <n v="9"/>
    <x v="1"/>
    <n v="22.52"/>
    <x v="0"/>
  </r>
  <r>
    <s v="CA-2014-163692"/>
    <x v="75"/>
    <x v="4"/>
    <d v="2014-09-10T00:00:00"/>
    <x v="0"/>
    <x v="345"/>
    <x v="0"/>
    <x v="8"/>
    <x v="3"/>
    <x v="2"/>
    <s v="Wilson Jones Leather-Like Binders with DublLock Round Rings"/>
    <n v="7.86"/>
    <n v="3"/>
    <x v="0"/>
    <n v="-6.02"/>
    <x v="0"/>
  </r>
  <r>
    <s v="CA-2013-111913"/>
    <x v="471"/>
    <x v="3"/>
    <d v="2013-08-07T00:00:00"/>
    <x v="0"/>
    <x v="310"/>
    <x v="0"/>
    <x v="93"/>
    <x v="0"/>
    <x v="11"/>
    <s v="Mitel 5320 IP Phone VoIP phone"/>
    <n v="302.38"/>
    <n v="2"/>
    <x v="0"/>
    <n v="30.24"/>
    <x v="0"/>
  </r>
  <r>
    <s v="US-2014-155999"/>
    <x v="472"/>
    <x v="3"/>
    <d v="2014-08-14T00:00:00"/>
    <x v="0"/>
    <x v="96"/>
    <x v="0"/>
    <x v="18"/>
    <x v="0"/>
    <x v="11"/>
    <s v="GE DSL Phone Line Filter"/>
    <n v="159.96"/>
    <n v="5"/>
    <x v="0"/>
    <n v="18"/>
    <x v="0"/>
  </r>
  <r>
    <s v="CA-2013-163573"/>
    <x v="202"/>
    <x v="7"/>
    <d v="2013-11-28T00:00:00"/>
    <x v="0"/>
    <x v="431"/>
    <x v="0"/>
    <x v="1"/>
    <x v="1"/>
    <x v="2"/>
    <s v="Ibico Hi-Tech Manual Binding System"/>
    <n v="1219.96"/>
    <n v="5"/>
    <x v="0"/>
    <n v="381.24"/>
    <x v="1"/>
  </r>
  <r>
    <s v="CA-2012-153416"/>
    <x v="8"/>
    <x v="7"/>
    <d v="2012-11-29T00:00:00"/>
    <x v="0"/>
    <x v="432"/>
    <x v="0"/>
    <x v="0"/>
    <x v="0"/>
    <x v="2"/>
    <s v="Avery Reinforcements for Hole-Punch Pages"/>
    <n v="3.17"/>
    <n v="2"/>
    <x v="0"/>
    <n v="0.99"/>
    <x v="0"/>
  </r>
  <r>
    <s v="CA-2014-133823"/>
    <x v="473"/>
    <x v="2"/>
    <d v="2014-05-13T00:00:00"/>
    <x v="0"/>
    <x v="78"/>
    <x v="0"/>
    <x v="1"/>
    <x v="1"/>
    <x v="8"/>
    <s v="Ampad Phone Message Book, Recycled, 400 Message Capacity, 5 ¾ x 11"/>
    <n v="37.44"/>
    <n v="6"/>
    <x v="0"/>
    <n v="16.850000000000001"/>
    <x v="0"/>
  </r>
  <r>
    <s v="CA-2012-121272"/>
    <x v="474"/>
    <x v="9"/>
    <d v="2012-04-04T00:00:00"/>
    <x v="0"/>
    <x v="410"/>
    <x v="0"/>
    <x v="1"/>
    <x v="1"/>
    <x v="9"/>
    <s v="Acco 6 Outlet Guardian Premium Plus Surge Suppressor"/>
    <n v="73.28"/>
    <n v="4"/>
    <x v="0"/>
    <n v="21.25"/>
    <x v="0"/>
  </r>
  <r>
    <s v="CA-2014-105914"/>
    <x v="462"/>
    <x v="8"/>
    <d v="2014-10-09T00:00:00"/>
    <x v="0"/>
    <x v="150"/>
    <x v="0"/>
    <x v="0"/>
    <x v="0"/>
    <x v="2"/>
    <s v="Performers Binder/Pad Holder, Black"/>
    <n v="112.12"/>
    <n v="5"/>
    <x v="0"/>
    <n v="42.05"/>
    <x v="0"/>
  </r>
  <r>
    <s v="CA-2014-112725"/>
    <x v="371"/>
    <x v="5"/>
    <d v="2014-02-07T00:00:00"/>
    <x v="1"/>
    <x v="422"/>
    <x v="0"/>
    <x v="3"/>
    <x v="0"/>
    <x v="4"/>
    <s v="Crayola Anti Dust Chalk, 12/Pack"/>
    <n v="12.74"/>
    <n v="7"/>
    <x v="1"/>
    <n v="5.73"/>
    <x v="0"/>
  </r>
  <r>
    <s v="US-2014-106131"/>
    <x v="475"/>
    <x v="5"/>
    <d v="2014-01-17T00:00:00"/>
    <x v="0"/>
    <x v="433"/>
    <x v="0"/>
    <x v="7"/>
    <x v="5"/>
    <x v="6"/>
    <s v="Imation 8GB Mini TravelDrive USB 2.0 Flash Drive"/>
    <n v="169.06"/>
    <n v="7"/>
    <x v="1"/>
    <n v="-14.79"/>
    <x v="0"/>
  </r>
  <r>
    <s v="CA-2011-157924"/>
    <x v="465"/>
    <x v="8"/>
    <d v="2011-10-13T00:00:00"/>
    <x v="0"/>
    <x v="20"/>
    <x v="0"/>
    <x v="10"/>
    <x v="0"/>
    <x v="3"/>
    <s v="Iris Project Case"/>
    <n v="31.92"/>
    <n v="4"/>
    <x v="0"/>
    <n v="8.3000000000000007"/>
    <x v="0"/>
  </r>
  <r>
    <s v="CA-2012-100216"/>
    <x v="276"/>
    <x v="10"/>
    <d v="2012-04-14T00:00:00"/>
    <x v="0"/>
    <x v="434"/>
    <x v="0"/>
    <x v="35"/>
    <x v="3"/>
    <x v="8"/>
    <s v="Xerox 210"/>
    <n v="31.1"/>
    <n v="6"/>
    <x v="0"/>
    <n v="10.89"/>
    <x v="0"/>
  </r>
  <r>
    <s v="CA-2014-100601"/>
    <x v="364"/>
    <x v="7"/>
    <d v="2014-11-21T00:00:00"/>
    <x v="0"/>
    <x v="96"/>
    <x v="0"/>
    <x v="59"/>
    <x v="0"/>
    <x v="3"/>
    <s v="Eldon Shelf Savers Cubes and Bins"/>
    <n v="48.86"/>
    <n v="7"/>
    <x v="1"/>
    <n v="0.98"/>
    <x v="0"/>
  </r>
  <r>
    <s v="CA-2012-154340"/>
    <x v="419"/>
    <x v="7"/>
    <d v="2012-11-30T00:00:00"/>
    <x v="0"/>
    <x v="435"/>
    <x v="0"/>
    <x v="46"/>
    <x v="0"/>
    <x v="4"/>
    <s v="Boston Electric Pencil Sharpener, Model 1818, Charcoal Black"/>
    <n v="56.3"/>
    <n v="2"/>
    <x v="0"/>
    <n v="15.76"/>
    <x v="0"/>
  </r>
  <r>
    <s v="CA-2013-148593"/>
    <x v="476"/>
    <x v="0"/>
    <d v="2013-06-19T00:00:00"/>
    <x v="0"/>
    <x v="75"/>
    <x v="0"/>
    <x v="0"/>
    <x v="0"/>
    <x v="8"/>
    <s v="Wirebound Message Books, Four 2 3/4&quot; x 5&quot; Forms per Page, 600 Sets per Book"/>
    <n v="46.35"/>
    <n v="5"/>
    <x v="0"/>
    <n v="21.78"/>
    <x v="0"/>
  </r>
  <r>
    <s v="US-2014-119039"/>
    <x v="477"/>
    <x v="9"/>
    <d v="2014-03-11T00:00:00"/>
    <x v="0"/>
    <x v="161"/>
    <x v="0"/>
    <x v="3"/>
    <x v="0"/>
    <x v="2"/>
    <s v="Economy Binders"/>
    <n v="14.98"/>
    <n v="9"/>
    <x v="1"/>
    <n v="5.43"/>
    <x v="0"/>
  </r>
  <r>
    <s v="CA-2012-150875"/>
    <x v="478"/>
    <x v="7"/>
    <d v="2012-11-20T00:00:00"/>
    <x v="0"/>
    <x v="279"/>
    <x v="0"/>
    <x v="120"/>
    <x v="9"/>
    <x v="5"/>
    <s v="Bretford CR4500 Series Slim Rectangular Table"/>
    <n v="696.42"/>
    <n v="2"/>
    <x v="0"/>
    <n v="160.18"/>
    <x v="2"/>
  </r>
  <r>
    <s v="CA-2012-154200"/>
    <x v="273"/>
    <x v="0"/>
    <d v="2012-06-22T00:00:00"/>
    <x v="0"/>
    <x v="436"/>
    <x v="0"/>
    <x v="18"/>
    <x v="0"/>
    <x v="4"/>
    <s v="BOSTON Ranger #55 Pencil Sharpener, Black"/>
    <n v="51.98"/>
    <n v="2"/>
    <x v="0"/>
    <n v="15.07"/>
    <x v="0"/>
  </r>
  <r>
    <s v="CA-2013-124233"/>
    <x v="126"/>
    <x v="10"/>
    <d v="2013-04-15T00:00:00"/>
    <x v="0"/>
    <x v="267"/>
    <x v="0"/>
    <x v="0"/>
    <x v="0"/>
    <x v="1"/>
    <s v="C-Line Magnetic Cubicle Keepers, Clear Polypropylene"/>
    <n v="24.7"/>
    <n v="5"/>
    <x v="0"/>
    <n v="10.37"/>
    <x v="0"/>
  </r>
  <r>
    <s v="CA-2012-111234"/>
    <x v="479"/>
    <x v="11"/>
    <d v="2012-02-22T00:00:00"/>
    <x v="0"/>
    <x v="178"/>
    <x v="0"/>
    <x v="0"/>
    <x v="0"/>
    <x v="0"/>
    <s v="Smead Alpha-Z Color-Coded Second Alphabetical Labels and Starter Set"/>
    <n v="9.24"/>
    <n v="3"/>
    <x v="0"/>
    <n v="4.4400000000000004"/>
    <x v="0"/>
  </r>
  <r>
    <s v="CA-2014-149881"/>
    <x v="337"/>
    <x v="10"/>
    <d v="2014-04-04T00:00:00"/>
    <x v="0"/>
    <x v="437"/>
    <x v="0"/>
    <x v="3"/>
    <x v="0"/>
    <x v="15"/>
    <s v="Safco Value Mate Steel Bookcase, Baked Enamel Finish on Steel, Black"/>
    <n v="482.66"/>
    <n v="8"/>
    <x v="1"/>
    <n v="85.18"/>
    <x v="0"/>
  </r>
  <r>
    <s v="CA-2014-134565"/>
    <x v="217"/>
    <x v="0"/>
    <d v="2014-06-14T00:00:00"/>
    <x v="0"/>
    <x v="201"/>
    <x v="0"/>
    <x v="1"/>
    <x v="1"/>
    <x v="8"/>
    <s v="Xerox 1939"/>
    <n v="37.94"/>
    <n v="2"/>
    <x v="0"/>
    <n v="18.21"/>
    <x v="0"/>
  </r>
  <r>
    <s v="CA-2012-154970"/>
    <x v="480"/>
    <x v="5"/>
    <d v="2012-01-10T00:00:00"/>
    <x v="0"/>
    <x v="438"/>
    <x v="0"/>
    <x v="1"/>
    <x v="1"/>
    <x v="7"/>
    <s v="Global Deluxe Steno Chair"/>
    <n v="61.58"/>
    <n v="1"/>
    <x v="2"/>
    <n v="-6.93"/>
    <x v="0"/>
  </r>
  <r>
    <s v="CA-2014-147144"/>
    <x v="481"/>
    <x v="9"/>
    <d v="2014-03-29T00:00:00"/>
    <x v="0"/>
    <x v="290"/>
    <x v="0"/>
    <x v="1"/>
    <x v="1"/>
    <x v="4"/>
    <s v="Boston 1827 Commercial Additional Cutter, Drive Gear &amp; Gear Rack for 1606"/>
    <n v="19.829999999999998"/>
    <n v="1"/>
    <x v="2"/>
    <n v="5.95"/>
    <x v="0"/>
  </r>
  <r>
    <s v="CA-2011-133704"/>
    <x v="112"/>
    <x v="4"/>
    <d v="2011-09-26T00:00:00"/>
    <x v="0"/>
    <x v="439"/>
    <x v="0"/>
    <x v="0"/>
    <x v="0"/>
    <x v="9"/>
    <s v="Staples"/>
    <n v="43.92"/>
    <n v="4"/>
    <x v="0"/>
    <n v="11.86"/>
    <x v="0"/>
  </r>
  <r>
    <s v="CA-2011-138436"/>
    <x v="482"/>
    <x v="9"/>
    <d v="2011-03-30T00:00:00"/>
    <x v="0"/>
    <x v="415"/>
    <x v="0"/>
    <x v="0"/>
    <x v="0"/>
    <x v="6"/>
    <s v="SanDisk Ultra 32 GB MicroSDHC Class 10 Memory Card"/>
    <n v="66.3"/>
    <n v="3"/>
    <x v="0"/>
    <n v="8.6199999999999992"/>
    <x v="0"/>
  </r>
  <r>
    <s v="CA-2012-101924"/>
    <x v="483"/>
    <x v="4"/>
    <d v="2012-09-09T00:00:00"/>
    <x v="0"/>
    <x v="440"/>
    <x v="0"/>
    <x v="78"/>
    <x v="4"/>
    <x v="2"/>
    <s v="Acco Flexible ACCOHIDE Square Ring Data Binder, Dark Blue, 11 1/2&quot; X 14&quot; 7/8&quot;"/>
    <n v="9.76"/>
    <n v="2"/>
    <x v="0"/>
    <n v="-6.83"/>
    <x v="0"/>
  </r>
  <r>
    <s v="CA-2013-124793"/>
    <x v="484"/>
    <x v="9"/>
    <d v="2013-03-17T00:00:00"/>
    <x v="0"/>
    <x v="441"/>
    <x v="0"/>
    <x v="1"/>
    <x v="1"/>
    <x v="7"/>
    <s v="Global High-Back Leather Tilter, Burgundy"/>
    <n v="196.78"/>
    <n v="2"/>
    <x v="0"/>
    <n v="-22.14"/>
    <x v="0"/>
  </r>
  <r>
    <s v="US-2014-124821"/>
    <x v="267"/>
    <x v="0"/>
    <d v="2014-06-30T00:00:00"/>
    <x v="0"/>
    <x v="315"/>
    <x v="0"/>
    <x v="1"/>
    <x v="1"/>
    <x v="5"/>
    <s v="Chromcraft Bull-Nose Wood Round Conference Table Top, Wood Base"/>
    <n v="871.4"/>
    <n v="4"/>
    <x v="0"/>
    <n v="148.13999999999999"/>
    <x v="2"/>
  </r>
  <r>
    <s v="US-2014-158505"/>
    <x v="485"/>
    <x v="6"/>
    <d v="2014-07-22T00:00:00"/>
    <x v="0"/>
    <x v="82"/>
    <x v="0"/>
    <x v="103"/>
    <x v="2"/>
    <x v="11"/>
    <s v="PayAnywhere Card Reader"/>
    <n v="71.930000000000007"/>
    <n v="9"/>
    <x v="1"/>
    <n v="6.29"/>
    <x v="0"/>
  </r>
  <r>
    <s v="CA-2012-142692"/>
    <x v="454"/>
    <x v="8"/>
    <d v="2012-10-28T00:00:00"/>
    <x v="0"/>
    <x v="442"/>
    <x v="0"/>
    <x v="1"/>
    <x v="1"/>
    <x v="2"/>
    <s v="Avery Non-Stick Binders"/>
    <n v="3.59"/>
    <n v="1"/>
    <x v="2"/>
    <n v="1.1200000000000001"/>
    <x v="0"/>
  </r>
  <r>
    <s v="CA-2014-151358"/>
    <x v="486"/>
    <x v="3"/>
    <d v="2014-08-23T00:00:00"/>
    <x v="0"/>
    <x v="443"/>
    <x v="0"/>
    <x v="1"/>
    <x v="1"/>
    <x v="3"/>
    <s v="Fellowes Super Stor/Drawer Files"/>
    <n v="323.10000000000002"/>
    <n v="2"/>
    <x v="0"/>
    <n v="61.39"/>
    <x v="0"/>
  </r>
  <r>
    <s v="CA-2014-102407"/>
    <x v="32"/>
    <x v="1"/>
    <d v="2014-12-14T00:00:00"/>
    <x v="0"/>
    <x v="157"/>
    <x v="0"/>
    <x v="0"/>
    <x v="0"/>
    <x v="4"/>
    <s v="Newell 314"/>
    <n v="11.16"/>
    <n v="2"/>
    <x v="0"/>
    <n v="2.79"/>
    <x v="0"/>
  </r>
  <r>
    <s v="CA-2014-101581"/>
    <x v="487"/>
    <x v="8"/>
    <d v="2014-10-28T00:00:00"/>
    <x v="0"/>
    <x v="444"/>
    <x v="0"/>
    <x v="75"/>
    <x v="4"/>
    <x v="5"/>
    <s v="KI Conference Tables"/>
    <n v="177.23"/>
    <n v="5"/>
    <x v="0"/>
    <n v="-120.51"/>
    <x v="0"/>
  </r>
  <r>
    <s v="CA-2014-169124"/>
    <x v="317"/>
    <x v="6"/>
    <d v="2014-07-11T00:00:00"/>
    <x v="1"/>
    <x v="191"/>
    <x v="0"/>
    <x v="121"/>
    <x v="0"/>
    <x v="1"/>
    <s v="Howard Miller 11-1/2&quot; Diameter Brentwood Wall Clock"/>
    <n v="129.38999999999999"/>
    <n v="3"/>
    <x v="0"/>
    <n v="54.34"/>
    <x v="0"/>
  </r>
  <r>
    <s v="CA-2014-117261"/>
    <x v="321"/>
    <x v="4"/>
    <d v="2014-09-11T00:00:00"/>
    <x v="0"/>
    <x v="445"/>
    <x v="0"/>
    <x v="0"/>
    <x v="0"/>
    <x v="3"/>
    <s v="Rogers Jumbo File, Granite"/>
    <n v="54.32"/>
    <n v="4"/>
    <x v="0"/>
    <n v="0.54"/>
    <x v="0"/>
  </r>
  <r>
    <s v="CA-2011-162278"/>
    <x v="488"/>
    <x v="8"/>
    <d v="2011-10-30T00:00:00"/>
    <x v="0"/>
    <x v="446"/>
    <x v="0"/>
    <x v="1"/>
    <x v="1"/>
    <x v="1"/>
    <s v="Tenex Chairmats For Use With Carpeted Floors"/>
    <n v="63.92"/>
    <n v="4"/>
    <x v="0"/>
    <n v="3.2"/>
    <x v="0"/>
  </r>
  <r>
    <s v="CA-2013-161095"/>
    <x v="489"/>
    <x v="0"/>
    <d v="2013-06-29T00:00:00"/>
    <x v="0"/>
    <x v="447"/>
    <x v="0"/>
    <x v="0"/>
    <x v="0"/>
    <x v="2"/>
    <s v="Recycled Pressboard Report Cover with Reinforced Top Hinge"/>
    <n v="7.75"/>
    <n v="3"/>
    <x v="0"/>
    <n v="2.81"/>
    <x v="0"/>
  </r>
  <r>
    <s v="CA-2011-125829"/>
    <x v="352"/>
    <x v="7"/>
    <d v="2011-11-11T00:00:00"/>
    <x v="1"/>
    <x v="273"/>
    <x v="0"/>
    <x v="0"/>
    <x v="0"/>
    <x v="11"/>
    <s v="Polycom SoundPoint Pro SE-225 Corded phone"/>
    <n v="666.34"/>
    <n v="7"/>
    <x v="1"/>
    <n v="66.63"/>
    <x v="2"/>
  </r>
  <r>
    <s v="CA-2012-115945"/>
    <x v="470"/>
    <x v="0"/>
    <d v="2012-07-01T00:00:00"/>
    <x v="0"/>
    <x v="95"/>
    <x v="0"/>
    <x v="0"/>
    <x v="0"/>
    <x v="4"/>
    <s v="Staples"/>
    <n v="20.96"/>
    <n v="2"/>
    <x v="0"/>
    <n v="5.24"/>
    <x v="0"/>
  </r>
  <r>
    <s v="CA-2012-136735"/>
    <x v="131"/>
    <x v="6"/>
    <d v="2012-08-02T00:00:00"/>
    <x v="1"/>
    <x v="20"/>
    <x v="0"/>
    <x v="3"/>
    <x v="0"/>
    <x v="10"/>
    <s v="Airmail Envelopes"/>
    <n v="167.86"/>
    <n v="2"/>
    <x v="0"/>
    <n v="78.89"/>
    <x v="0"/>
  </r>
  <r>
    <s v="CA-2011-152345"/>
    <x v="469"/>
    <x v="1"/>
    <d v="2012-01-03T00:00:00"/>
    <x v="0"/>
    <x v="448"/>
    <x v="0"/>
    <x v="95"/>
    <x v="6"/>
    <x v="11"/>
    <s v="Mediabridge Sport Armband iPhone 5s"/>
    <n v="23.98"/>
    <n v="3"/>
    <x v="0"/>
    <n v="-5.69"/>
    <x v="0"/>
  </r>
  <r>
    <s v="CA-2014-107909"/>
    <x v="490"/>
    <x v="4"/>
    <d v="2014-09-07T00:00:00"/>
    <x v="0"/>
    <x v="449"/>
    <x v="0"/>
    <x v="75"/>
    <x v="1"/>
    <x v="6"/>
    <s v="Logitech LS21 Speaker System - PC Multimedia - 2.1-CH - Wired"/>
    <n v="19.989999999999998"/>
    <n v="1"/>
    <x v="2"/>
    <n v="6.8"/>
    <x v="0"/>
  </r>
  <r>
    <s v="CA-2012-154795"/>
    <x v="491"/>
    <x v="1"/>
    <d v="2012-12-24T00:00:00"/>
    <x v="0"/>
    <x v="101"/>
    <x v="0"/>
    <x v="122"/>
    <x v="3"/>
    <x v="10"/>
    <s v="#6 3/4 Gummed Flap White Envelopes"/>
    <n v="7.92"/>
    <n v="1"/>
    <x v="2"/>
    <n v="2.77"/>
    <x v="0"/>
  </r>
  <r>
    <s v="CA-2012-125234"/>
    <x v="113"/>
    <x v="7"/>
    <d v="2012-12-01T00:00:00"/>
    <x v="0"/>
    <x v="428"/>
    <x v="0"/>
    <x v="0"/>
    <x v="0"/>
    <x v="6"/>
    <s v="Sony 64GB Class 10 Micro SDHC R40 Memory Card"/>
    <n v="107.97"/>
    <n v="3"/>
    <x v="0"/>
    <n v="22.67"/>
    <x v="0"/>
  </r>
  <r>
    <s v="CA-2014-105410"/>
    <x v="492"/>
    <x v="9"/>
    <d v="2014-03-23T00:00:00"/>
    <x v="0"/>
    <x v="353"/>
    <x v="0"/>
    <x v="3"/>
    <x v="0"/>
    <x v="2"/>
    <s v="ACCOHIDE 3-Ring Binder, Blue, 1&quot;"/>
    <n v="19.82"/>
    <n v="6"/>
    <x v="0"/>
    <n v="6.69"/>
    <x v="0"/>
  </r>
  <r>
    <s v="CA-2014-169894"/>
    <x v="493"/>
    <x v="7"/>
    <d v="2014-11-30T00:00:00"/>
    <x v="0"/>
    <x v="450"/>
    <x v="0"/>
    <x v="35"/>
    <x v="3"/>
    <x v="2"/>
    <s v="GBC Recycled Grain Textured Covers"/>
    <n v="20.72"/>
    <n v="2"/>
    <x v="0"/>
    <n v="-15.2"/>
    <x v="0"/>
  </r>
  <r>
    <s v="CA-2014-107748"/>
    <x v="146"/>
    <x v="1"/>
    <d v="2014-12-13T00:00:00"/>
    <x v="0"/>
    <x v="451"/>
    <x v="0"/>
    <x v="87"/>
    <x v="0"/>
    <x v="11"/>
    <s v="Jackery Bar Premium Fast-charging Portable Charger"/>
    <n v="95.84"/>
    <n v="4"/>
    <x v="0"/>
    <n v="34.74"/>
    <x v="0"/>
  </r>
  <r>
    <s v="CA-2011-166954"/>
    <x v="494"/>
    <x v="10"/>
    <d v="2011-04-30T00:00:00"/>
    <x v="0"/>
    <x v="184"/>
    <x v="0"/>
    <x v="123"/>
    <x v="0"/>
    <x v="1"/>
    <s v="Tenex Traditional Chairmats for Medium Pile Carpet, Standard Lip, 36&quot; x 48&quot;"/>
    <n v="303.25"/>
    <n v="5"/>
    <x v="0"/>
    <n v="63.68"/>
    <x v="0"/>
  </r>
  <r>
    <s v="CA-2012-152891"/>
    <x v="495"/>
    <x v="8"/>
    <d v="2012-10-30T00:00:00"/>
    <x v="0"/>
    <x v="452"/>
    <x v="0"/>
    <x v="3"/>
    <x v="0"/>
    <x v="4"/>
    <s v="Boston 19500 Mighty Mite Electric Pencil Sharpener"/>
    <n v="60.45"/>
    <n v="3"/>
    <x v="0"/>
    <n v="16.32"/>
    <x v="0"/>
  </r>
  <r>
    <s v="CA-2013-156811"/>
    <x v="496"/>
    <x v="8"/>
    <d v="2013-11-03T00:00:00"/>
    <x v="0"/>
    <x v="453"/>
    <x v="0"/>
    <x v="3"/>
    <x v="0"/>
    <x v="9"/>
    <s v="Staples"/>
    <n v="43.92"/>
    <n v="4"/>
    <x v="0"/>
    <n v="11.86"/>
    <x v="0"/>
  </r>
  <r>
    <s v="CA-2013-148740"/>
    <x v="256"/>
    <x v="7"/>
    <d v="2013-11-20T00:00:00"/>
    <x v="0"/>
    <x v="454"/>
    <x v="0"/>
    <x v="18"/>
    <x v="0"/>
    <x v="11"/>
    <s v="Polycom SoundPoint IP 450 VoIP phone"/>
    <n v="361.38"/>
    <n v="2"/>
    <x v="0"/>
    <n v="27.1"/>
    <x v="0"/>
  </r>
  <r>
    <s v="CA-2013-114538"/>
    <x v="189"/>
    <x v="1"/>
    <d v="2013-12-28T00:00:00"/>
    <x v="0"/>
    <x v="171"/>
    <x v="0"/>
    <x v="21"/>
    <x v="5"/>
    <x v="4"/>
    <s v="SANFORD Major Accent Highlighters"/>
    <n v="11.33"/>
    <n v="2"/>
    <x v="0"/>
    <n v="2.5499999999999998"/>
    <x v="0"/>
  </r>
  <r>
    <s v="US-2011-154879"/>
    <x v="177"/>
    <x v="2"/>
    <d v="2011-05-11T00:00:00"/>
    <x v="0"/>
    <x v="428"/>
    <x v="0"/>
    <x v="0"/>
    <x v="0"/>
    <x v="0"/>
    <s v="Staples"/>
    <n v="5.78"/>
    <n v="2"/>
    <x v="0"/>
    <n v="2.72"/>
    <x v="0"/>
  </r>
  <r>
    <s v="CA-2011-153983"/>
    <x v="497"/>
    <x v="7"/>
    <d v="2011-12-06T00:00:00"/>
    <x v="1"/>
    <x v="37"/>
    <x v="0"/>
    <x v="3"/>
    <x v="0"/>
    <x v="11"/>
    <s v="Wilson SignalBoost 841262 DB PRO Amplifier Kit"/>
    <n v="575.91999999999996"/>
    <n v="2"/>
    <x v="0"/>
    <n v="71.989999999999995"/>
    <x v="2"/>
  </r>
  <r>
    <s v="US-2014-103226"/>
    <x v="498"/>
    <x v="4"/>
    <d v="2014-09-29T00:00:00"/>
    <x v="0"/>
    <x v="444"/>
    <x v="0"/>
    <x v="95"/>
    <x v="6"/>
    <x v="8"/>
    <s v="Southworth 25% Cotton Linen-Finish Paper &amp; Envelopes"/>
    <n v="27.18"/>
    <n v="3"/>
    <x v="0"/>
    <n v="12.23"/>
    <x v="0"/>
  </r>
  <r>
    <s v="CA-2012-121965"/>
    <x v="499"/>
    <x v="0"/>
    <d v="2012-06-23T00:00:00"/>
    <x v="0"/>
    <x v="35"/>
    <x v="0"/>
    <x v="0"/>
    <x v="0"/>
    <x v="1"/>
    <s v="Eldon 200 Class Desk Accessories"/>
    <n v="12.56"/>
    <n v="2"/>
    <x v="0"/>
    <n v="4.0199999999999996"/>
    <x v="0"/>
  </r>
  <r>
    <s v="CA-2013-147137"/>
    <x v="500"/>
    <x v="6"/>
    <d v="2013-07-07T00:00:00"/>
    <x v="0"/>
    <x v="455"/>
    <x v="0"/>
    <x v="3"/>
    <x v="0"/>
    <x v="1"/>
    <s v="Master Caster Door Stop, Brown"/>
    <n v="25.4"/>
    <n v="5"/>
    <x v="0"/>
    <n v="8.64"/>
    <x v="0"/>
  </r>
  <r>
    <s v="US-2012-146745"/>
    <x v="236"/>
    <x v="4"/>
    <d v="2012-09-08T00:00:00"/>
    <x v="0"/>
    <x v="456"/>
    <x v="0"/>
    <x v="3"/>
    <x v="0"/>
    <x v="7"/>
    <s v="Office Star - Ergonomically Designed Knee Chair"/>
    <n v="129.57"/>
    <n v="2"/>
    <x v="0"/>
    <n v="-12.96"/>
    <x v="0"/>
  </r>
  <r>
    <s v="CA-2014-115175"/>
    <x v="472"/>
    <x v="3"/>
    <d v="2014-08-13T00:00:00"/>
    <x v="0"/>
    <x v="238"/>
    <x v="0"/>
    <x v="12"/>
    <x v="0"/>
    <x v="8"/>
    <s v="Xerox 1891"/>
    <n v="244.55"/>
    <n v="5"/>
    <x v="0"/>
    <n v="114.94"/>
    <x v="0"/>
  </r>
  <r>
    <s v="CA-2014-105851"/>
    <x v="288"/>
    <x v="9"/>
    <d v="2014-03-21T00:00:00"/>
    <x v="1"/>
    <x v="338"/>
    <x v="0"/>
    <x v="15"/>
    <x v="5"/>
    <x v="14"/>
    <s v="Martin Yale Chadless Opener Electric Letter Opener"/>
    <n v="1332.5"/>
    <n v="2"/>
    <x v="0"/>
    <n v="-299.81"/>
    <x v="1"/>
  </r>
  <r>
    <s v="US-2014-125717"/>
    <x v="501"/>
    <x v="4"/>
    <d v="2014-10-02T00:00:00"/>
    <x v="0"/>
    <x v="100"/>
    <x v="0"/>
    <x v="7"/>
    <x v="5"/>
    <x v="1"/>
    <s v="Dana Halogen Swing-Arm Architect Lamp"/>
    <n v="32.78"/>
    <n v="1"/>
    <x v="2"/>
    <n v="3.28"/>
    <x v="0"/>
  </r>
  <r>
    <s v="CA-2012-163895"/>
    <x v="502"/>
    <x v="3"/>
    <d v="2012-08-11T00:00:00"/>
    <x v="0"/>
    <x v="149"/>
    <x v="0"/>
    <x v="120"/>
    <x v="9"/>
    <x v="2"/>
    <s v="ACCOHIDE 3-Ring Binder, Blue, 1&quot;"/>
    <n v="3.3"/>
    <n v="1"/>
    <x v="2"/>
    <n v="1.1200000000000001"/>
    <x v="0"/>
  </r>
  <r>
    <s v="CA-2013-109365"/>
    <x v="85"/>
    <x v="7"/>
    <d v="2013-11-09T00:00:00"/>
    <x v="0"/>
    <x v="65"/>
    <x v="0"/>
    <x v="0"/>
    <x v="0"/>
    <x v="12"/>
    <s v="Stockwell Push Pins"/>
    <n v="15.26"/>
    <n v="7"/>
    <x v="1"/>
    <n v="5.04"/>
    <x v="0"/>
  </r>
  <r>
    <s v="CA-2014-105921"/>
    <x v="311"/>
    <x v="3"/>
    <d v="2014-08-22T00:00:00"/>
    <x v="1"/>
    <x v="457"/>
    <x v="0"/>
    <x v="0"/>
    <x v="0"/>
    <x v="5"/>
    <s v="Chromcraft Round Conference Tables"/>
    <n v="418.3"/>
    <n v="3"/>
    <x v="0"/>
    <n v="5.23"/>
    <x v="0"/>
  </r>
  <r>
    <s v="CA-2014-112753"/>
    <x v="503"/>
    <x v="0"/>
    <d v="2014-06-24T00:00:00"/>
    <x v="0"/>
    <x v="252"/>
    <x v="0"/>
    <x v="0"/>
    <x v="0"/>
    <x v="15"/>
    <s v="Bush Andora Bookcase, Maple/Graphite Gray Finish"/>
    <n v="917.92"/>
    <n v="9"/>
    <x v="1"/>
    <n v="75.59"/>
    <x v="2"/>
  </r>
  <r>
    <s v="CA-2011-103401"/>
    <x v="504"/>
    <x v="7"/>
    <d v="2011-11-26T00:00:00"/>
    <x v="0"/>
    <x v="458"/>
    <x v="0"/>
    <x v="3"/>
    <x v="0"/>
    <x v="8"/>
    <s v="Xerox 211"/>
    <n v="12.96"/>
    <n v="2"/>
    <x v="0"/>
    <n v="6.22"/>
    <x v="0"/>
  </r>
  <r>
    <s v="CA-2013-124814"/>
    <x v="505"/>
    <x v="10"/>
    <d v="2013-04-17T00:00:00"/>
    <x v="0"/>
    <x v="242"/>
    <x v="0"/>
    <x v="104"/>
    <x v="0"/>
    <x v="8"/>
    <s v="Xerox 227"/>
    <n v="12.96"/>
    <n v="2"/>
    <x v="0"/>
    <n v="6.22"/>
    <x v="0"/>
  </r>
  <r>
    <s v="US-2011-138247"/>
    <x v="170"/>
    <x v="1"/>
    <d v="2011-12-29T00:00:00"/>
    <x v="0"/>
    <x v="161"/>
    <x v="0"/>
    <x v="0"/>
    <x v="0"/>
    <x v="11"/>
    <s v="Seidio BD2-HK3IPH5-BK DILEX Case and Holster Combo for Apple iPhone 5/5s - Black"/>
    <n v="173.66"/>
    <n v="7"/>
    <x v="1"/>
    <n v="17.37"/>
    <x v="0"/>
  </r>
  <r>
    <s v="CA-2014-167003"/>
    <x v="506"/>
    <x v="2"/>
    <d v="2014-05-30T00:00:00"/>
    <x v="0"/>
    <x v="459"/>
    <x v="0"/>
    <x v="0"/>
    <x v="0"/>
    <x v="5"/>
    <s v="Lesro Sheffield Collection Coffee Table, End Table, Center Table, Corner Table"/>
    <n v="171.29"/>
    <n v="3"/>
    <x v="0"/>
    <n v="-6.42"/>
    <x v="0"/>
  </r>
  <r>
    <s v="CA-2013-118969"/>
    <x v="507"/>
    <x v="8"/>
    <d v="2013-10-04T00:00:00"/>
    <x v="0"/>
    <x v="460"/>
    <x v="0"/>
    <x v="8"/>
    <x v="3"/>
    <x v="2"/>
    <s v="Premier Elliptical Ring Binder, Black"/>
    <n v="54.79"/>
    <n v="6"/>
    <x v="0"/>
    <n v="-40.18"/>
    <x v="0"/>
  </r>
  <r>
    <s v="US-2013-128678"/>
    <x v="508"/>
    <x v="4"/>
    <d v="2013-09-21T00:00:00"/>
    <x v="0"/>
    <x v="461"/>
    <x v="0"/>
    <x v="1"/>
    <x v="1"/>
    <x v="8"/>
    <s v="TOPS &quot;Important Message&quot; Pads, Canary, 4-1/4 x 5-1/2, 50 Sheets per Pad"/>
    <n v="21.4"/>
    <n v="5"/>
    <x v="0"/>
    <n v="10.06"/>
    <x v="0"/>
  </r>
  <r>
    <s v="CA-2013-101385"/>
    <x v="187"/>
    <x v="4"/>
    <d v="2013-10-02T00:00:00"/>
    <x v="0"/>
    <x v="462"/>
    <x v="0"/>
    <x v="3"/>
    <x v="0"/>
    <x v="4"/>
    <s v="BIC Brite Liner Highlighters"/>
    <n v="16.559999999999999"/>
    <n v="4"/>
    <x v="0"/>
    <n v="6.96"/>
    <x v="0"/>
  </r>
  <r>
    <s v="CA-2014-105445"/>
    <x v="114"/>
    <x v="11"/>
    <d v="2014-02-26T00:00:00"/>
    <x v="0"/>
    <x v="453"/>
    <x v="0"/>
    <x v="30"/>
    <x v="5"/>
    <x v="12"/>
    <s v="Staples"/>
    <n v="9.43"/>
    <n v="3"/>
    <x v="0"/>
    <n v="3.07"/>
    <x v="0"/>
  </r>
  <r>
    <s v="CA-2011-140403"/>
    <x v="509"/>
    <x v="8"/>
    <d v="2011-10-10T00:00:00"/>
    <x v="0"/>
    <x v="63"/>
    <x v="0"/>
    <x v="89"/>
    <x v="0"/>
    <x v="7"/>
    <s v="Global Deluxe Stacking Chair, Gray"/>
    <n v="122.35"/>
    <n v="3"/>
    <x v="0"/>
    <n v="13.76"/>
    <x v="0"/>
  </r>
  <r>
    <s v="CA-2012-163104"/>
    <x v="216"/>
    <x v="9"/>
    <d v="2012-03-26T00:00:00"/>
    <x v="1"/>
    <x v="463"/>
    <x v="0"/>
    <x v="0"/>
    <x v="0"/>
    <x v="8"/>
    <s v="Xerox 1974"/>
    <n v="11.96"/>
    <n v="2"/>
    <x v="0"/>
    <n v="5.86"/>
    <x v="0"/>
  </r>
  <r>
    <s v="CA-2014-138464"/>
    <x v="182"/>
    <x v="6"/>
    <d v="2014-07-13T00:00:00"/>
    <x v="0"/>
    <x v="408"/>
    <x v="0"/>
    <x v="1"/>
    <x v="1"/>
    <x v="1"/>
    <s v="Master Big Foot Doorstop, Beige"/>
    <n v="15.84"/>
    <n v="3"/>
    <x v="0"/>
    <n v="4.91"/>
    <x v="0"/>
  </r>
  <r>
    <s v="US-2011-165862"/>
    <x v="510"/>
    <x v="6"/>
    <d v="2011-07-17T00:00:00"/>
    <x v="0"/>
    <x v="45"/>
    <x v="0"/>
    <x v="0"/>
    <x v="0"/>
    <x v="5"/>
    <s v="Bevis Round Conference Table Top &amp; Single Column Base"/>
    <n v="351.22"/>
    <n v="3"/>
    <x v="0"/>
    <n v="4.3899999999999997"/>
    <x v="0"/>
  </r>
  <r>
    <s v="US-2011-106334"/>
    <x v="164"/>
    <x v="1"/>
    <d v="2012-01-02T00:00:00"/>
    <x v="0"/>
    <x v="79"/>
    <x v="0"/>
    <x v="3"/>
    <x v="0"/>
    <x v="7"/>
    <s v="Bevis Steel Folding Chairs"/>
    <n v="230.28"/>
    <n v="3"/>
    <x v="0"/>
    <n v="23.03"/>
    <x v="0"/>
  </r>
  <r>
    <s v="US-2014-117331"/>
    <x v="254"/>
    <x v="8"/>
    <d v="2014-10-29T00:00:00"/>
    <x v="1"/>
    <x v="353"/>
    <x v="0"/>
    <x v="65"/>
    <x v="3"/>
    <x v="2"/>
    <s v="Lock-Up Easel 'Spel-Binder'"/>
    <n v="8.56"/>
    <n v="1"/>
    <x v="2"/>
    <n v="-6.56"/>
    <x v="0"/>
  </r>
  <r>
    <s v="CA-2012-118871"/>
    <x v="511"/>
    <x v="1"/>
    <d v="2012-12-09T00:00:00"/>
    <x v="0"/>
    <x v="313"/>
    <x v="0"/>
    <x v="0"/>
    <x v="0"/>
    <x v="10"/>
    <s v="Tyvek Side-Opening Peel &amp; Seel Expanding Envelopes"/>
    <n v="271.44"/>
    <n v="3"/>
    <x v="0"/>
    <n v="122.15"/>
    <x v="0"/>
  </r>
  <r>
    <s v="CA-2011-101175"/>
    <x v="124"/>
    <x v="1"/>
    <d v="2011-12-14T00:00:00"/>
    <x v="0"/>
    <x v="401"/>
    <x v="0"/>
    <x v="35"/>
    <x v="3"/>
    <x v="3"/>
    <s v="Acco Perma 3000 Stacking Storage Drawers"/>
    <n v="100.7"/>
    <n v="6"/>
    <x v="0"/>
    <n v="-1.26"/>
    <x v="0"/>
  </r>
  <r>
    <s v="CA-2011-169460"/>
    <x v="512"/>
    <x v="10"/>
    <d v="2011-04-21T00:00:00"/>
    <x v="0"/>
    <x v="443"/>
    <x v="0"/>
    <x v="12"/>
    <x v="0"/>
    <x v="1"/>
    <s v="Executive Impressions 13&quot; Chairman Wall Clock"/>
    <n v="76.14"/>
    <n v="3"/>
    <x v="0"/>
    <n v="26.65"/>
    <x v="0"/>
  </r>
  <r>
    <s v="CA-2014-126662"/>
    <x v="513"/>
    <x v="6"/>
    <d v="2014-07-22T00:00:00"/>
    <x v="0"/>
    <x v="337"/>
    <x v="0"/>
    <x v="0"/>
    <x v="0"/>
    <x v="13"/>
    <s v="Brother DCP1000 Digital 3 in 1 Multifunction Machine"/>
    <n v="479.98"/>
    <n v="2"/>
    <x v="0"/>
    <n v="90"/>
    <x v="0"/>
  </r>
  <r>
    <s v="US-2011-121734"/>
    <x v="514"/>
    <x v="10"/>
    <d v="2011-04-16T00:00:00"/>
    <x v="0"/>
    <x v="338"/>
    <x v="0"/>
    <x v="124"/>
    <x v="9"/>
    <x v="2"/>
    <s v="GBC Personal VeloBind Strips"/>
    <n v="9.58"/>
    <n v="1"/>
    <x v="2"/>
    <n v="3.35"/>
    <x v="0"/>
  </r>
  <r>
    <s v="US-2013-100405"/>
    <x v="138"/>
    <x v="3"/>
    <d v="2013-08-29T00:00:00"/>
    <x v="0"/>
    <x v="464"/>
    <x v="0"/>
    <x v="0"/>
    <x v="0"/>
    <x v="4"/>
    <s v="Newell Chalk Holder"/>
    <n v="8.26"/>
    <n v="2"/>
    <x v="0"/>
    <n v="3.8"/>
    <x v="0"/>
  </r>
  <r>
    <s v="US-2014-163790"/>
    <x v="369"/>
    <x v="7"/>
    <d v="2014-11-05T00:00:00"/>
    <x v="0"/>
    <x v="332"/>
    <x v="0"/>
    <x v="125"/>
    <x v="0"/>
    <x v="10"/>
    <s v="White Business Envelopes with Contemporary Seam, Recycled White Business Envelopes"/>
    <n v="76.58"/>
    <n v="7"/>
    <x v="1"/>
    <n v="38.29"/>
    <x v="0"/>
  </r>
  <r>
    <s v="CA-2013-129868"/>
    <x v="189"/>
    <x v="1"/>
    <d v="2014-01-01T00:00:00"/>
    <x v="0"/>
    <x v="463"/>
    <x v="0"/>
    <x v="0"/>
    <x v="0"/>
    <x v="14"/>
    <s v="Fiskars Home &amp; Office Scissors"/>
    <n v="17.760000000000002"/>
    <n v="2"/>
    <x v="0"/>
    <n v="4.97"/>
    <x v="0"/>
  </r>
  <r>
    <s v="US-2014-141852"/>
    <x v="286"/>
    <x v="7"/>
    <d v="2014-11-15T00:00:00"/>
    <x v="0"/>
    <x v="60"/>
    <x v="0"/>
    <x v="51"/>
    <x v="0"/>
    <x v="1"/>
    <s v="Eldon Wave Desk Accessories"/>
    <n v="47.12"/>
    <n v="8"/>
    <x v="1"/>
    <n v="20.73"/>
    <x v="0"/>
  </r>
  <r>
    <s v="CA-2014-145219"/>
    <x v="322"/>
    <x v="1"/>
    <d v="2014-12-26T00:00:00"/>
    <x v="0"/>
    <x v="465"/>
    <x v="0"/>
    <x v="0"/>
    <x v="0"/>
    <x v="13"/>
    <s v="Hewlett Packard LaserJet 3310 Copier"/>
    <n v="2879.95"/>
    <n v="6"/>
    <x v="0"/>
    <n v="1007.98"/>
    <x v="1"/>
  </r>
  <r>
    <s v="CA-2014-168396"/>
    <x v="515"/>
    <x v="3"/>
    <d v="2014-08-09T00:00:00"/>
    <x v="0"/>
    <x v="466"/>
    <x v="0"/>
    <x v="3"/>
    <x v="0"/>
    <x v="0"/>
    <s v="Avery 473"/>
    <n v="51.75"/>
    <n v="5"/>
    <x v="0"/>
    <n v="24.84"/>
    <x v="0"/>
  </r>
  <r>
    <s v="CA-2012-130456"/>
    <x v="109"/>
    <x v="3"/>
    <d v="2012-08-26T00:00:00"/>
    <x v="0"/>
    <x v="467"/>
    <x v="0"/>
    <x v="3"/>
    <x v="0"/>
    <x v="15"/>
    <s v="Sauder Camden County Collection Library"/>
    <n v="586.4"/>
    <n v="6"/>
    <x v="0"/>
    <n v="34.49"/>
    <x v="2"/>
  </r>
  <r>
    <s v="CA-2014-116288"/>
    <x v="516"/>
    <x v="9"/>
    <d v="2014-03-18T00:00:00"/>
    <x v="0"/>
    <x v="468"/>
    <x v="0"/>
    <x v="3"/>
    <x v="0"/>
    <x v="3"/>
    <s v="Carina Double Wide Media Storage Towers in Natural &amp; Black"/>
    <n v="242.94"/>
    <n v="3"/>
    <x v="0"/>
    <n v="9.7200000000000006"/>
    <x v="0"/>
  </r>
  <r>
    <s v="CA-2014-168228"/>
    <x v="517"/>
    <x v="10"/>
    <d v="2014-04-30T00:00:00"/>
    <x v="0"/>
    <x v="154"/>
    <x v="0"/>
    <x v="0"/>
    <x v="0"/>
    <x v="4"/>
    <s v="Boston School Pro Electric Pencil Sharpener, 1670"/>
    <n v="123.92"/>
    <n v="4"/>
    <x v="0"/>
    <n v="33.46"/>
    <x v="0"/>
  </r>
  <r>
    <s v="CA-2014-130141"/>
    <x v="487"/>
    <x v="8"/>
    <d v="2014-10-25T00:00:00"/>
    <x v="0"/>
    <x v="469"/>
    <x v="0"/>
    <x v="92"/>
    <x v="5"/>
    <x v="2"/>
    <s v="Storex Flexible Poly Binders with Double Pockets"/>
    <n v="3.17"/>
    <n v="4"/>
    <x v="0"/>
    <n v="-2.5299999999999998"/>
    <x v="0"/>
  </r>
  <r>
    <s v="CA-2012-147501"/>
    <x v="518"/>
    <x v="3"/>
    <d v="2012-08-06T00:00:00"/>
    <x v="0"/>
    <x v="470"/>
    <x v="0"/>
    <x v="1"/>
    <x v="1"/>
    <x v="2"/>
    <s v="Ibico Presentation Index for Binding Systems"/>
    <n v="6.37"/>
    <n v="2"/>
    <x v="0"/>
    <n v="2.15"/>
    <x v="0"/>
  </r>
  <r>
    <s v="CA-2014-129357"/>
    <x v="118"/>
    <x v="2"/>
    <d v="2014-05-20T00:00:00"/>
    <x v="0"/>
    <x v="440"/>
    <x v="0"/>
    <x v="1"/>
    <x v="1"/>
    <x v="8"/>
    <s v="Xerox 1917"/>
    <n v="440.19"/>
    <n v="9"/>
    <x v="1"/>
    <n v="206.89"/>
    <x v="0"/>
  </r>
  <r>
    <s v="CA-2014-150987"/>
    <x v="519"/>
    <x v="10"/>
    <d v="2014-04-13T00:00:00"/>
    <x v="0"/>
    <x v="270"/>
    <x v="0"/>
    <x v="3"/>
    <x v="0"/>
    <x v="8"/>
    <s v="Xerox 1891"/>
    <n v="244.55"/>
    <n v="5"/>
    <x v="0"/>
    <n v="114.94"/>
    <x v="0"/>
  </r>
  <r>
    <s v="CA-2014-159107"/>
    <x v="57"/>
    <x v="0"/>
    <d v="2014-06-27T00:00:00"/>
    <x v="0"/>
    <x v="269"/>
    <x v="0"/>
    <x v="3"/>
    <x v="0"/>
    <x v="12"/>
    <s v="Acco Banker's Clasps, 5 3/4&quot;-Long"/>
    <n v="2.88"/>
    <n v="1"/>
    <x v="2"/>
    <n v="1.35"/>
    <x v="0"/>
  </r>
  <r>
    <s v="CA-2013-116547"/>
    <x v="520"/>
    <x v="5"/>
    <d v="2013-01-17T00:00:00"/>
    <x v="1"/>
    <x v="440"/>
    <x v="0"/>
    <x v="1"/>
    <x v="1"/>
    <x v="1"/>
    <s v="24-Hour Round Wall Clock"/>
    <n v="79.92"/>
    <n v="4"/>
    <x v="0"/>
    <n v="34.369999999999997"/>
    <x v="0"/>
  </r>
  <r>
    <s v="CA-2011-114510"/>
    <x v="252"/>
    <x v="9"/>
    <d v="2011-03-19T00:00:00"/>
    <x v="0"/>
    <x v="328"/>
    <x v="0"/>
    <x v="126"/>
    <x v="2"/>
    <x v="2"/>
    <s v="GBC Wire Binding Combs"/>
    <n v="33.090000000000003"/>
    <n v="4"/>
    <x v="0"/>
    <n v="11.17"/>
    <x v="0"/>
  </r>
  <r>
    <s v="CA-2011-138681"/>
    <x v="396"/>
    <x v="1"/>
    <d v="2011-12-22T00:00:00"/>
    <x v="0"/>
    <x v="335"/>
    <x v="0"/>
    <x v="26"/>
    <x v="3"/>
    <x v="1"/>
    <s v="Computer Room Manger, 14&quot;"/>
    <n v="51.97"/>
    <n v="2"/>
    <x v="0"/>
    <n v="10.39"/>
    <x v="0"/>
  </r>
  <r>
    <s v="CA-2014-138149"/>
    <x v="79"/>
    <x v="0"/>
    <d v="2014-07-01T00:00:00"/>
    <x v="0"/>
    <x v="273"/>
    <x v="0"/>
    <x v="0"/>
    <x v="0"/>
    <x v="2"/>
    <s v="GBC DocuBind TL200 Manual Binding Machine"/>
    <n v="895.92"/>
    <n v="5"/>
    <x v="0"/>
    <n v="302.37"/>
    <x v="2"/>
  </r>
  <r>
    <s v="CA-2014-121643"/>
    <x v="521"/>
    <x v="2"/>
    <d v="2014-05-21T00:00:00"/>
    <x v="0"/>
    <x v="183"/>
    <x v="0"/>
    <x v="6"/>
    <x v="4"/>
    <x v="11"/>
    <s v="Aastra 6757i CT Wireless VoIP phone"/>
    <n v="344.7"/>
    <n v="2"/>
    <x v="0"/>
    <n v="38.78"/>
    <x v="0"/>
  </r>
  <r>
    <s v="US-2012-122910"/>
    <x v="359"/>
    <x v="2"/>
    <d v="2012-05-16T00:00:00"/>
    <x v="0"/>
    <x v="156"/>
    <x v="0"/>
    <x v="30"/>
    <x v="5"/>
    <x v="11"/>
    <s v="VTech DS6151"/>
    <n v="201.58"/>
    <n v="2"/>
    <x v="0"/>
    <n v="20.16"/>
    <x v="0"/>
  </r>
  <r>
    <s v="CA-2014-143126"/>
    <x v="343"/>
    <x v="1"/>
    <d v="2014-12-08T00:00:00"/>
    <x v="0"/>
    <x v="195"/>
    <x v="0"/>
    <x v="1"/>
    <x v="1"/>
    <x v="5"/>
    <s v="Bevis Oval Conference Table, Walnut"/>
    <n v="521.96"/>
    <n v="2"/>
    <x v="0"/>
    <n v="88.73"/>
    <x v="2"/>
  </r>
  <r>
    <s v="CA-2012-109736"/>
    <x v="522"/>
    <x v="8"/>
    <d v="2012-10-11T00:00:00"/>
    <x v="0"/>
    <x v="471"/>
    <x v="0"/>
    <x v="3"/>
    <x v="0"/>
    <x v="8"/>
    <s v="Xerox 1894"/>
    <n v="45.36"/>
    <n v="7"/>
    <x v="1"/>
    <n v="21.77"/>
    <x v="0"/>
  </r>
  <r>
    <s v="CA-2012-142601"/>
    <x v="523"/>
    <x v="10"/>
    <d v="2012-04-20T00:00:00"/>
    <x v="0"/>
    <x v="472"/>
    <x v="0"/>
    <x v="0"/>
    <x v="0"/>
    <x v="3"/>
    <s v="Tennsco Stur-D-Stor Boltless Shelving, 5 Shelves, 24&quot; Deep, Sand"/>
    <n v="947.17"/>
    <n v="7"/>
    <x v="1"/>
    <n v="9.4700000000000006"/>
    <x v="2"/>
  </r>
  <r>
    <s v="US-2014-135230"/>
    <x v="490"/>
    <x v="4"/>
    <d v="2014-09-08T00:00:00"/>
    <x v="0"/>
    <x v="98"/>
    <x v="0"/>
    <x v="1"/>
    <x v="1"/>
    <x v="4"/>
    <s v="Staples"/>
    <n v="7.58"/>
    <n v="1"/>
    <x v="2"/>
    <n v="2.96"/>
    <x v="0"/>
  </r>
  <r>
    <s v="CA-2011-123323"/>
    <x v="524"/>
    <x v="7"/>
    <d v="2011-11-12T00:00:00"/>
    <x v="0"/>
    <x v="473"/>
    <x v="0"/>
    <x v="3"/>
    <x v="0"/>
    <x v="2"/>
    <s v="Wilson Jones Legal Size Ring Binders"/>
    <n v="123.14"/>
    <n v="7"/>
    <x v="1"/>
    <n v="46.18"/>
    <x v="0"/>
  </r>
  <r>
    <s v="US-2012-103996"/>
    <x v="474"/>
    <x v="9"/>
    <d v="2012-03-31T00:00:00"/>
    <x v="0"/>
    <x v="474"/>
    <x v="0"/>
    <x v="18"/>
    <x v="0"/>
    <x v="8"/>
    <s v="Xerox 1880"/>
    <n v="212.64"/>
    <n v="6"/>
    <x v="0"/>
    <n v="99.94"/>
    <x v="0"/>
  </r>
  <r>
    <s v="CA-2012-105725"/>
    <x v="479"/>
    <x v="11"/>
    <d v="2012-02-24T00:00:00"/>
    <x v="0"/>
    <x v="404"/>
    <x v="0"/>
    <x v="23"/>
    <x v="0"/>
    <x v="0"/>
    <s v="Avery 4027 File Folder Labels for Dot Matrix Printers, 5000 Labels per Box, White"/>
    <n v="61.06"/>
    <n v="2"/>
    <x v="0"/>
    <n v="28.09"/>
    <x v="0"/>
  </r>
  <r>
    <s v="CA-2014-164364"/>
    <x v="34"/>
    <x v="7"/>
    <d v="2014-11-17T00:00:00"/>
    <x v="0"/>
    <x v="475"/>
    <x v="0"/>
    <x v="1"/>
    <x v="1"/>
    <x v="0"/>
    <s v="Avery 483"/>
    <n v="9.9600000000000009"/>
    <n v="2"/>
    <x v="0"/>
    <n v="4.58"/>
    <x v="0"/>
  </r>
  <r>
    <s v="CA-2013-120005"/>
    <x v="525"/>
    <x v="9"/>
    <d v="2013-03-04T00:00:00"/>
    <x v="0"/>
    <x v="476"/>
    <x v="0"/>
    <x v="3"/>
    <x v="0"/>
    <x v="14"/>
    <s v="Elite 5&quot; Scissors"/>
    <n v="25.35"/>
    <n v="3"/>
    <x v="0"/>
    <n v="7.61"/>
    <x v="0"/>
  </r>
  <r>
    <s v="CA-2013-123526"/>
    <x v="526"/>
    <x v="1"/>
    <d v="2013-12-26T00:00:00"/>
    <x v="0"/>
    <x v="477"/>
    <x v="0"/>
    <x v="1"/>
    <x v="1"/>
    <x v="8"/>
    <s v="Xerox 1898"/>
    <n v="33.4"/>
    <n v="5"/>
    <x v="0"/>
    <n v="16.03"/>
    <x v="0"/>
  </r>
  <r>
    <s v="CA-2013-127649"/>
    <x v="420"/>
    <x v="8"/>
    <d v="2013-10-10T00:00:00"/>
    <x v="0"/>
    <x v="152"/>
    <x v="0"/>
    <x v="77"/>
    <x v="1"/>
    <x v="16"/>
    <s v="Okidata C331dn Printer"/>
    <n v="837.6"/>
    <n v="3"/>
    <x v="0"/>
    <n v="62.82"/>
    <x v="2"/>
  </r>
  <r>
    <s v="CA-2011-112851"/>
    <x v="457"/>
    <x v="4"/>
    <d v="2011-09-21T00:00:00"/>
    <x v="0"/>
    <x v="478"/>
    <x v="0"/>
    <x v="116"/>
    <x v="0"/>
    <x v="10"/>
    <s v="Tyvek Interoffice Envelopes, 9 1/2&quot; x 12 1/2&quot;, 100/Box"/>
    <n v="182.94"/>
    <n v="3"/>
    <x v="0"/>
    <n v="85.98"/>
    <x v="0"/>
  </r>
  <r>
    <s v="CA-2014-123701"/>
    <x v="493"/>
    <x v="7"/>
    <d v="2014-11-28T00:00:00"/>
    <x v="0"/>
    <x v="115"/>
    <x v="0"/>
    <x v="3"/>
    <x v="0"/>
    <x v="4"/>
    <s v="BIC Liqua Brite Liner"/>
    <n v="27.76"/>
    <n v="4"/>
    <x v="0"/>
    <n v="9.99"/>
    <x v="0"/>
  </r>
  <r>
    <s v="US-2013-114888"/>
    <x v="284"/>
    <x v="4"/>
    <d v="2013-09-25T00:00:00"/>
    <x v="0"/>
    <x v="167"/>
    <x v="0"/>
    <x v="3"/>
    <x v="0"/>
    <x v="2"/>
    <s v="Cardinal Holdit Business Card Pockets"/>
    <n v="11.95"/>
    <n v="3"/>
    <x v="0"/>
    <n v="4.18"/>
    <x v="0"/>
  </r>
  <r>
    <s v="US-2011-167262"/>
    <x v="275"/>
    <x v="8"/>
    <d v="2011-11-03T00:00:00"/>
    <x v="0"/>
    <x v="431"/>
    <x v="0"/>
    <x v="127"/>
    <x v="3"/>
    <x v="11"/>
    <s v="Plantronics HL10 Handset Lifter"/>
    <n v="742.34"/>
    <n v="8"/>
    <x v="1"/>
    <n v="83.51"/>
    <x v="2"/>
  </r>
  <r>
    <s v="CA-2014-108091"/>
    <x v="364"/>
    <x v="7"/>
    <d v="2014-11-22T00:00:00"/>
    <x v="0"/>
    <x v="435"/>
    <x v="0"/>
    <x v="58"/>
    <x v="0"/>
    <x v="4"/>
    <s v="Newell 328"/>
    <n v="23.36"/>
    <n v="4"/>
    <x v="0"/>
    <n v="6.07"/>
    <x v="0"/>
  </r>
  <r>
    <s v="CA-2012-104346"/>
    <x v="527"/>
    <x v="1"/>
    <d v="2012-12-16T00:00:00"/>
    <x v="0"/>
    <x v="2"/>
    <x v="0"/>
    <x v="21"/>
    <x v="5"/>
    <x v="4"/>
    <s v="Newell 313"/>
    <n v="13.12"/>
    <n v="5"/>
    <x v="0"/>
    <n v="1.1499999999999999"/>
    <x v="0"/>
  </r>
  <r>
    <s v="CA-2012-144722"/>
    <x v="212"/>
    <x v="9"/>
    <d v="2012-03-23T00:00:00"/>
    <x v="1"/>
    <x v="479"/>
    <x v="0"/>
    <x v="0"/>
    <x v="0"/>
    <x v="1"/>
    <s v="Howard Miller 11-1/2&quot; Diameter Brentwood Wall Clock"/>
    <n v="43.13"/>
    <n v="1"/>
    <x v="2"/>
    <n v="18.11"/>
    <x v="0"/>
  </r>
  <r>
    <s v="CA-2012-137708"/>
    <x v="528"/>
    <x v="7"/>
    <d v="2012-11-25T00:00:00"/>
    <x v="0"/>
    <x v="480"/>
    <x v="0"/>
    <x v="0"/>
    <x v="0"/>
    <x v="8"/>
    <s v="Xerox 1887"/>
    <n v="37.94"/>
    <n v="2"/>
    <x v="0"/>
    <n v="18.21"/>
    <x v="0"/>
  </r>
  <r>
    <s v="CA-2013-111696"/>
    <x v="529"/>
    <x v="2"/>
    <d v="2013-05-11T00:00:00"/>
    <x v="0"/>
    <x v="452"/>
    <x v="0"/>
    <x v="0"/>
    <x v="0"/>
    <x v="8"/>
    <s v="Xerox 1920"/>
    <n v="17.940000000000001"/>
    <n v="3"/>
    <x v="0"/>
    <n v="8.07"/>
    <x v="0"/>
  </r>
  <r>
    <s v="CA-2013-134222"/>
    <x v="76"/>
    <x v="6"/>
    <d v="2013-07-12T00:00:00"/>
    <x v="0"/>
    <x v="106"/>
    <x v="0"/>
    <x v="128"/>
    <x v="3"/>
    <x v="2"/>
    <s v="GBC Standard Therm-A-Bind Covers"/>
    <n v="44.86"/>
    <n v="6"/>
    <x v="0"/>
    <n v="-35.880000000000003"/>
    <x v="0"/>
  </r>
  <r>
    <s v="US-2014-136707"/>
    <x v="34"/>
    <x v="7"/>
    <d v="2014-11-16T00:00:00"/>
    <x v="0"/>
    <x v="481"/>
    <x v="0"/>
    <x v="0"/>
    <x v="0"/>
    <x v="2"/>
    <s v="Acco 3-Hole Punch"/>
    <n v="14.02"/>
    <n v="4"/>
    <x v="0"/>
    <n v="4.91"/>
    <x v="0"/>
  </r>
  <r>
    <s v="CA-2014-167661"/>
    <x v="530"/>
    <x v="8"/>
    <d v="2014-10-11T00:00:00"/>
    <x v="0"/>
    <x v="204"/>
    <x v="0"/>
    <x v="3"/>
    <x v="0"/>
    <x v="2"/>
    <s v="Avery Framed View Binder, EZD Ring (Locking), Navy, 1 1/2&quot;"/>
    <n v="39.92"/>
    <n v="5"/>
    <x v="0"/>
    <n v="13.47"/>
    <x v="0"/>
  </r>
  <r>
    <s v="US-2011-128685"/>
    <x v="214"/>
    <x v="10"/>
    <d v="2011-04-05T00:00:00"/>
    <x v="0"/>
    <x v="30"/>
    <x v="0"/>
    <x v="0"/>
    <x v="0"/>
    <x v="2"/>
    <s v="Avery Non-Stick Binders"/>
    <n v="7.18"/>
    <n v="2"/>
    <x v="0"/>
    <n v="2.25"/>
    <x v="0"/>
  </r>
  <r>
    <s v="CA-2011-164469"/>
    <x v="153"/>
    <x v="0"/>
    <d v="2011-06-27T00:00:00"/>
    <x v="0"/>
    <x v="45"/>
    <x v="0"/>
    <x v="38"/>
    <x v="4"/>
    <x v="11"/>
    <s v="Plantronics 81402"/>
    <n v="263.95999999999998"/>
    <n v="5"/>
    <x v="0"/>
    <n v="19.8"/>
    <x v="0"/>
  </r>
  <r>
    <s v="CA-2011-107818"/>
    <x v="105"/>
    <x v="4"/>
    <d v="2011-09-14T00:00:00"/>
    <x v="0"/>
    <x v="260"/>
    <x v="0"/>
    <x v="129"/>
    <x v="1"/>
    <x v="4"/>
    <s v="Prang Colored Pencils"/>
    <n v="5.88"/>
    <n v="2"/>
    <x v="0"/>
    <n v="2.65"/>
    <x v="0"/>
  </r>
  <r>
    <s v="CA-2011-113320"/>
    <x v="168"/>
    <x v="1"/>
    <d v="2011-12-15T00:00:00"/>
    <x v="0"/>
    <x v="35"/>
    <x v="0"/>
    <x v="54"/>
    <x v="0"/>
    <x v="1"/>
    <s v="Eldon Image Series Desk Accessories, Burgundy"/>
    <n v="12.54"/>
    <n v="3"/>
    <x v="0"/>
    <n v="4.51"/>
    <x v="0"/>
  </r>
  <r>
    <s v="CA-2012-137526"/>
    <x v="531"/>
    <x v="5"/>
    <d v="2012-01-17T00:00:00"/>
    <x v="0"/>
    <x v="58"/>
    <x v="0"/>
    <x v="0"/>
    <x v="0"/>
    <x v="2"/>
    <s v="Binding Machine Supplies"/>
    <n v="70.010000000000005"/>
    <n v="3"/>
    <x v="0"/>
    <n v="24.5"/>
    <x v="0"/>
  </r>
  <r>
    <s v="CA-2014-122490"/>
    <x v="532"/>
    <x v="7"/>
    <d v="2014-11-19T00:00:00"/>
    <x v="0"/>
    <x v="25"/>
    <x v="0"/>
    <x v="1"/>
    <x v="1"/>
    <x v="7"/>
    <s v="Global Troy Executive Leather Low-Back Tilter"/>
    <n v="2404.6999999999998"/>
    <n v="6"/>
    <x v="0"/>
    <n v="150.29"/>
    <x v="1"/>
  </r>
  <r>
    <s v="CA-2014-104080"/>
    <x v="533"/>
    <x v="9"/>
    <d v="2014-03-16T00:00:00"/>
    <x v="1"/>
    <x v="37"/>
    <x v="0"/>
    <x v="36"/>
    <x v="0"/>
    <x v="2"/>
    <s v="Green Canvas Binder for 8-1/2&quot; x 14&quot; Sheets"/>
    <n v="171.2"/>
    <n v="5"/>
    <x v="0"/>
    <n v="64.2"/>
    <x v="0"/>
  </r>
  <r>
    <s v="CA-2013-135776"/>
    <x v="534"/>
    <x v="1"/>
    <d v="2013-12-31T00:00:00"/>
    <x v="1"/>
    <x v="482"/>
    <x v="0"/>
    <x v="1"/>
    <x v="1"/>
    <x v="4"/>
    <s v="Newell 317"/>
    <n v="8.82"/>
    <n v="3"/>
    <x v="0"/>
    <n v="2.56"/>
    <x v="0"/>
  </r>
  <r>
    <s v="CA-2013-130484"/>
    <x v="535"/>
    <x v="3"/>
    <d v="2013-08-28T00:00:00"/>
    <x v="0"/>
    <x v="483"/>
    <x v="0"/>
    <x v="107"/>
    <x v="4"/>
    <x v="2"/>
    <s v="GBC Imprintable Covers"/>
    <n v="26.35"/>
    <n v="8"/>
    <x v="1"/>
    <n v="-18.45"/>
    <x v="0"/>
  </r>
  <r>
    <s v="CA-2014-120936"/>
    <x v="92"/>
    <x v="1"/>
    <d v="2014-12-22T00:00:00"/>
    <x v="0"/>
    <x v="484"/>
    <x v="0"/>
    <x v="36"/>
    <x v="0"/>
    <x v="3"/>
    <s v="Iceberg Mobile Mega Data/Printer Cart "/>
    <n v="481.32"/>
    <n v="4"/>
    <x v="0"/>
    <n v="125.14"/>
    <x v="0"/>
  </r>
  <r>
    <s v="CA-2012-161830"/>
    <x v="536"/>
    <x v="4"/>
    <d v="2012-09-26T00:00:00"/>
    <x v="0"/>
    <x v="91"/>
    <x v="0"/>
    <x v="1"/>
    <x v="1"/>
    <x v="4"/>
    <s v="BOSTON Model 1800 Electric Pencil Sharpeners, Putty/Woodgrain"/>
    <n v="35.96"/>
    <n v="2"/>
    <x v="0"/>
    <n v="10.43"/>
    <x v="0"/>
  </r>
  <r>
    <s v="CA-2014-143651"/>
    <x v="310"/>
    <x v="9"/>
    <d v="2014-03-31T00:00:00"/>
    <x v="0"/>
    <x v="242"/>
    <x v="0"/>
    <x v="1"/>
    <x v="1"/>
    <x v="4"/>
    <s v="Newell 309"/>
    <n v="23.1"/>
    <n v="2"/>
    <x v="0"/>
    <n v="6.93"/>
    <x v="0"/>
  </r>
  <r>
    <s v="CA-2012-106978"/>
    <x v="300"/>
    <x v="4"/>
    <d v="2012-10-04T00:00:00"/>
    <x v="0"/>
    <x v="86"/>
    <x v="0"/>
    <x v="7"/>
    <x v="5"/>
    <x v="10"/>
    <s v="#10 White Business Envelopes,4 1/8 x 9 1/2"/>
    <n v="12.54"/>
    <n v="1"/>
    <x v="2"/>
    <n v="4.2300000000000004"/>
    <x v="0"/>
  </r>
  <r>
    <s v="CA-2012-155124"/>
    <x v="537"/>
    <x v="9"/>
    <d v="2012-03-21T00:00:00"/>
    <x v="0"/>
    <x v="485"/>
    <x v="0"/>
    <x v="130"/>
    <x v="2"/>
    <x v="11"/>
    <s v="SmartStand Mobile Device Holder, Assorted Colors"/>
    <n v="16.78"/>
    <n v="3"/>
    <x v="0"/>
    <n v="1.68"/>
    <x v="0"/>
  </r>
  <r>
    <s v="CA-2011-157147"/>
    <x v="538"/>
    <x v="5"/>
    <d v="2011-01-19T00:00:00"/>
    <x v="0"/>
    <x v="486"/>
    <x v="0"/>
    <x v="3"/>
    <x v="0"/>
    <x v="3"/>
    <s v="Tennsco 6- and 18-Compartment Lockers"/>
    <n v="1325.85"/>
    <n v="5"/>
    <x v="0"/>
    <n v="238.65"/>
    <x v="1"/>
  </r>
  <r>
    <s v="CA-2013-151372"/>
    <x v="426"/>
    <x v="4"/>
    <d v="2013-09-07T00:00:00"/>
    <x v="0"/>
    <x v="62"/>
    <x v="0"/>
    <x v="105"/>
    <x v="0"/>
    <x v="8"/>
    <s v="14-7/8 x 11 Blue Bar Computer Printout Paper"/>
    <n v="96.08"/>
    <n v="2"/>
    <x v="0"/>
    <n v="46.12"/>
    <x v="0"/>
  </r>
  <r>
    <s v="CA-2011-102085"/>
    <x v="349"/>
    <x v="8"/>
    <d v="2011-10-09T00:00:00"/>
    <x v="0"/>
    <x v="487"/>
    <x v="0"/>
    <x v="1"/>
    <x v="1"/>
    <x v="0"/>
    <s v="Avery 519"/>
    <n v="29.24"/>
    <n v="4"/>
    <x v="0"/>
    <n v="13.74"/>
    <x v="0"/>
  </r>
  <r>
    <s v="CA-2014-107125"/>
    <x v="263"/>
    <x v="7"/>
    <d v="2014-12-03T00:00:00"/>
    <x v="0"/>
    <x v="75"/>
    <x v="0"/>
    <x v="0"/>
    <x v="0"/>
    <x v="2"/>
    <s v="Premium Transparent Presentation Covers by GBC"/>
    <n v="117.49"/>
    <n v="7"/>
    <x v="1"/>
    <n v="41.12"/>
    <x v="0"/>
  </r>
  <r>
    <s v="CA-2014-117926"/>
    <x v="55"/>
    <x v="1"/>
    <d v="2014-12-13T00:00:00"/>
    <x v="0"/>
    <x v="330"/>
    <x v="0"/>
    <x v="3"/>
    <x v="0"/>
    <x v="9"/>
    <s v="Belkin 8-Outlet Premiere SurgeMaster II Surge Protectors"/>
    <n v="69.48"/>
    <n v="1"/>
    <x v="2"/>
    <n v="20.84"/>
    <x v="0"/>
  </r>
  <r>
    <s v="CA-2011-160262"/>
    <x v="1"/>
    <x v="0"/>
    <d v="2011-06-13T00:00:00"/>
    <x v="0"/>
    <x v="382"/>
    <x v="0"/>
    <x v="68"/>
    <x v="7"/>
    <x v="4"/>
    <s v="DIXON Oriole Pencils"/>
    <n v="18.059999999999999"/>
    <n v="7"/>
    <x v="1"/>
    <n v="4.7"/>
    <x v="0"/>
  </r>
  <r>
    <s v="CA-2013-166226"/>
    <x v="539"/>
    <x v="7"/>
    <d v="2013-11-23T00:00:00"/>
    <x v="0"/>
    <x v="488"/>
    <x v="0"/>
    <x v="0"/>
    <x v="0"/>
    <x v="11"/>
    <s v="Grandstream GXP2100 Mainstream Business Phone"/>
    <n v="61.19"/>
    <n v="1"/>
    <x v="2"/>
    <n v="6.12"/>
    <x v="0"/>
  </r>
  <r>
    <s v="CA-2011-156587"/>
    <x v="540"/>
    <x v="9"/>
    <d v="2011-03-08T00:00:00"/>
    <x v="0"/>
    <x v="489"/>
    <x v="0"/>
    <x v="1"/>
    <x v="1"/>
    <x v="7"/>
    <s v="Global Push Button Manager's Chair, Indigo"/>
    <n v="48.71"/>
    <n v="1"/>
    <x v="2"/>
    <n v="5.48"/>
    <x v="0"/>
  </r>
  <r>
    <s v="CA-2013-164896"/>
    <x v="27"/>
    <x v="7"/>
    <d v="2013-11-13T00:00:00"/>
    <x v="0"/>
    <x v="384"/>
    <x v="0"/>
    <x v="51"/>
    <x v="0"/>
    <x v="8"/>
    <s v="Wirebound Four 2-3/4 x 5 Forms per Page, 400 Sets per Book"/>
    <n v="12.9"/>
    <n v="2"/>
    <x v="0"/>
    <n v="6.32"/>
    <x v="0"/>
  </r>
  <r>
    <s v="CA-2011-160066"/>
    <x v="541"/>
    <x v="7"/>
    <d v="2011-11-22T00:00:00"/>
    <x v="0"/>
    <x v="244"/>
    <x v="0"/>
    <x v="29"/>
    <x v="0"/>
    <x v="0"/>
    <s v="Permanent Self-Adhesive File Folder Labels for Typewriters by Universal"/>
    <n v="5.22"/>
    <n v="2"/>
    <x v="0"/>
    <n v="2.4"/>
    <x v="0"/>
  </r>
  <r>
    <s v="CA-2013-109925"/>
    <x v="17"/>
    <x v="7"/>
    <d v="2013-11-11T00:00:00"/>
    <x v="0"/>
    <x v="2"/>
    <x v="0"/>
    <x v="18"/>
    <x v="0"/>
    <x v="3"/>
    <s v="Eldon Portable Mobile Manager"/>
    <n v="84.84"/>
    <n v="3"/>
    <x v="0"/>
    <n v="22.91"/>
    <x v="0"/>
  </r>
  <r>
    <s v="CA-2013-149279"/>
    <x v="402"/>
    <x v="10"/>
    <d v="2013-04-29T00:00:00"/>
    <x v="0"/>
    <x v="490"/>
    <x v="0"/>
    <x v="21"/>
    <x v="5"/>
    <x v="8"/>
    <s v="Xerox 226"/>
    <n v="15.55"/>
    <n v="3"/>
    <x v="0"/>
    <n v="5.44"/>
    <x v="0"/>
  </r>
  <r>
    <s v="CA-2014-107321"/>
    <x v="207"/>
    <x v="4"/>
    <d v="2014-09-05T00:00:00"/>
    <x v="0"/>
    <x v="491"/>
    <x v="0"/>
    <x v="3"/>
    <x v="0"/>
    <x v="2"/>
    <s v="Acco Suede Grain Vinyl Round Ring Binder"/>
    <n v="6.67"/>
    <n v="3"/>
    <x v="0"/>
    <n v="2.17"/>
    <x v="0"/>
  </r>
  <r>
    <s v="CA-2013-129238"/>
    <x v="542"/>
    <x v="5"/>
    <d v="2013-02-04T00:00:00"/>
    <x v="0"/>
    <x v="492"/>
    <x v="0"/>
    <x v="0"/>
    <x v="0"/>
    <x v="11"/>
    <s v="AT&amp;T 1080 Phone"/>
    <n v="109.59"/>
    <n v="1"/>
    <x v="2"/>
    <n v="8.2200000000000006"/>
    <x v="0"/>
  </r>
  <r>
    <s v="CA-2014-159688"/>
    <x v="543"/>
    <x v="2"/>
    <d v="2014-05-13T00:00:00"/>
    <x v="0"/>
    <x v="493"/>
    <x v="0"/>
    <x v="0"/>
    <x v="0"/>
    <x v="6"/>
    <s v="Logitech G600 MMO Gaming Mouse"/>
    <n v="79.989999999999995"/>
    <n v="1"/>
    <x v="2"/>
    <n v="28.8"/>
    <x v="0"/>
  </r>
  <r>
    <s v="CA-2013-155033"/>
    <x v="420"/>
    <x v="8"/>
    <d v="2013-10-13T00:00:00"/>
    <x v="0"/>
    <x v="494"/>
    <x v="0"/>
    <x v="0"/>
    <x v="0"/>
    <x v="8"/>
    <s v="Astroparche Fine Business Paper"/>
    <n v="10.56"/>
    <n v="2"/>
    <x v="0"/>
    <n v="5.07"/>
    <x v="0"/>
  </r>
  <r>
    <s v="US-2014-139647"/>
    <x v="473"/>
    <x v="2"/>
    <d v="2014-05-14T00:00:00"/>
    <x v="0"/>
    <x v="417"/>
    <x v="0"/>
    <x v="8"/>
    <x v="3"/>
    <x v="15"/>
    <s v="Bestar Classic Bookcase"/>
    <n v="209.98"/>
    <n v="7"/>
    <x v="1"/>
    <n v="-356.96"/>
    <x v="0"/>
  </r>
  <r>
    <s v="CA-2011-127558"/>
    <x v="544"/>
    <x v="7"/>
    <d v="2011-11-18T00:00:00"/>
    <x v="0"/>
    <x v="495"/>
    <x v="0"/>
    <x v="0"/>
    <x v="0"/>
    <x v="1"/>
    <s v="Eldon 100 Class Desk Accessories"/>
    <n v="10.11"/>
    <n v="3"/>
    <x v="0"/>
    <n v="3.24"/>
    <x v="0"/>
  </r>
  <r>
    <s v="CA-2013-133795"/>
    <x v="174"/>
    <x v="1"/>
    <d v="2013-12-25T00:00:00"/>
    <x v="0"/>
    <x v="207"/>
    <x v="0"/>
    <x v="18"/>
    <x v="0"/>
    <x v="6"/>
    <s v="SanDisk Cruzer 64 GB USB Flash Drive"/>
    <n v="72.64"/>
    <n v="2"/>
    <x v="0"/>
    <n v="21.79"/>
    <x v="0"/>
  </r>
  <r>
    <s v="CA-2014-139304"/>
    <x v="545"/>
    <x v="5"/>
    <d v="2014-02-03T00:00:00"/>
    <x v="0"/>
    <x v="136"/>
    <x v="0"/>
    <x v="3"/>
    <x v="0"/>
    <x v="4"/>
    <s v="Newell 339"/>
    <n v="8.34"/>
    <n v="3"/>
    <x v="0"/>
    <n v="2.17"/>
    <x v="0"/>
  </r>
  <r>
    <s v="CA-2011-169803"/>
    <x v="546"/>
    <x v="10"/>
    <d v="2011-04-12T00:00:00"/>
    <x v="0"/>
    <x v="300"/>
    <x v="0"/>
    <x v="1"/>
    <x v="1"/>
    <x v="5"/>
    <s v="Chromcraft Bull-Nose Wood Round Conference Table Top, Wood Base"/>
    <n v="653.54999999999995"/>
    <n v="3"/>
    <x v="0"/>
    <n v="111.1"/>
    <x v="2"/>
  </r>
  <r>
    <s v="CA-2013-158694"/>
    <x v="125"/>
    <x v="7"/>
    <d v="2013-11-14T00:00:00"/>
    <x v="0"/>
    <x v="496"/>
    <x v="0"/>
    <x v="0"/>
    <x v="0"/>
    <x v="8"/>
    <s v="Embossed Ink Jet Note Cards"/>
    <n v="67.709999999999994"/>
    <n v="3"/>
    <x v="0"/>
    <n v="32.5"/>
    <x v="0"/>
  </r>
  <r>
    <s v="CA-2012-150511"/>
    <x v="86"/>
    <x v="4"/>
    <d v="2012-09-24T00:00:00"/>
    <x v="0"/>
    <x v="493"/>
    <x v="0"/>
    <x v="27"/>
    <x v="1"/>
    <x v="8"/>
    <s v="Wirebound Message Books, Four 2 3/4&quot; x 5&quot; Forms per Page, 600 Sets per Book"/>
    <n v="18.54"/>
    <n v="2"/>
    <x v="0"/>
    <n v="8.7100000000000009"/>
    <x v="0"/>
  </r>
  <r>
    <s v="CA-2012-162166"/>
    <x v="547"/>
    <x v="4"/>
    <d v="2012-09-11T00:00:00"/>
    <x v="0"/>
    <x v="151"/>
    <x v="0"/>
    <x v="131"/>
    <x v="0"/>
    <x v="8"/>
    <s v="Xerox 1928"/>
    <n v="26.4"/>
    <n v="5"/>
    <x v="0"/>
    <n v="11.88"/>
    <x v="0"/>
  </r>
  <r>
    <s v="CA-2014-160934"/>
    <x v="548"/>
    <x v="5"/>
    <d v="2014-01-20T00:00:00"/>
    <x v="0"/>
    <x v="497"/>
    <x v="0"/>
    <x v="0"/>
    <x v="0"/>
    <x v="4"/>
    <s v="Newell 347"/>
    <n v="21.4"/>
    <n v="5"/>
    <x v="0"/>
    <n v="6.21"/>
    <x v="0"/>
  </r>
  <r>
    <s v="CA-2012-145485"/>
    <x v="549"/>
    <x v="7"/>
    <d v="2012-11-05T00:00:00"/>
    <x v="0"/>
    <x v="288"/>
    <x v="0"/>
    <x v="3"/>
    <x v="0"/>
    <x v="3"/>
    <s v="Hanging Personal Folder File"/>
    <n v="62.8"/>
    <n v="4"/>
    <x v="0"/>
    <n v="15.7"/>
    <x v="0"/>
  </r>
  <r>
    <s v="CA-2014-151071"/>
    <x v="550"/>
    <x v="10"/>
    <d v="2014-04-30T00:00:00"/>
    <x v="0"/>
    <x v="498"/>
    <x v="0"/>
    <x v="0"/>
    <x v="0"/>
    <x v="2"/>
    <s v="Cardinal Slant-D Ring Binder, Heavy Gauge Vinyl"/>
    <n v="13.9"/>
    <n v="2"/>
    <x v="0"/>
    <n v="4.5199999999999996"/>
    <x v="0"/>
  </r>
  <r>
    <s v="US-2014-133312"/>
    <x v="551"/>
    <x v="7"/>
    <d v="2014-11-30T00:00:00"/>
    <x v="0"/>
    <x v="499"/>
    <x v="0"/>
    <x v="3"/>
    <x v="0"/>
    <x v="15"/>
    <s v="Sauder Forest Hills Library, Woodland Oak Finish"/>
    <n v="359.5"/>
    <n v="3"/>
    <x v="0"/>
    <n v="-29.61"/>
    <x v="0"/>
  </r>
  <r>
    <s v="CA-2014-132738"/>
    <x v="552"/>
    <x v="3"/>
    <d v="2014-08-08T00:00:00"/>
    <x v="0"/>
    <x v="313"/>
    <x v="0"/>
    <x v="132"/>
    <x v="5"/>
    <x v="8"/>
    <s v="Hammermill CopyPlus Copy Paper (20Lb. and 84 Bright)"/>
    <n v="7.97"/>
    <n v="2"/>
    <x v="0"/>
    <n v="2.89"/>
    <x v="0"/>
  </r>
  <r>
    <s v="CA-2014-156720"/>
    <x v="172"/>
    <x v="1"/>
    <d v="2015-01-04T00:00:00"/>
    <x v="0"/>
    <x v="500"/>
    <x v="0"/>
    <x v="132"/>
    <x v="5"/>
    <x v="12"/>
    <s v="Bagged Rubber Bands"/>
    <n v="3.02"/>
    <n v="3"/>
    <x v="0"/>
    <n v="-0.6"/>
    <x v="0"/>
  </r>
  <r>
    <s v="CA-2012-141936"/>
    <x v="502"/>
    <x v="3"/>
    <d v="2012-08-12T00:00:00"/>
    <x v="0"/>
    <x v="501"/>
    <x v="0"/>
    <x v="104"/>
    <x v="0"/>
    <x v="2"/>
    <s v="Cardinal Hold-It CD Pocket"/>
    <n v="19.149999999999999"/>
    <n v="3"/>
    <x v="0"/>
    <n v="6.46"/>
    <x v="0"/>
  </r>
  <r>
    <s v="CA-2013-150658"/>
    <x v="553"/>
    <x v="7"/>
    <d v="2013-11-23T00:00:00"/>
    <x v="0"/>
    <x v="266"/>
    <x v="0"/>
    <x v="13"/>
    <x v="6"/>
    <x v="2"/>
    <s v="Avery Non-Stick Binders"/>
    <n v="10.78"/>
    <n v="3"/>
    <x v="0"/>
    <n v="3.37"/>
    <x v="0"/>
  </r>
  <r>
    <s v="CA-2014-146626"/>
    <x v="251"/>
    <x v="1"/>
    <d v="2015-01-06T00:00:00"/>
    <x v="1"/>
    <x v="43"/>
    <x v="0"/>
    <x v="36"/>
    <x v="0"/>
    <x v="1"/>
    <s v="Nu-Dell Executive Frame"/>
    <n v="101.12"/>
    <n v="8"/>
    <x v="1"/>
    <n v="37.409999999999997"/>
    <x v="0"/>
  </r>
  <r>
    <s v="CA-2013-151323"/>
    <x v="554"/>
    <x v="8"/>
    <d v="2013-10-29T00:00:00"/>
    <x v="0"/>
    <x v="337"/>
    <x v="0"/>
    <x v="1"/>
    <x v="1"/>
    <x v="12"/>
    <s v="Advantus SlideClip Paper Clips"/>
    <n v="17.05"/>
    <n v="5"/>
    <x v="0"/>
    <n v="8.18"/>
    <x v="0"/>
  </r>
  <r>
    <s v="CA-2012-146696"/>
    <x v="297"/>
    <x v="1"/>
    <d v="2012-12-19T00:00:00"/>
    <x v="0"/>
    <x v="212"/>
    <x v="0"/>
    <x v="18"/>
    <x v="0"/>
    <x v="2"/>
    <s v="Wilson Jones Standard D-Ring Binders"/>
    <n v="8.1"/>
    <n v="2"/>
    <x v="0"/>
    <n v="2.73"/>
    <x v="0"/>
  </r>
  <r>
    <s v="CA-2012-154886"/>
    <x v="302"/>
    <x v="7"/>
    <d v="2012-11-12T00:00:00"/>
    <x v="0"/>
    <x v="502"/>
    <x v="0"/>
    <x v="3"/>
    <x v="0"/>
    <x v="6"/>
    <s v="Microsoft Arc Touch Mouse"/>
    <n v="119.9"/>
    <n v="2"/>
    <x v="0"/>
    <n v="43.16"/>
    <x v="0"/>
  </r>
  <r>
    <s v="CA-2014-161333"/>
    <x v="555"/>
    <x v="11"/>
    <d v="2014-02-08T00:00:00"/>
    <x v="0"/>
    <x v="93"/>
    <x v="0"/>
    <x v="0"/>
    <x v="0"/>
    <x v="1"/>
    <s v="Howard Miller 11-1/2&quot; Diameter Grantwood Wall Clock"/>
    <n v="86.26"/>
    <n v="2"/>
    <x v="0"/>
    <n v="29.33"/>
    <x v="0"/>
  </r>
  <r>
    <s v="CA-2014-128734"/>
    <x v="322"/>
    <x v="1"/>
    <d v="2015-01-01T00:00:00"/>
    <x v="1"/>
    <x v="503"/>
    <x v="0"/>
    <x v="133"/>
    <x v="3"/>
    <x v="1"/>
    <s v="Acrylic Self-Standing Desk Frames"/>
    <n v="8.5399999999999991"/>
    <n v="4"/>
    <x v="0"/>
    <n v="1.92"/>
    <x v="0"/>
  </r>
  <r>
    <s v="CA-2014-125101"/>
    <x v="477"/>
    <x v="9"/>
    <d v="2014-03-11T00:00:00"/>
    <x v="0"/>
    <x v="19"/>
    <x v="0"/>
    <x v="3"/>
    <x v="0"/>
    <x v="3"/>
    <s v="File Shuttle II and Handi-File, Black"/>
    <n v="67.78"/>
    <n v="2"/>
    <x v="0"/>
    <n v="16.95"/>
    <x v="0"/>
  </r>
  <r>
    <s v="CA-2014-169929"/>
    <x v="556"/>
    <x v="4"/>
    <d v="2014-09-29T00:00:00"/>
    <x v="0"/>
    <x v="504"/>
    <x v="0"/>
    <x v="134"/>
    <x v="8"/>
    <x v="3"/>
    <s v="Iris Project Case"/>
    <n v="39.9"/>
    <n v="5"/>
    <x v="0"/>
    <n v="10.37"/>
    <x v="0"/>
  </r>
  <r>
    <s v="CA-2012-156146"/>
    <x v="281"/>
    <x v="8"/>
    <d v="2012-10-30T00:00:00"/>
    <x v="0"/>
    <x v="442"/>
    <x v="0"/>
    <x v="84"/>
    <x v="3"/>
    <x v="11"/>
    <s v="Panasonic KX-TG6844B Expandable Digital Cordless Telephone"/>
    <n v="105.58"/>
    <n v="2"/>
    <x v="0"/>
    <n v="9.24"/>
    <x v="0"/>
  </r>
  <r>
    <s v="CA-2011-111192"/>
    <x v="557"/>
    <x v="6"/>
    <d v="2011-08-05T00:00:00"/>
    <x v="0"/>
    <x v="464"/>
    <x v="0"/>
    <x v="1"/>
    <x v="1"/>
    <x v="15"/>
    <s v="Rush Hierlooms Collection 1&quot; Thick Stackable Bookcases"/>
    <n v="1367.84"/>
    <n v="8"/>
    <x v="1"/>
    <n v="259.89"/>
    <x v="1"/>
  </r>
  <r>
    <s v="CA-2012-161627"/>
    <x v="558"/>
    <x v="6"/>
    <d v="2012-07-11T00:00:00"/>
    <x v="0"/>
    <x v="383"/>
    <x v="0"/>
    <x v="10"/>
    <x v="0"/>
    <x v="7"/>
    <s v="Novimex Turbo Task Chair"/>
    <n v="170.35"/>
    <n v="3"/>
    <x v="0"/>
    <n v="-17.04"/>
    <x v="0"/>
  </r>
  <r>
    <s v="CA-2012-107741"/>
    <x v="559"/>
    <x v="9"/>
    <d v="2012-03-10T00:00:00"/>
    <x v="0"/>
    <x v="505"/>
    <x v="0"/>
    <x v="60"/>
    <x v="5"/>
    <x v="4"/>
    <s v="Dixon Prang Watercolor Pencils, 10-Color Set with Brush"/>
    <n v="3.41"/>
    <n v="1"/>
    <x v="2"/>
    <n v="0.89"/>
    <x v="0"/>
  </r>
  <r>
    <s v="CA-2013-148908"/>
    <x v="319"/>
    <x v="7"/>
    <d v="2013-11-09T00:00:00"/>
    <x v="0"/>
    <x v="62"/>
    <x v="0"/>
    <x v="3"/>
    <x v="0"/>
    <x v="2"/>
    <s v="GBC Twin Loop Wire Binding Elements"/>
    <n v="53.25"/>
    <n v="2"/>
    <x v="0"/>
    <n v="19.97"/>
    <x v="0"/>
  </r>
  <r>
    <s v="US-2012-120502"/>
    <x v="276"/>
    <x v="10"/>
    <d v="2012-04-19T00:00:00"/>
    <x v="0"/>
    <x v="319"/>
    <x v="0"/>
    <x v="0"/>
    <x v="0"/>
    <x v="1"/>
    <s v="Flat Face Poster Frame"/>
    <n v="37.68"/>
    <n v="2"/>
    <x v="0"/>
    <n v="15.83"/>
    <x v="0"/>
  </r>
  <r>
    <s v="US-2014-141943"/>
    <x v="560"/>
    <x v="2"/>
    <d v="2014-05-10T00:00:00"/>
    <x v="0"/>
    <x v="506"/>
    <x v="0"/>
    <x v="3"/>
    <x v="0"/>
    <x v="10"/>
    <s v="Peel &amp; Seel Recycled Catalog Envelopes, Brown"/>
    <n v="23.16"/>
    <n v="2"/>
    <x v="0"/>
    <n v="11.58"/>
    <x v="0"/>
  </r>
  <r>
    <s v="CA-2011-159709"/>
    <x v="561"/>
    <x v="2"/>
    <d v="2011-05-15T00:00:00"/>
    <x v="0"/>
    <x v="496"/>
    <x v="0"/>
    <x v="72"/>
    <x v="1"/>
    <x v="10"/>
    <s v="Strathmore #10 Envelopes, Ultimate White"/>
    <n v="158.13"/>
    <n v="3"/>
    <x v="0"/>
    <n v="77.48"/>
    <x v="0"/>
  </r>
  <r>
    <s v="CA-2012-142454"/>
    <x v="339"/>
    <x v="3"/>
    <d v="2012-08-19T00:00:00"/>
    <x v="0"/>
    <x v="507"/>
    <x v="0"/>
    <x v="54"/>
    <x v="0"/>
    <x v="1"/>
    <s v="Tensor Computer Mounted Lamp"/>
    <n v="104.23"/>
    <n v="7"/>
    <x v="1"/>
    <n v="28.14"/>
    <x v="0"/>
  </r>
  <r>
    <s v="CA-2013-145898"/>
    <x v="340"/>
    <x v="4"/>
    <d v="2013-09-27T00:00:00"/>
    <x v="0"/>
    <x v="118"/>
    <x v="0"/>
    <x v="14"/>
    <x v="0"/>
    <x v="3"/>
    <s v="Advantus Rolling Storage Box"/>
    <n v="51.45"/>
    <n v="3"/>
    <x v="0"/>
    <n v="13.89"/>
    <x v="0"/>
  </r>
  <r>
    <s v="CA-2014-134635"/>
    <x v="248"/>
    <x v="10"/>
    <d v="2014-04-18T00:00:00"/>
    <x v="0"/>
    <x v="149"/>
    <x v="0"/>
    <x v="0"/>
    <x v="0"/>
    <x v="8"/>
    <s v="Xerox 1883"/>
    <n v="79.14"/>
    <n v="3"/>
    <x v="0"/>
    <n v="36.4"/>
    <x v="0"/>
  </r>
  <r>
    <s v="US-2014-109582"/>
    <x v="204"/>
    <x v="4"/>
    <d v="2014-09-18T00:00:00"/>
    <x v="0"/>
    <x v="323"/>
    <x v="0"/>
    <x v="0"/>
    <x v="0"/>
    <x v="8"/>
    <s v="Eaton Premium Continuous-Feed Paper, 25% Cotton, Letter Size, White, 1000 Shts/Box"/>
    <n v="166.44"/>
    <n v="3"/>
    <x v="0"/>
    <n v="79.89"/>
    <x v="0"/>
  </r>
  <r>
    <s v="US-2011-147648"/>
    <x v="224"/>
    <x v="7"/>
    <d v="2011-12-01T00:00:00"/>
    <x v="0"/>
    <x v="17"/>
    <x v="0"/>
    <x v="3"/>
    <x v="0"/>
    <x v="8"/>
    <s v="Xerox 1893"/>
    <n v="81.98"/>
    <n v="2"/>
    <x v="0"/>
    <n v="40.17"/>
    <x v="0"/>
  </r>
  <r>
    <s v="CA-2014-124436"/>
    <x v="492"/>
    <x v="9"/>
    <d v="2014-03-23T00:00:00"/>
    <x v="0"/>
    <x v="239"/>
    <x v="0"/>
    <x v="59"/>
    <x v="0"/>
    <x v="2"/>
    <s v="SpineVue Locking Slant-D Ring Binders by Cardinal"/>
    <n v="14.62"/>
    <n v="2"/>
    <x v="0"/>
    <n v="5.12"/>
    <x v="0"/>
  </r>
  <r>
    <s v="CA-2014-131037"/>
    <x v="562"/>
    <x v="3"/>
    <d v="2014-08-24T00:00:00"/>
    <x v="0"/>
    <x v="508"/>
    <x v="0"/>
    <x v="3"/>
    <x v="0"/>
    <x v="5"/>
    <s v="Hon Racetrack Conference Tables"/>
    <n v="210.01"/>
    <n v="1"/>
    <x v="2"/>
    <n v="2.63"/>
    <x v="0"/>
  </r>
  <r>
    <s v="CA-2013-116561"/>
    <x v="36"/>
    <x v="4"/>
    <d v="2013-09-18T00:00:00"/>
    <x v="0"/>
    <x v="509"/>
    <x v="0"/>
    <x v="12"/>
    <x v="0"/>
    <x v="3"/>
    <s v="Stur-D-Stor Shelving, Vertical 5-Shelf: 72&quot;H x 36&quot;W x 18 1/2&quot;D"/>
    <n v="332.94"/>
    <n v="3"/>
    <x v="0"/>
    <n v="6.66"/>
    <x v="0"/>
  </r>
  <r>
    <s v="CA-2013-110730"/>
    <x v="563"/>
    <x v="4"/>
    <d v="2013-09-27T00:00:00"/>
    <x v="0"/>
    <x v="510"/>
    <x v="0"/>
    <x v="1"/>
    <x v="1"/>
    <x v="14"/>
    <s v="Acme Design Stainless Steel Bent Scissors"/>
    <n v="13.68"/>
    <n v="2"/>
    <x v="0"/>
    <n v="3.69"/>
    <x v="0"/>
  </r>
  <r>
    <s v="CA-2013-156265"/>
    <x v="564"/>
    <x v="3"/>
    <d v="2013-08-05T00:00:00"/>
    <x v="0"/>
    <x v="511"/>
    <x v="0"/>
    <x v="0"/>
    <x v="0"/>
    <x v="5"/>
    <s v="Barricks Non-Folding Utility Table with Steel Legs, Laminate Tops"/>
    <n v="136.46"/>
    <n v="2"/>
    <x v="0"/>
    <n v="15.35"/>
    <x v="0"/>
  </r>
  <r>
    <s v="US-2014-110989"/>
    <x v="56"/>
    <x v="7"/>
    <d v="2014-11-06T00:00:00"/>
    <x v="0"/>
    <x v="512"/>
    <x v="0"/>
    <x v="1"/>
    <x v="1"/>
    <x v="6"/>
    <s v="HP Standard 104 key PS/2 Keyboard"/>
    <n v="43.5"/>
    <n v="3"/>
    <x v="0"/>
    <n v="10.88"/>
    <x v="0"/>
  </r>
  <r>
    <s v="US-2011-131982"/>
    <x v="540"/>
    <x v="9"/>
    <d v="2011-03-11T00:00:00"/>
    <x v="0"/>
    <x v="253"/>
    <x v="0"/>
    <x v="27"/>
    <x v="1"/>
    <x v="2"/>
    <s v="Catalog Binders with Expanding Posts"/>
    <n v="107.65"/>
    <n v="2"/>
    <x v="0"/>
    <n v="33.64"/>
    <x v="0"/>
  </r>
  <r>
    <s v="US-2014-114034"/>
    <x v="565"/>
    <x v="5"/>
    <d v="2014-01-09T00:00:00"/>
    <x v="0"/>
    <x v="513"/>
    <x v="0"/>
    <x v="86"/>
    <x v="0"/>
    <x v="8"/>
    <s v="Xerox 1905"/>
    <n v="38.880000000000003"/>
    <n v="6"/>
    <x v="0"/>
    <n v="18.66"/>
    <x v="0"/>
  </r>
  <r>
    <s v="US-2014-115595"/>
    <x v="566"/>
    <x v="8"/>
    <d v="2014-10-12T00:00:00"/>
    <x v="0"/>
    <x v="65"/>
    <x v="0"/>
    <x v="0"/>
    <x v="0"/>
    <x v="8"/>
    <s v="Wirebound Message Books, 2 7/8&quot; x 5&quot;, 3 Forms per Page"/>
    <n v="35.200000000000003"/>
    <n v="5"/>
    <x v="0"/>
    <n v="16.54"/>
    <x v="0"/>
  </r>
  <r>
    <s v="CA-2014-147452"/>
    <x v="567"/>
    <x v="8"/>
    <d v="2014-10-04T00:00:00"/>
    <x v="0"/>
    <x v="376"/>
    <x v="0"/>
    <x v="1"/>
    <x v="1"/>
    <x v="8"/>
    <s v="Adams Telephone Message Book W/Dividers/Space For Phone Numbers, 5 1/4&quot;X8 1/2&quot;, 300/Messages"/>
    <n v="11.76"/>
    <n v="2"/>
    <x v="0"/>
    <n v="5.76"/>
    <x v="0"/>
  </r>
  <r>
    <s v="CA-2014-144484"/>
    <x v="386"/>
    <x v="4"/>
    <d v="2014-09-12T00:00:00"/>
    <x v="0"/>
    <x v="514"/>
    <x v="0"/>
    <x v="3"/>
    <x v="0"/>
    <x v="1"/>
    <s v="6&quot; Cubicle Wall Clock, Black"/>
    <n v="32.36"/>
    <n v="4"/>
    <x v="0"/>
    <n v="11.65"/>
    <x v="0"/>
  </r>
  <r>
    <s v="CA-2014-125913"/>
    <x v="568"/>
    <x v="5"/>
    <d v="2014-01-17T00:00:00"/>
    <x v="0"/>
    <x v="427"/>
    <x v="0"/>
    <x v="0"/>
    <x v="0"/>
    <x v="1"/>
    <s v="Eldon Expressions Wood and Plastic Desk Accessories, Cherry Wood"/>
    <n v="27.92"/>
    <n v="4"/>
    <x v="0"/>
    <n v="8.1"/>
    <x v="0"/>
  </r>
  <r>
    <s v="CA-2011-133424"/>
    <x v="569"/>
    <x v="9"/>
    <d v="2011-04-04T00:00:00"/>
    <x v="0"/>
    <x v="97"/>
    <x v="0"/>
    <x v="1"/>
    <x v="1"/>
    <x v="3"/>
    <s v="Sterilite Show Offs Storage Containers"/>
    <n v="15.84"/>
    <n v="3"/>
    <x v="0"/>
    <n v="0"/>
    <x v="0"/>
  </r>
  <r>
    <s v="CA-2014-105991"/>
    <x v="560"/>
    <x v="2"/>
    <d v="2014-05-07T00:00:00"/>
    <x v="0"/>
    <x v="363"/>
    <x v="0"/>
    <x v="30"/>
    <x v="5"/>
    <x v="10"/>
    <s v="Redi-Strip #10 Envelopes, 4 1/8 x 9 1/2"/>
    <n v="21.24"/>
    <n v="9"/>
    <x v="1"/>
    <n v="7.43"/>
    <x v="0"/>
  </r>
  <r>
    <s v="US-2014-136784"/>
    <x v="570"/>
    <x v="2"/>
    <d v="2014-05-06T00:00:00"/>
    <x v="0"/>
    <x v="70"/>
    <x v="0"/>
    <x v="3"/>
    <x v="0"/>
    <x v="8"/>
    <s v="Xerox 1919"/>
    <n v="163.96"/>
    <n v="4"/>
    <x v="0"/>
    <n v="80.34"/>
    <x v="0"/>
  </r>
  <r>
    <s v="CA-2013-106656"/>
    <x v="563"/>
    <x v="4"/>
    <d v="2013-09-27T00:00:00"/>
    <x v="0"/>
    <x v="0"/>
    <x v="0"/>
    <x v="18"/>
    <x v="0"/>
    <x v="10"/>
    <s v="Poly String Tie Envelopes"/>
    <n v="4.08"/>
    <n v="2"/>
    <x v="0"/>
    <n v="1.92"/>
    <x v="0"/>
  </r>
  <r>
    <s v="CA-2014-137876"/>
    <x v="570"/>
    <x v="2"/>
    <d v="2014-05-06T00:00:00"/>
    <x v="0"/>
    <x v="354"/>
    <x v="0"/>
    <x v="3"/>
    <x v="0"/>
    <x v="1"/>
    <s v="Seth Thomas 16&quot; Steel Case Clock"/>
    <n v="64.959999999999994"/>
    <n v="2"/>
    <x v="0"/>
    <n v="21.44"/>
    <x v="0"/>
  </r>
  <r>
    <s v="CA-2012-119508"/>
    <x v="511"/>
    <x v="1"/>
    <d v="2012-12-09T00:00:00"/>
    <x v="0"/>
    <x v="132"/>
    <x v="0"/>
    <x v="118"/>
    <x v="0"/>
    <x v="4"/>
    <s v="Avery Hi-Liter Fluorescent Desk Style Markers"/>
    <n v="16.899999999999999"/>
    <n v="5"/>
    <x v="0"/>
    <n v="6.25"/>
    <x v="0"/>
  </r>
  <r>
    <s v="CA-2011-130813"/>
    <x v="571"/>
    <x v="5"/>
    <d v="2011-01-09T00:00:00"/>
    <x v="0"/>
    <x v="515"/>
    <x v="0"/>
    <x v="0"/>
    <x v="0"/>
    <x v="8"/>
    <s v="Xerox 225"/>
    <n v="19.440000000000001"/>
    <n v="3"/>
    <x v="0"/>
    <n v="9.33"/>
    <x v="0"/>
  </r>
  <r>
    <s v="CA-2012-169278"/>
    <x v="572"/>
    <x v="2"/>
    <d v="2012-05-25T00:00:00"/>
    <x v="0"/>
    <x v="245"/>
    <x v="0"/>
    <x v="1"/>
    <x v="1"/>
    <x v="2"/>
    <s v="Ibico Plastic and Wire Spiral Binding Combs"/>
    <n v="26.98"/>
    <n v="4"/>
    <x v="0"/>
    <n v="8.77"/>
    <x v="0"/>
  </r>
  <r>
    <s v="CA-2014-111577"/>
    <x v="573"/>
    <x v="8"/>
    <d v="2014-10-22T00:00:00"/>
    <x v="0"/>
    <x v="516"/>
    <x v="0"/>
    <x v="11"/>
    <x v="3"/>
    <x v="8"/>
    <s v="Green Bar Computer Printout Paper"/>
    <n v="307.77999999999997"/>
    <n v="7"/>
    <x v="1"/>
    <n v="111.57"/>
    <x v="0"/>
  </r>
  <r>
    <s v="CA-2014-108539"/>
    <x v="574"/>
    <x v="9"/>
    <d v="2014-03-24T00:00:00"/>
    <x v="0"/>
    <x v="227"/>
    <x v="0"/>
    <x v="0"/>
    <x v="0"/>
    <x v="3"/>
    <s v="Adjustable Depth Letter/Legal Cart"/>
    <n v="725.84"/>
    <n v="4"/>
    <x v="0"/>
    <n v="210.49"/>
    <x v="2"/>
  </r>
  <r>
    <s v="CA-2011-113768"/>
    <x v="3"/>
    <x v="2"/>
    <d v="2011-05-19T00:00:00"/>
    <x v="0"/>
    <x v="517"/>
    <x v="0"/>
    <x v="0"/>
    <x v="0"/>
    <x v="7"/>
    <s v="Iceberg Nesting Folding Chair, 19w x 6d x 43h"/>
    <n v="279.45999999999998"/>
    <n v="6"/>
    <x v="0"/>
    <n v="20.96"/>
    <x v="0"/>
  </r>
  <r>
    <s v="CA-2013-138037"/>
    <x v="230"/>
    <x v="4"/>
    <d v="2013-10-04T00:00:00"/>
    <x v="0"/>
    <x v="518"/>
    <x v="0"/>
    <x v="3"/>
    <x v="0"/>
    <x v="2"/>
    <s v="Avery Self-Adhesive Photo Pockets for Polaroid Photos"/>
    <n v="27.24"/>
    <n v="5"/>
    <x v="0"/>
    <n v="9.5299999999999994"/>
    <x v="0"/>
  </r>
  <r>
    <s v="CA-2011-150490"/>
    <x v="28"/>
    <x v="3"/>
    <d v="2011-08-11T00:00:00"/>
    <x v="0"/>
    <x v="67"/>
    <x v="0"/>
    <x v="3"/>
    <x v="0"/>
    <x v="6"/>
    <s v="Logitech Desktop MK120 Mouse and keyboard Combo"/>
    <n v="16.36"/>
    <n v="1"/>
    <x v="2"/>
    <n v="1.64"/>
    <x v="0"/>
  </r>
  <r>
    <s v="CA-2011-123477"/>
    <x v="575"/>
    <x v="5"/>
    <d v="2011-01-22T00:00:00"/>
    <x v="0"/>
    <x v="444"/>
    <x v="0"/>
    <x v="80"/>
    <x v="4"/>
    <x v="9"/>
    <s v="Fellowes Mighty 8 Compact Surge Protector"/>
    <n v="64.86"/>
    <n v="4"/>
    <x v="0"/>
    <n v="6.49"/>
    <x v="0"/>
  </r>
  <r>
    <s v="CA-2014-158071"/>
    <x v="67"/>
    <x v="0"/>
    <d v="2014-06-16T00:00:00"/>
    <x v="0"/>
    <x v="75"/>
    <x v="0"/>
    <x v="1"/>
    <x v="1"/>
    <x v="11"/>
    <s v="Logitech B530 USB Headset - headset - Full size, Binaural"/>
    <n v="88.78"/>
    <n v="3"/>
    <x v="0"/>
    <n v="7.77"/>
    <x v="0"/>
  </r>
  <r>
    <s v="CA-2014-134152"/>
    <x v="576"/>
    <x v="2"/>
    <d v="2014-06-01T00:00:00"/>
    <x v="0"/>
    <x v="519"/>
    <x v="0"/>
    <x v="1"/>
    <x v="1"/>
    <x v="6"/>
    <s v="Logitech Desktop MK120 Mouse and keyboard Combo"/>
    <n v="98.16"/>
    <n v="6"/>
    <x v="0"/>
    <n v="9.82"/>
    <x v="0"/>
  </r>
  <r>
    <s v="CA-2013-136021"/>
    <x v="577"/>
    <x v="3"/>
    <d v="2013-08-19T00:00:00"/>
    <x v="0"/>
    <x v="500"/>
    <x v="0"/>
    <x v="0"/>
    <x v="0"/>
    <x v="8"/>
    <s v="Array Memo Cubes"/>
    <n v="15.54"/>
    <n v="3"/>
    <x v="0"/>
    <n v="7.61"/>
    <x v="0"/>
  </r>
  <r>
    <s v="CA-2014-164707"/>
    <x v="578"/>
    <x v="11"/>
    <d v="2014-02-22T00:00:00"/>
    <x v="0"/>
    <x v="130"/>
    <x v="0"/>
    <x v="0"/>
    <x v="0"/>
    <x v="11"/>
    <s v="iHome FM Clock Radio with Lightning Dock"/>
    <n v="167.98"/>
    <n v="3"/>
    <x v="0"/>
    <n v="10.5"/>
    <x v="0"/>
  </r>
  <r>
    <s v="CA-2014-163874"/>
    <x v="181"/>
    <x v="7"/>
    <d v="2014-11-13T00:00:00"/>
    <x v="0"/>
    <x v="437"/>
    <x v="0"/>
    <x v="1"/>
    <x v="1"/>
    <x v="2"/>
    <s v="GBC Imprintable Covers"/>
    <n v="26.35"/>
    <n v="3"/>
    <x v="0"/>
    <n v="9.5500000000000007"/>
    <x v="0"/>
  </r>
  <r>
    <s v="CA-2011-104829"/>
    <x v="318"/>
    <x v="7"/>
    <d v="2011-11-21T00:00:00"/>
    <x v="0"/>
    <x v="520"/>
    <x v="0"/>
    <x v="63"/>
    <x v="2"/>
    <x v="8"/>
    <s v="Adams &quot;While You Were Out&quot; Message Pads"/>
    <n v="21.98"/>
    <n v="7"/>
    <x v="1"/>
    <n v="9.89"/>
    <x v="0"/>
  </r>
  <r>
    <s v="US-2013-147340"/>
    <x v="309"/>
    <x v="4"/>
    <d v="2013-09-25T00:00:00"/>
    <x v="0"/>
    <x v="208"/>
    <x v="0"/>
    <x v="3"/>
    <x v="0"/>
    <x v="1"/>
    <s v="Nu-Dell Executive Frame"/>
    <n v="63.2"/>
    <n v="5"/>
    <x v="0"/>
    <n v="23.38"/>
    <x v="0"/>
  </r>
  <r>
    <s v="CA-2013-145492"/>
    <x v="579"/>
    <x v="7"/>
    <d v="2013-11-28T00:00:00"/>
    <x v="1"/>
    <x v="521"/>
    <x v="0"/>
    <x v="0"/>
    <x v="0"/>
    <x v="9"/>
    <s v="Bravo II Megaboss 12-Amp Hard Body Upright, Replacement Belts, 2 Belts per Pack"/>
    <n v="39"/>
    <n v="12"/>
    <x v="1"/>
    <n v="11.31"/>
    <x v="0"/>
  </r>
  <r>
    <s v="CA-2013-117681"/>
    <x v="213"/>
    <x v="10"/>
    <d v="2013-04-15T00:00:00"/>
    <x v="0"/>
    <x v="343"/>
    <x v="0"/>
    <x v="0"/>
    <x v="0"/>
    <x v="15"/>
    <s v="Bush Somerset Collection Bookcase"/>
    <n v="556.66999999999996"/>
    <n v="5"/>
    <x v="0"/>
    <n v="6.55"/>
    <x v="2"/>
  </r>
  <r>
    <s v="CA-2014-132262"/>
    <x v="580"/>
    <x v="4"/>
    <d v="2014-09-24T00:00:00"/>
    <x v="0"/>
    <x v="522"/>
    <x v="0"/>
    <x v="1"/>
    <x v="1"/>
    <x v="6"/>
    <s v="Sony 64GB Class 10 Micro SDHC R40 Memory Card"/>
    <n v="71.98"/>
    <n v="2"/>
    <x v="0"/>
    <n v="15.12"/>
    <x v="0"/>
  </r>
  <r>
    <s v="US-2013-143280"/>
    <x v="581"/>
    <x v="11"/>
    <d v="2013-02-26T00:00:00"/>
    <x v="0"/>
    <x v="132"/>
    <x v="0"/>
    <x v="0"/>
    <x v="0"/>
    <x v="11"/>
    <s v="AT&amp;T 1070 Corded Phone"/>
    <n v="445.96"/>
    <n v="5"/>
    <x v="0"/>
    <n v="55.75"/>
    <x v="0"/>
  </r>
  <r>
    <s v="CA-2014-108854"/>
    <x v="55"/>
    <x v="1"/>
    <d v="2014-12-15T00:00:00"/>
    <x v="0"/>
    <x v="523"/>
    <x v="0"/>
    <x v="3"/>
    <x v="0"/>
    <x v="8"/>
    <s v="Standard Line While You Were Out Hardbound Telephone Message Book"/>
    <n v="87.92"/>
    <n v="4"/>
    <x v="0"/>
    <n v="40.44"/>
    <x v="0"/>
  </r>
  <r>
    <s v="CA-2014-166856"/>
    <x v="19"/>
    <x v="4"/>
    <d v="2014-09-23T00:00:00"/>
    <x v="0"/>
    <x v="403"/>
    <x v="0"/>
    <x v="135"/>
    <x v="6"/>
    <x v="2"/>
    <s v="Wilson Jones Easy Flow II Sheet Lifters"/>
    <n v="10.08"/>
    <n v="7"/>
    <x v="1"/>
    <n v="3.53"/>
    <x v="0"/>
  </r>
  <r>
    <s v="US-2013-163258"/>
    <x v="582"/>
    <x v="1"/>
    <d v="2014-01-03T00:00:00"/>
    <x v="0"/>
    <x v="164"/>
    <x v="0"/>
    <x v="0"/>
    <x v="0"/>
    <x v="2"/>
    <s v="Acco Translucent Poly Ring Binders"/>
    <n v="11.23"/>
    <n v="3"/>
    <x v="0"/>
    <n v="3.93"/>
    <x v="0"/>
  </r>
  <r>
    <s v="CA-2013-153598"/>
    <x v="583"/>
    <x v="1"/>
    <d v="2013-12-07T00:00:00"/>
    <x v="0"/>
    <x v="151"/>
    <x v="0"/>
    <x v="0"/>
    <x v="0"/>
    <x v="6"/>
    <s v="Logitech Z-906 Speaker sys - home theater - 5.1-CH"/>
    <n v="1649.95"/>
    <n v="5"/>
    <x v="0"/>
    <n v="659.98"/>
    <x v="1"/>
  </r>
  <r>
    <s v="US-2013-108497"/>
    <x v="154"/>
    <x v="0"/>
    <d v="2013-06-15T00:00:00"/>
    <x v="0"/>
    <x v="524"/>
    <x v="0"/>
    <x v="0"/>
    <x v="0"/>
    <x v="15"/>
    <s v="Bush Heritage Pine Collection 5-Shelf Bookcase, Albany Pine Finish, *Special Order"/>
    <n v="599.16999999999996"/>
    <n v="5"/>
    <x v="0"/>
    <n v="35.25"/>
    <x v="2"/>
  </r>
  <r>
    <s v="CA-2013-113096"/>
    <x v="584"/>
    <x v="4"/>
    <d v="2013-09-05T00:00:00"/>
    <x v="0"/>
    <x v="179"/>
    <x v="0"/>
    <x v="3"/>
    <x v="0"/>
    <x v="3"/>
    <s v="Tenex File Box, Personal Filing Tote with Lid, Black"/>
    <n v="46.53"/>
    <n v="3"/>
    <x v="0"/>
    <n v="12.1"/>
    <x v="0"/>
  </r>
  <r>
    <s v="CA-2014-129707"/>
    <x v="550"/>
    <x v="10"/>
    <d v="2014-04-30T00:00:00"/>
    <x v="0"/>
    <x v="525"/>
    <x v="0"/>
    <x v="133"/>
    <x v="3"/>
    <x v="4"/>
    <s v="Newell 318"/>
    <n v="8.9"/>
    <n v="4"/>
    <x v="0"/>
    <n v="0.67"/>
    <x v="0"/>
  </r>
  <r>
    <s v="CA-2012-160171"/>
    <x v="585"/>
    <x v="8"/>
    <d v="2012-10-24T00:00:00"/>
    <x v="0"/>
    <x v="465"/>
    <x v="0"/>
    <x v="0"/>
    <x v="0"/>
    <x v="9"/>
    <s v="Sanyo Counter Height Refrigerator with Crisper, 3.6 Cubic Foot, Stainless Steel/Black"/>
    <n v="1640.7"/>
    <n v="5"/>
    <x v="0"/>
    <n v="459.4"/>
    <x v="1"/>
  </r>
  <r>
    <s v="CA-2014-155929"/>
    <x v="586"/>
    <x v="4"/>
    <d v="2014-09-14T00:00:00"/>
    <x v="0"/>
    <x v="496"/>
    <x v="0"/>
    <x v="65"/>
    <x v="3"/>
    <x v="8"/>
    <s v="Unpadded Memo Slips"/>
    <n v="6.37"/>
    <n v="2"/>
    <x v="0"/>
    <n v="2.39"/>
    <x v="0"/>
  </r>
  <r>
    <s v="CA-2013-140613"/>
    <x v="157"/>
    <x v="6"/>
    <d v="2013-07-30T00:00:00"/>
    <x v="1"/>
    <x v="297"/>
    <x v="0"/>
    <x v="96"/>
    <x v="7"/>
    <x v="14"/>
    <s v="Fiskars 8&quot; Scissors, 2/Pack"/>
    <n v="86.2"/>
    <n v="5"/>
    <x v="0"/>
    <n v="25"/>
    <x v="0"/>
  </r>
  <r>
    <s v="CA-2014-130631"/>
    <x v="251"/>
    <x v="1"/>
    <d v="2015-01-03T00:00:00"/>
    <x v="0"/>
    <x v="31"/>
    <x v="0"/>
    <x v="45"/>
    <x v="1"/>
    <x v="12"/>
    <s v="Acco Glide Clips"/>
    <n v="19.600000000000001"/>
    <n v="5"/>
    <x v="0"/>
    <n v="9.6"/>
    <x v="0"/>
  </r>
  <r>
    <s v="CA-2014-116680"/>
    <x v="321"/>
    <x v="4"/>
    <d v="2014-09-07T00:00:00"/>
    <x v="0"/>
    <x v="331"/>
    <x v="0"/>
    <x v="3"/>
    <x v="0"/>
    <x v="2"/>
    <s v="Acco Suede Grain Vinyl Round Ring Binder"/>
    <n v="13.34"/>
    <n v="6"/>
    <x v="0"/>
    <n v="4.34"/>
    <x v="0"/>
  </r>
  <r>
    <s v="CA-2014-101574"/>
    <x v="501"/>
    <x v="4"/>
    <d v="2014-10-05T00:00:00"/>
    <x v="0"/>
    <x v="466"/>
    <x v="0"/>
    <x v="0"/>
    <x v="0"/>
    <x v="1"/>
    <s v="Longer-Life Soft White Bulbs"/>
    <n v="9.24"/>
    <n v="3"/>
    <x v="0"/>
    <n v="4.4400000000000004"/>
    <x v="0"/>
  </r>
  <r>
    <s v="CA-2011-146591"/>
    <x v="587"/>
    <x v="5"/>
    <d v="2011-01-21T00:00:00"/>
    <x v="0"/>
    <x v="432"/>
    <x v="0"/>
    <x v="11"/>
    <x v="3"/>
    <x v="2"/>
    <s v="GBC Standard Recycled Report Covers, Clear Plastic Sheets"/>
    <n v="32.340000000000003"/>
    <n v="10"/>
    <x v="1"/>
    <n v="-23.72"/>
    <x v="0"/>
  </r>
  <r>
    <s v="CA-2013-122448"/>
    <x v="259"/>
    <x v="0"/>
    <d v="2013-06-15T00:00:00"/>
    <x v="0"/>
    <x v="526"/>
    <x v="0"/>
    <x v="3"/>
    <x v="0"/>
    <x v="7"/>
    <s v="Global Deluxe Stacking Chair, Gray"/>
    <n v="122.35"/>
    <n v="3"/>
    <x v="0"/>
    <n v="13.76"/>
    <x v="0"/>
  </r>
  <r>
    <s v="CA-2011-132451"/>
    <x v="180"/>
    <x v="4"/>
    <d v="2011-09-27T00:00:00"/>
    <x v="0"/>
    <x v="276"/>
    <x v="0"/>
    <x v="18"/>
    <x v="0"/>
    <x v="7"/>
    <s v="Hon Deluxe Fabric Upholstered Stacking Chairs, Rounded Back"/>
    <n v="585.54999999999995"/>
    <n v="3"/>
    <x v="0"/>
    <n v="73.19"/>
    <x v="2"/>
  </r>
  <r>
    <s v="CA-2014-116946"/>
    <x v="190"/>
    <x v="1"/>
    <d v="2014-12-24T00:00:00"/>
    <x v="0"/>
    <x v="403"/>
    <x v="0"/>
    <x v="33"/>
    <x v="5"/>
    <x v="1"/>
    <s v="OIC Stacking Trays"/>
    <n v="13.36"/>
    <n v="5"/>
    <x v="0"/>
    <n v="4.01"/>
    <x v="0"/>
  </r>
  <r>
    <s v="CA-2014-105487"/>
    <x v="588"/>
    <x v="8"/>
    <d v="2014-10-15T00:00:00"/>
    <x v="0"/>
    <x v="447"/>
    <x v="0"/>
    <x v="18"/>
    <x v="0"/>
    <x v="11"/>
    <s v="Digium D40 VoIP phone"/>
    <n v="103.19"/>
    <n v="1"/>
    <x v="2"/>
    <n v="11.61"/>
    <x v="0"/>
  </r>
  <r>
    <s v="CA-2011-105249"/>
    <x v="589"/>
    <x v="7"/>
    <d v="2011-11-28T00:00:00"/>
    <x v="0"/>
    <x v="527"/>
    <x v="0"/>
    <x v="3"/>
    <x v="0"/>
    <x v="14"/>
    <s v="Staples"/>
    <n v="7.36"/>
    <n v="2"/>
    <x v="0"/>
    <n v="0.15"/>
    <x v="0"/>
  </r>
  <r>
    <s v="US-2013-162026"/>
    <x v="590"/>
    <x v="8"/>
    <d v="2013-10-09T00:00:00"/>
    <x v="0"/>
    <x v="60"/>
    <x v="0"/>
    <x v="0"/>
    <x v="0"/>
    <x v="8"/>
    <s v="Xerox 1925"/>
    <n v="61.96"/>
    <n v="2"/>
    <x v="0"/>
    <n v="27.88"/>
    <x v="0"/>
  </r>
  <r>
    <s v="CA-2012-168529"/>
    <x v="591"/>
    <x v="8"/>
    <d v="2012-10-12T00:00:00"/>
    <x v="0"/>
    <x v="191"/>
    <x v="0"/>
    <x v="3"/>
    <x v="0"/>
    <x v="1"/>
    <s v="Deflect-o SuperTray Unbreakable Stackable Tray, Letter, Black"/>
    <n v="145.9"/>
    <n v="5"/>
    <x v="0"/>
    <n v="62.74"/>
    <x v="0"/>
  </r>
  <r>
    <s v="US-2011-137680"/>
    <x v="592"/>
    <x v="11"/>
    <d v="2011-03-02T00:00:00"/>
    <x v="0"/>
    <x v="528"/>
    <x v="0"/>
    <x v="78"/>
    <x v="4"/>
    <x v="8"/>
    <s v="Message Book, Wirebound, Four 5 1/2&quot; X 4&quot; Forms/Pg., 200 Dupl. Sets/Book"/>
    <n v="32.9"/>
    <n v="4"/>
    <x v="0"/>
    <n v="11.1"/>
    <x v="0"/>
  </r>
  <r>
    <s v="CA-2013-110982"/>
    <x v="593"/>
    <x v="0"/>
    <d v="2013-06-08T00:00:00"/>
    <x v="0"/>
    <x v="529"/>
    <x v="0"/>
    <x v="17"/>
    <x v="0"/>
    <x v="2"/>
    <s v="Avery Non-Stick Binders"/>
    <n v="21.55"/>
    <n v="6"/>
    <x v="0"/>
    <n v="7"/>
    <x v="0"/>
  </r>
  <r>
    <s v="CA-2013-147123"/>
    <x v="35"/>
    <x v="1"/>
    <d v="2013-12-13T00:00:00"/>
    <x v="0"/>
    <x v="380"/>
    <x v="0"/>
    <x v="23"/>
    <x v="0"/>
    <x v="8"/>
    <s v="Wirebound Message Books, Four 2 3/4 x 5 White Forms per Page"/>
    <n v="80.28"/>
    <n v="12"/>
    <x v="1"/>
    <n v="36.93"/>
    <x v="0"/>
  </r>
  <r>
    <s v="CA-2014-154501"/>
    <x v="570"/>
    <x v="2"/>
    <d v="2014-05-06T00:00:00"/>
    <x v="0"/>
    <x v="530"/>
    <x v="0"/>
    <x v="0"/>
    <x v="0"/>
    <x v="4"/>
    <s v="Faber Castell Col-Erase Pencils"/>
    <n v="9.7799999999999994"/>
    <n v="2"/>
    <x v="0"/>
    <n v="4.01"/>
    <x v="0"/>
  </r>
  <r>
    <s v="CA-2014-166933"/>
    <x v="594"/>
    <x v="10"/>
    <d v="2014-04-29T00:00:00"/>
    <x v="0"/>
    <x v="324"/>
    <x v="0"/>
    <x v="136"/>
    <x v="0"/>
    <x v="12"/>
    <s v="Colored Push Pins"/>
    <n v="1.81"/>
    <n v="1"/>
    <x v="2"/>
    <n v="0.65"/>
    <x v="0"/>
  </r>
  <r>
    <s v="CA-2013-134936"/>
    <x v="595"/>
    <x v="1"/>
    <d v="2013-12-26T00:00:00"/>
    <x v="0"/>
    <x v="74"/>
    <x v="0"/>
    <x v="26"/>
    <x v="3"/>
    <x v="5"/>
    <s v="SAFCO PlanMaster Boards, 60w x 37-1/2d, White Melamine"/>
    <n v="455.97"/>
    <n v="6"/>
    <x v="0"/>
    <n v="-218.87"/>
    <x v="0"/>
  </r>
  <r>
    <s v="CA-2014-151008"/>
    <x v="75"/>
    <x v="4"/>
    <d v="2014-09-09T00:00:00"/>
    <x v="0"/>
    <x v="288"/>
    <x v="0"/>
    <x v="137"/>
    <x v="2"/>
    <x v="1"/>
    <s v="DAX Copper Panel Document Frame, 5 x 7 Size"/>
    <n v="25.16"/>
    <n v="2"/>
    <x v="0"/>
    <n v="10.57"/>
    <x v="0"/>
  </r>
  <r>
    <s v="CA-2011-159800"/>
    <x v="589"/>
    <x v="7"/>
    <d v="2011-12-01T00:00:00"/>
    <x v="0"/>
    <x v="483"/>
    <x v="0"/>
    <x v="3"/>
    <x v="0"/>
    <x v="9"/>
    <s v="Acco 6 Outlet Guardian Premium Surge Suppressor"/>
    <n v="43.68"/>
    <n v="3"/>
    <x v="0"/>
    <n v="11.79"/>
    <x v="0"/>
  </r>
  <r>
    <s v="US-2012-114741"/>
    <x v="152"/>
    <x v="1"/>
    <d v="2012-12-10T00:00:00"/>
    <x v="0"/>
    <x v="277"/>
    <x v="0"/>
    <x v="68"/>
    <x v="7"/>
    <x v="8"/>
    <s v="Xerox 20"/>
    <n v="6.48"/>
    <n v="1"/>
    <x v="2"/>
    <n v="3.11"/>
    <x v="0"/>
  </r>
  <r>
    <s v="CA-2013-136686"/>
    <x v="596"/>
    <x v="1"/>
    <d v="2013-12-17T00:00:00"/>
    <x v="0"/>
    <x v="531"/>
    <x v="0"/>
    <x v="10"/>
    <x v="0"/>
    <x v="1"/>
    <s v="Howard Miller 14-1/2&quot; Diameter Chrome Round Wall Clock"/>
    <n v="383.64"/>
    <n v="6"/>
    <x v="0"/>
    <n v="122.76"/>
    <x v="0"/>
  </r>
  <r>
    <s v="CA-2014-137498"/>
    <x v="586"/>
    <x v="4"/>
    <d v="2014-09-15T00:00:00"/>
    <x v="0"/>
    <x v="390"/>
    <x v="0"/>
    <x v="0"/>
    <x v="0"/>
    <x v="4"/>
    <s v="Newell 35"/>
    <n v="6.56"/>
    <n v="2"/>
    <x v="0"/>
    <n v="1.9"/>
    <x v="0"/>
  </r>
  <r>
    <s v="CA-2011-116673"/>
    <x v="597"/>
    <x v="1"/>
    <d v="2011-12-19T00:00:00"/>
    <x v="0"/>
    <x v="40"/>
    <x v="0"/>
    <x v="18"/>
    <x v="0"/>
    <x v="1"/>
    <s v="Stackable Trays"/>
    <n v="6.16"/>
    <n v="2"/>
    <x v="0"/>
    <n v="1.97"/>
    <x v="0"/>
  </r>
  <r>
    <s v="CA-2012-149993"/>
    <x v="216"/>
    <x v="9"/>
    <d v="2012-03-20T00:00:00"/>
    <x v="0"/>
    <x v="348"/>
    <x v="0"/>
    <x v="43"/>
    <x v="0"/>
    <x v="12"/>
    <s v="Stockwell Push Pins"/>
    <n v="10.9"/>
    <n v="5"/>
    <x v="0"/>
    <n v="3.6"/>
    <x v="0"/>
  </r>
  <r>
    <s v="CA-2011-168158"/>
    <x v="598"/>
    <x v="6"/>
    <d v="2011-07-24T00:00:00"/>
    <x v="0"/>
    <x v="364"/>
    <x v="0"/>
    <x v="34"/>
    <x v="8"/>
    <x v="2"/>
    <s v="Acco Pressboard Covers with Storage Hooks, 14 7/8&quot; x 11&quot;, Dark Blue"/>
    <n v="6.1"/>
    <n v="2"/>
    <x v="0"/>
    <n v="2.21"/>
    <x v="0"/>
  </r>
  <r>
    <s v="CA-2013-115224"/>
    <x v="423"/>
    <x v="1"/>
    <d v="2013-12-12T00:00:00"/>
    <x v="0"/>
    <x v="46"/>
    <x v="0"/>
    <x v="3"/>
    <x v="0"/>
    <x v="3"/>
    <s v="SimpliFile Personal File, Black Granite, 15w x 6-15/16d x 11-1/4h"/>
    <n v="34.049999999999997"/>
    <n v="3"/>
    <x v="0"/>
    <n v="9.5299999999999994"/>
    <x v="0"/>
  </r>
  <r>
    <s v="CA-2012-168634"/>
    <x v="152"/>
    <x v="1"/>
    <d v="2012-12-11T00:00:00"/>
    <x v="0"/>
    <x v="532"/>
    <x v="0"/>
    <x v="3"/>
    <x v="0"/>
    <x v="9"/>
    <s v="Commercial WindTunnel Clean Air Upright Vacuum, Replacement Belts, Filtration Bags"/>
    <n v="7.78"/>
    <n v="2"/>
    <x v="0"/>
    <n v="2.02"/>
    <x v="0"/>
  </r>
  <r>
    <s v="CA-2014-121027"/>
    <x v="486"/>
    <x v="3"/>
    <d v="2014-08-23T00:00:00"/>
    <x v="0"/>
    <x v="111"/>
    <x v="0"/>
    <x v="1"/>
    <x v="1"/>
    <x v="6"/>
    <s v="Plantronics Savi W720 Multi-Device Wireless Headset System"/>
    <n v="843.9"/>
    <n v="2"/>
    <x v="0"/>
    <n v="371.32"/>
    <x v="2"/>
  </r>
  <r>
    <s v="CA-2012-101154"/>
    <x v="86"/>
    <x v="4"/>
    <d v="2012-09-21T00:00:00"/>
    <x v="0"/>
    <x v="392"/>
    <x v="0"/>
    <x v="18"/>
    <x v="0"/>
    <x v="3"/>
    <s v="Stur-D-Stor Shelving, Vertical 5-Shelf: 72&quot;H x 36&quot;W x 18 1/2&quot;D"/>
    <n v="443.92"/>
    <n v="4"/>
    <x v="0"/>
    <n v="8.8800000000000008"/>
    <x v="0"/>
  </r>
  <r>
    <s v="CA-2013-121748"/>
    <x v="599"/>
    <x v="8"/>
    <d v="2013-10-29T00:00:00"/>
    <x v="0"/>
    <x v="202"/>
    <x v="0"/>
    <x v="0"/>
    <x v="0"/>
    <x v="6"/>
    <s v="Micro Innovations USB RF Wireless Keyboard with Mouse"/>
    <n v="100"/>
    <n v="4"/>
    <x v="0"/>
    <n v="21"/>
    <x v="0"/>
  </r>
  <r>
    <s v="CA-2011-126683"/>
    <x v="159"/>
    <x v="4"/>
    <d v="2011-10-01T00:00:00"/>
    <x v="0"/>
    <x v="533"/>
    <x v="0"/>
    <x v="1"/>
    <x v="1"/>
    <x v="1"/>
    <s v="Longer-Life Soft White Bulbs"/>
    <n v="6.16"/>
    <n v="2"/>
    <x v="0"/>
    <n v="2.96"/>
    <x v="0"/>
  </r>
  <r>
    <s v="CA-2014-123022"/>
    <x v="432"/>
    <x v="4"/>
    <d v="2014-09-09T00:00:00"/>
    <x v="0"/>
    <x v="492"/>
    <x v="0"/>
    <x v="138"/>
    <x v="0"/>
    <x v="2"/>
    <s v="Square Ring Data Binders, Rigid 75 Pt. Covers, 11&quot; x 14-7/8&quot;"/>
    <n v="82.56"/>
    <n v="5"/>
    <x v="0"/>
    <n v="28.9"/>
    <x v="0"/>
  </r>
  <r>
    <s v="CA-2011-154893"/>
    <x v="600"/>
    <x v="1"/>
    <d v="2011-12-27T00:00:00"/>
    <x v="0"/>
    <x v="112"/>
    <x v="0"/>
    <x v="18"/>
    <x v="0"/>
    <x v="7"/>
    <s v="SAFCO Arco Folding Chair"/>
    <n v="1325.76"/>
    <n v="6"/>
    <x v="0"/>
    <n v="149.15"/>
    <x v="1"/>
  </r>
  <r>
    <s v="CA-2014-120719"/>
    <x v="312"/>
    <x v="9"/>
    <d v="2014-03-27T00:00:00"/>
    <x v="0"/>
    <x v="380"/>
    <x v="0"/>
    <x v="1"/>
    <x v="1"/>
    <x v="2"/>
    <s v="Cardinal Slant-D Ring Binder, Heavy Gauge Vinyl"/>
    <n v="34.76"/>
    <n v="5"/>
    <x v="0"/>
    <n v="11.3"/>
    <x v="0"/>
  </r>
  <r>
    <s v="CA-2014-168179"/>
    <x v="369"/>
    <x v="7"/>
    <d v="2014-11-08T00:00:00"/>
    <x v="0"/>
    <x v="534"/>
    <x v="0"/>
    <x v="90"/>
    <x v="2"/>
    <x v="8"/>
    <s v="Xerox 220"/>
    <n v="19.440000000000001"/>
    <n v="3"/>
    <x v="0"/>
    <n v="9.33"/>
    <x v="0"/>
  </r>
  <r>
    <s v="CA-2014-142342"/>
    <x v="513"/>
    <x v="6"/>
    <d v="2014-07-20T00:00:00"/>
    <x v="0"/>
    <x v="336"/>
    <x v="0"/>
    <x v="109"/>
    <x v="0"/>
    <x v="8"/>
    <s v="Xerox 221"/>
    <n v="32.4"/>
    <n v="5"/>
    <x v="0"/>
    <n v="15.55"/>
    <x v="0"/>
  </r>
  <r>
    <s v="US-2011-134187"/>
    <x v="352"/>
    <x v="7"/>
    <d v="2011-11-11T00:00:00"/>
    <x v="1"/>
    <x v="445"/>
    <x v="0"/>
    <x v="23"/>
    <x v="0"/>
    <x v="4"/>
    <s v="Newell 343"/>
    <n v="2.94"/>
    <n v="1"/>
    <x v="2"/>
    <n v="0.79"/>
    <x v="0"/>
  </r>
  <r>
    <s v="CA-2013-145261"/>
    <x v="174"/>
    <x v="1"/>
    <d v="2013-12-22T00:00:00"/>
    <x v="0"/>
    <x v="270"/>
    <x v="0"/>
    <x v="38"/>
    <x v="4"/>
    <x v="2"/>
    <s v="Vinyl Sectional Post Binders"/>
    <n v="45.24"/>
    <n v="4"/>
    <x v="0"/>
    <n v="-30.16"/>
    <x v="0"/>
  </r>
  <r>
    <s v="CA-2013-108875"/>
    <x v="309"/>
    <x v="4"/>
    <d v="2013-10-02T00:00:00"/>
    <x v="1"/>
    <x v="490"/>
    <x v="0"/>
    <x v="7"/>
    <x v="5"/>
    <x v="1"/>
    <s v="Electrix 20W Halogen Replacement Bulb for Zoom-In Desk Lamp"/>
    <n v="21.44"/>
    <n v="2"/>
    <x v="0"/>
    <n v="7.5"/>
    <x v="0"/>
  </r>
  <r>
    <s v="CA-2013-142405"/>
    <x v="601"/>
    <x v="0"/>
    <d v="2013-06-16T00:00:00"/>
    <x v="0"/>
    <x v="338"/>
    <x v="0"/>
    <x v="1"/>
    <x v="1"/>
    <x v="0"/>
    <s v="Avery 486"/>
    <n v="14.62"/>
    <n v="2"/>
    <x v="0"/>
    <n v="6.87"/>
    <x v="0"/>
  </r>
  <r>
    <s v="CA-2012-141012"/>
    <x v="602"/>
    <x v="0"/>
    <d v="2012-06-11T00:00:00"/>
    <x v="0"/>
    <x v="83"/>
    <x v="0"/>
    <x v="139"/>
    <x v="9"/>
    <x v="1"/>
    <s v="Luxo Adjustable Task Clamp Lamp"/>
    <n v="355.36"/>
    <n v="4"/>
    <x v="0"/>
    <n v="92.39"/>
    <x v="0"/>
  </r>
  <r>
    <s v="CA-2013-146318"/>
    <x v="347"/>
    <x v="5"/>
    <d v="2013-01-27T00:00:00"/>
    <x v="0"/>
    <x v="260"/>
    <x v="0"/>
    <x v="1"/>
    <x v="1"/>
    <x v="8"/>
    <s v="Xerox 218"/>
    <n v="12.96"/>
    <n v="2"/>
    <x v="0"/>
    <n v="6.22"/>
    <x v="0"/>
  </r>
  <r>
    <s v="CA-2011-135993"/>
    <x v="603"/>
    <x v="2"/>
    <d v="2011-06-02T00:00:00"/>
    <x v="0"/>
    <x v="535"/>
    <x v="0"/>
    <x v="1"/>
    <x v="1"/>
    <x v="11"/>
    <s v="I Need's 3d Hello Kitty Hybrid Silicone Case Cover for HTC One X 4g with 3d Hello Kitty Stylus Pen Green/pink"/>
    <n v="57.41"/>
    <n v="6"/>
    <x v="0"/>
    <n v="5.74"/>
    <x v="0"/>
  </r>
  <r>
    <s v="CA-2012-131072"/>
    <x v="549"/>
    <x v="7"/>
    <d v="2012-11-05T00:00:00"/>
    <x v="0"/>
    <x v="48"/>
    <x v="0"/>
    <x v="1"/>
    <x v="1"/>
    <x v="2"/>
    <s v="Avery Trapezoid Ring Binder, 3&quot; Capacity, Black, 1040 sheets"/>
    <n v="98.35"/>
    <n v="3"/>
    <x v="0"/>
    <n v="35.65"/>
    <x v="0"/>
  </r>
  <r>
    <s v="CA-2013-126165"/>
    <x v="334"/>
    <x v="2"/>
    <d v="2013-05-08T00:00:00"/>
    <x v="0"/>
    <x v="536"/>
    <x v="0"/>
    <x v="3"/>
    <x v="0"/>
    <x v="5"/>
    <s v="Hon 61000 Series Interactive Training Tables"/>
    <n v="71.09"/>
    <n v="2"/>
    <x v="0"/>
    <n v="-1.78"/>
    <x v="0"/>
  </r>
  <r>
    <s v="CA-2014-148320"/>
    <x v="56"/>
    <x v="7"/>
    <d v="2014-11-09T00:00:00"/>
    <x v="0"/>
    <x v="247"/>
    <x v="0"/>
    <x v="3"/>
    <x v="0"/>
    <x v="8"/>
    <s v="Xerox 1992"/>
    <n v="35.880000000000003"/>
    <n v="6"/>
    <x v="0"/>
    <n v="17.579999999999998"/>
    <x v="0"/>
  </r>
  <r>
    <s v="CA-2012-138674"/>
    <x v="604"/>
    <x v="7"/>
    <d v="2012-11-17T00:00:00"/>
    <x v="0"/>
    <x v="440"/>
    <x v="0"/>
    <x v="80"/>
    <x v="4"/>
    <x v="12"/>
    <s v="Advantus Push Pins"/>
    <n v="8.7200000000000006"/>
    <n v="5"/>
    <x v="0"/>
    <n v="2.29"/>
    <x v="0"/>
  </r>
  <r>
    <s v="CA-2013-165820"/>
    <x v="340"/>
    <x v="4"/>
    <d v="2013-10-01T00:00:00"/>
    <x v="0"/>
    <x v="537"/>
    <x v="0"/>
    <x v="3"/>
    <x v="0"/>
    <x v="8"/>
    <s v="Xerox 1905"/>
    <n v="12.96"/>
    <n v="2"/>
    <x v="0"/>
    <n v="6.22"/>
    <x v="0"/>
  </r>
  <r>
    <s v="CA-2011-148614"/>
    <x v="605"/>
    <x v="5"/>
    <d v="2011-01-26T00:00:00"/>
    <x v="0"/>
    <x v="450"/>
    <x v="0"/>
    <x v="0"/>
    <x v="0"/>
    <x v="8"/>
    <s v="Wirebound Service Call Books, 5 1/2&quot; x 4&quot;"/>
    <n v="19.36"/>
    <n v="2"/>
    <x v="0"/>
    <n v="9.2899999999999991"/>
    <x v="0"/>
  </r>
  <r>
    <s v="CA-2014-156139"/>
    <x v="160"/>
    <x v="5"/>
    <d v="2014-01-07T00:00:00"/>
    <x v="0"/>
    <x v="538"/>
    <x v="0"/>
    <x v="3"/>
    <x v="0"/>
    <x v="2"/>
    <s v="GBC Pre-Punched Binding Paper, Plastic, White, 8-1/2&quot; x 11&quot;"/>
    <n v="38.380000000000003"/>
    <n v="3"/>
    <x v="0"/>
    <n v="13.43"/>
    <x v="0"/>
  </r>
  <r>
    <s v="US-2014-147886"/>
    <x v="606"/>
    <x v="9"/>
    <d v="2014-04-01T00:00:00"/>
    <x v="0"/>
    <x v="539"/>
    <x v="0"/>
    <x v="61"/>
    <x v="0"/>
    <x v="8"/>
    <s v="Xerox 1975"/>
    <n v="12.96"/>
    <n v="2"/>
    <x v="0"/>
    <n v="6.35"/>
    <x v="0"/>
  </r>
  <r>
    <s v="CA-2013-125850"/>
    <x v="347"/>
    <x v="5"/>
    <d v="2013-01-28T00:00:00"/>
    <x v="0"/>
    <x v="80"/>
    <x v="0"/>
    <x v="18"/>
    <x v="0"/>
    <x v="0"/>
    <s v="Avery 475"/>
    <n v="44.4"/>
    <n v="3"/>
    <x v="0"/>
    <n v="22.2"/>
    <x v="0"/>
  </r>
  <r>
    <s v="US-2013-111528"/>
    <x v="607"/>
    <x v="1"/>
    <d v="2013-12-31T00:00:00"/>
    <x v="0"/>
    <x v="540"/>
    <x v="0"/>
    <x v="0"/>
    <x v="0"/>
    <x v="3"/>
    <s v="Iceberg Mobile Mega Data/Printer Cart "/>
    <n v="481.32"/>
    <n v="4"/>
    <x v="0"/>
    <n v="125.14"/>
    <x v="0"/>
  </r>
  <r>
    <s v="CA-2014-158169"/>
    <x v="608"/>
    <x v="3"/>
    <d v="2014-08-16T00:00:00"/>
    <x v="0"/>
    <x v="288"/>
    <x v="0"/>
    <x v="140"/>
    <x v="0"/>
    <x v="9"/>
    <s v="Avanti 4.4 Cu. Ft. Refrigerator"/>
    <n v="542.94000000000005"/>
    <n v="3"/>
    <x v="0"/>
    <n v="152.02000000000001"/>
    <x v="2"/>
  </r>
  <r>
    <s v="CA-2012-117772"/>
    <x v="87"/>
    <x v="4"/>
    <d v="2012-09-12T00:00:00"/>
    <x v="0"/>
    <x v="238"/>
    <x v="0"/>
    <x v="1"/>
    <x v="1"/>
    <x v="3"/>
    <s v="Belkin 19&quot; Center-Weighted Shelf, Gray"/>
    <n v="353.88"/>
    <n v="6"/>
    <x v="0"/>
    <n v="17.690000000000001"/>
    <x v="0"/>
  </r>
  <r>
    <s v="US-2011-126340"/>
    <x v="609"/>
    <x v="7"/>
    <d v="2011-11-14T00:00:00"/>
    <x v="0"/>
    <x v="5"/>
    <x v="0"/>
    <x v="141"/>
    <x v="0"/>
    <x v="11"/>
    <s v="Toshiba IPT2010-SD IP Telephone"/>
    <n v="333.58"/>
    <n v="3"/>
    <x v="0"/>
    <n v="25.02"/>
    <x v="0"/>
  </r>
  <r>
    <s v="CA-2012-103835"/>
    <x v="536"/>
    <x v="4"/>
    <d v="2012-09-28T00:00:00"/>
    <x v="0"/>
    <x v="188"/>
    <x v="0"/>
    <x v="0"/>
    <x v="0"/>
    <x v="1"/>
    <s v="DAX Value U-Channel Document Frames, Easel Back"/>
    <n v="14.91"/>
    <n v="3"/>
    <x v="0"/>
    <n v="4.62"/>
    <x v="0"/>
  </r>
  <r>
    <s v="CA-2013-142398"/>
    <x v="610"/>
    <x v="10"/>
    <d v="2013-04-17T00:00:00"/>
    <x v="0"/>
    <x v="541"/>
    <x v="0"/>
    <x v="0"/>
    <x v="0"/>
    <x v="7"/>
    <s v="Hon Comfortask Task/Swivel Chairs"/>
    <n v="638.29"/>
    <n v="7"/>
    <x v="1"/>
    <n v="-31.91"/>
    <x v="2"/>
  </r>
  <r>
    <s v="CA-2013-112060"/>
    <x v="611"/>
    <x v="1"/>
    <d v="2013-12-10T00:00:00"/>
    <x v="0"/>
    <x v="177"/>
    <x v="0"/>
    <x v="3"/>
    <x v="0"/>
    <x v="8"/>
    <s v="Xerox 1915"/>
    <n v="104.85"/>
    <n v="1"/>
    <x v="2"/>
    <n v="50.33"/>
    <x v="0"/>
  </r>
  <r>
    <s v="CA-2011-105270"/>
    <x v="137"/>
    <x v="7"/>
    <d v="2011-11-18T00:00:00"/>
    <x v="1"/>
    <x v="154"/>
    <x v="0"/>
    <x v="0"/>
    <x v="0"/>
    <x v="4"/>
    <s v="50 Colored Long Pencils"/>
    <n v="30.48"/>
    <n v="3"/>
    <x v="0"/>
    <n v="7.92"/>
    <x v="0"/>
  </r>
  <r>
    <s v="US-2012-159513"/>
    <x v="612"/>
    <x v="10"/>
    <d v="2012-04-09T00:00:00"/>
    <x v="1"/>
    <x v="542"/>
    <x v="0"/>
    <x v="0"/>
    <x v="0"/>
    <x v="16"/>
    <s v="Vtech AT&amp;T CL2940 Corded Speakerphone, Black"/>
    <n v="71.98"/>
    <n v="3"/>
    <x v="0"/>
    <n v="24.29"/>
    <x v="0"/>
  </r>
  <r>
    <s v="CA-2012-155586"/>
    <x v="111"/>
    <x v="1"/>
    <d v="2012-12-16T00:00:00"/>
    <x v="0"/>
    <x v="65"/>
    <x v="0"/>
    <x v="142"/>
    <x v="0"/>
    <x v="4"/>
    <s v="Newell 311"/>
    <n v="2.21"/>
    <n v="1"/>
    <x v="2"/>
    <n v="0.6"/>
    <x v="0"/>
  </r>
  <r>
    <s v="CA-2014-141117"/>
    <x v="462"/>
    <x v="8"/>
    <d v="2014-10-09T00:00:00"/>
    <x v="0"/>
    <x v="543"/>
    <x v="0"/>
    <x v="80"/>
    <x v="4"/>
    <x v="15"/>
    <s v="O'Sullivan 4-Shelf Bookcase in Odessa Pine"/>
    <n v="217.76"/>
    <n v="6"/>
    <x v="0"/>
    <n v="-384.72"/>
    <x v="0"/>
  </r>
  <r>
    <s v="CA-2014-140186"/>
    <x v="613"/>
    <x v="4"/>
    <d v="2014-10-03T00:00:00"/>
    <x v="0"/>
    <x v="115"/>
    <x v="0"/>
    <x v="104"/>
    <x v="0"/>
    <x v="12"/>
    <s v="Advantus Plastic Paper Clips"/>
    <n v="35"/>
    <n v="7"/>
    <x v="1"/>
    <n v="16.8"/>
    <x v="0"/>
  </r>
  <r>
    <s v="CA-2012-163440"/>
    <x v="614"/>
    <x v="9"/>
    <d v="2012-03-24T00:00:00"/>
    <x v="0"/>
    <x v="26"/>
    <x v="0"/>
    <x v="94"/>
    <x v="0"/>
    <x v="11"/>
    <s v="Square Credit Card Reader"/>
    <n v="15.98"/>
    <n v="2"/>
    <x v="0"/>
    <n v="1.2"/>
    <x v="0"/>
  </r>
  <r>
    <s v="US-2012-163279"/>
    <x v="614"/>
    <x v="9"/>
    <d v="2012-03-26T00:00:00"/>
    <x v="0"/>
    <x v="544"/>
    <x v="0"/>
    <x v="18"/>
    <x v="0"/>
    <x v="8"/>
    <s v="Staples"/>
    <n v="105.52"/>
    <n v="4"/>
    <x v="0"/>
    <n v="48.54"/>
    <x v="0"/>
  </r>
  <r>
    <s v="CA-2014-117632"/>
    <x v="615"/>
    <x v="2"/>
    <d v="2014-05-19T00:00:00"/>
    <x v="0"/>
    <x v="545"/>
    <x v="0"/>
    <x v="3"/>
    <x v="0"/>
    <x v="14"/>
    <s v="Compact Automatic Electric Letter Opener"/>
    <n v="238.62"/>
    <n v="2"/>
    <x v="0"/>
    <n v="4.7699999999999996"/>
    <x v="0"/>
  </r>
  <r>
    <s v="CA-2012-111206"/>
    <x v="616"/>
    <x v="6"/>
    <d v="2012-07-22T00:00:00"/>
    <x v="0"/>
    <x v="133"/>
    <x v="0"/>
    <x v="18"/>
    <x v="0"/>
    <x v="6"/>
    <s v="Logitech G35 7.1-Channel Surround Sound Headset"/>
    <n v="519.96"/>
    <n v="4"/>
    <x v="0"/>
    <n v="176.79"/>
    <x v="2"/>
  </r>
  <r>
    <s v="CA-2014-133207"/>
    <x v="263"/>
    <x v="7"/>
    <d v="2014-12-04T00:00:00"/>
    <x v="0"/>
    <x v="546"/>
    <x v="0"/>
    <x v="0"/>
    <x v="0"/>
    <x v="11"/>
    <s v="Griffin GC17055 Auxiliary Audio Cable"/>
    <n v="57.57"/>
    <n v="4"/>
    <x v="0"/>
    <n v="5.76"/>
    <x v="0"/>
  </r>
  <r>
    <s v="CA-2012-132948"/>
    <x v="617"/>
    <x v="9"/>
    <d v="2012-04-03T00:00:00"/>
    <x v="1"/>
    <x v="450"/>
    <x v="0"/>
    <x v="1"/>
    <x v="1"/>
    <x v="3"/>
    <s v="Rogers Profile Extra Capacity Storage Tub"/>
    <n v="83.7"/>
    <n v="5"/>
    <x v="0"/>
    <n v="3.35"/>
    <x v="0"/>
  </r>
  <r>
    <s v="CA-2012-126725"/>
    <x v="618"/>
    <x v="7"/>
    <d v="2012-11-21T00:00:00"/>
    <x v="0"/>
    <x v="547"/>
    <x v="0"/>
    <x v="18"/>
    <x v="0"/>
    <x v="11"/>
    <s v="RCA ViSYS 25825 Wireless digital phone"/>
    <n v="415.97"/>
    <n v="4"/>
    <x v="0"/>
    <n v="52"/>
    <x v="0"/>
  </r>
  <r>
    <s v="US-2014-153255"/>
    <x v="432"/>
    <x v="4"/>
    <d v="2014-09-08T00:00:00"/>
    <x v="0"/>
    <x v="548"/>
    <x v="0"/>
    <x v="31"/>
    <x v="0"/>
    <x v="15"/>
    <s v="Bush Heritage Pine Collection 5-Shelf Bookcase, Albany Pine Finish, *Special Order"/>
    <n v="239.67"/>
    <n v="2"/>
    <x v="0"/>
    <n v="14.1"/>
    <x v="0"/>
  </r>
  <r>
    <s v="CA-2013-152247"/>
    <x v="27"/>
    <x v="7"/>
    <d v="2013-11-13T00:00:00"/>
    <x v="0"/>
    <x v="439"/>
    <x v="0"/>
    <x v="143"/>
    <x v="10"/>
    <x v="7"/>
    <s v="Global Troy Executive Leather Low-Back Tilter"/>
    <n v="1603.14"/>
    <n v="4"/>
    <x v="0"/>
    <n v="100.2"/>
    <x v="1"/>
  </r>
  <r>
    <s v="CA-2013-128223"/>
    <x v="154"/>
    <x v="0"/>
    <d v="2013-06-15T00:00:00"/>
    <x v="0"/>
    <x v="262"/>
    <x v="0"/>
    <x v="36"/>
    <x v="0"/>
    <x v="5"/>
    <s v="Bush Cubix Conference Tables, Fully Assembled"/>
    <n v="1293.49"/>
    <n v="7"/>
    <x v="1"/>
    <n v="80.84"/>
    <x v="1"/>
  </r>
  <r>
    <s v="CA-2013-133935"/>
    <x v="619"/>
    <x v="4"/>
    <d v="2013-09-23T00:00:00"/>
    <x v="0"/>
    <x v="196"/>
    <x v="0"/>
    <x v="18"/>
    <x v="0"/>
    <x v="7"/>
    <s v="Global Troy Executive Leather Low-Back Tilter"/>
    <n v="801.57"/>
    <n v="2"/>
    <x v="0"/>
    <n v="50.1"/>
    <x v="2"/>
  </r>
  <r>
    <s v="CA-2013-136301"/>
    <x v="21"/>
    <x v="9"/>
    <d v="2013-03-16T00:00:00"/>
    <x v="0"/>
    <x v="482"/>
    <x v="0"/>
    <x v="3"/>
    <x v="0"/>
    <x v="1"/>
    <s v="Westinghouse Mesh Shade Clip-On Gooseneck Lamp, Black"/>
    <n v="28.28"/>
    <n v="2"/>
    <x v="0"/>
    <n v="7.35"/>
    <x v="0"/>
  </r>
  <r>
    <s v="US-2011-109456"/>
    <x v="620"/>
    <x v="8"/>
    <d v="2011-10-17T00:00:00"/>
    <x v="0"/>
    <x v="549"/>
    <x v="0"/>
    <x v="3"/>
    <x v="0"/>
    <x v="2"/>
    <s v="Avery Non-Stick Heavy Duty View Round Locking Ring Binders"/>
    <n v="14.35"/>
    <n v="3"/>
    <x v="0"/>
    <n v="5.0199999999999996"/>
    <x v="0"/>
  </r>
  <r>
    <s v="CA-2014-100825"/>
    <x v="586"/>
    <x v="4"/>
    <d v="2014-09-15T00:00:00"/>
    <x v="0"/>
    <x v="550"/>
    <x v="0"/>
    <x v="0"/>
    <x v="0"/>
    <x v="3"/>
    <s v="Fellowes Bases and Tops For Staxonsteel/High-Stak Systems"/>
    <n v="99.87"/>
    <n v="3"/>
    <x v="0"/>
    <n v="23.97"/>
    <x v="0"/>
  </r>
  <r>
    <s v="CA-2011-168305"/>
    <x v="116"/>
    <x v="7"/>
    <d v="2011-11-08T00:00:00"/>
    <x v="1"/>
    <x v="424"/>
    <x v="0"/>
    <x v="0"/>
    <x v="0"/>
    <x v="0"/>
    <s v="Avery 475"/>
    <n v="44.4"/>
    <n v="3"/>
    <x v="0"/>
    <n v="22.2"/>
    <x v="0"/>
  </r>
  <r>
    <s v="CA-2014-108000"/>
    <x v="621"/>
    <x v="5"/>
    <d v="2014-01-17T00:00:00"/>
    <x v="0"/>
    <x v="160"/>
    <x v="0"/>
    <x v="3"/>
    <x v="0"/>
    <x v="10"/>
    <s v="Staples"/>
    <n v="9.7799999999999994"/>
    <n v="1"/>
    <x v="2"/>
    <n v="4.8899999999999997"/>
    <x v="0"/>
  </r>
  <r>
    <s v="CA-2012-146465"/>
    <x v="148"/>
    <x v="7"/>
    <d v="2012-11-24T00:00:00"/>
    <x v="0"/>
    <x v="278"/>
    <x v="0"/>
    <x v="3"/>
    <x v="0"/>
    <x v="2"/>
    <s v="Cardinal Poly Pocket Divider Pockets for Ring Binders"/>
    <n v="24.19"/>
    <n v="9"/>
    <x v="1"/>
    <n v="7.56"/>
    <x v="0"/>
  </r>
  <r>
    <s v="US-2014-153948"/>
    <x v="12"/>
    <x v="7"/>
    <d v="2014-11-07T00:00:00"/>
    <x v="0"/>
    <x v="29"/>
    <x v="0"/>
    <x v="3"/>
    <x v="0"/>
    <x v="8"/>
    <s v="Xerox 191"/>
    <n v="59.94"/>
    <n v="3"/>
    <x v="0"/>
    <n v="28.17"/>
    <x v="0"/>
  </r>
  <r>
    <s v="US-2013-113985"/>
    <x v="197"/>
    <x v="1"/>
    <d v="2013-12-08T00:00:00"/>
    <x v="0"/>
    <x v="550"/>
    <x v="0"/>
    <x v="12"/>
    <x v="0"/>
    <x v="2"/>
    <s v="GBC VeloBind Cover Sets"/>
    <n v="24.7"/>
    <n v="2"/>
    <x v="0"/>
    <n v="9.26"/>
    <x v="0"/>
  </r>
  <r>
    <s v="CA-2013-155383"/>
    <x v="443"/>
    <x v="1"/>
    <d v="2013-12-23T00:00:00"/>
    <x v="0"/>
    <x v="551"/>
    <x v="0"/>
    <x v="1"/>
    <x v="1"/>
    <x v="3"/>
    <s v="Personal Filing Tote with Lid, Black/Gray"/>
    <n v="46.53"/>
    <n v="3"/>
    <x v="0"/>
    <n v="13.03"/>
    <x v="0"/>
  </r>
  <r>
    <s v="CA-2014-150420"/>
    <x v="622"/>
    <x v="0"/>
    <d v="2014-06-09T00:00:00"/>
    <x v="0"/>
    <x v="552"/>
    <x v="0"/>
    <x v="99"/>
    <x v="1"/>
    <x v="6"/>
    <s v="Plantronics Audio 995 Wireless Stereo Headset"/>
    <n v="1099.5"/>
    <n v="10"/>
    <x v="1"/>
    <n v="362.84"/>
    <x v="1"/>
  </r>
  <r>
    <s v="CA-2013-103107"/>
    <x v="500"/>
    <x v="6"/>
    <d v="2013-07-05T00:00:00"/>
    <x v="0"/>
    <x v="92"/>
    <x v="0"/>
    <x v="1"/>
    <x v="1"/>
    <x v="1"/>
    <s v="Master Caster Door Stop, Brown"/>
    <n v="25.4"/>
    <n v="5"/>
    <x v="0"/>
    <n v="8.64"/>
    <x v="0"/>
  </r>
  <r>
    <s v="CA-2014-112431"/>
    <x v="315"/>
    <x v="8"/>
    <d v="2014-10-15T00:00:00"/>
    <x v="0"/>
    <x v="553"/>
    <x v="0"/>
    <x v="0"/>
    <x v="0"/>
    <x v="6"/>
    <s v="SanDisk Cruzer 64 GB USB Flash Drive"/>
    <n v="435.84"/>
    <n v="12"/>
    <x v="1"/>
    <n v="130.75"/>
    <x v="0"/>
  </r>
  <r>
    <s v="CA-2013-151092"/>
    <x v="623"/>
    <x v="3"/>
    <d v="2013-08-14T00:00:00"/>
    <x v="1"/>
    <x v="136"/>
    <x v="0"/>
    <x v="0"/>
    <x v="0"/>
    <x v="11"/>
    <s v="Panasonic KX-TG6844B Expandable Digital Cordless Telephone"/>
    <n v="211.17"/>
    <n v="4"/>
    <x v="0"/>
    <n v="18.48"/>
    <x v="0"/>
  </r>
  <r>
    <s v="CA-2011-104178"/>
    <x v="624"/>
    <x v="3"/>
    <d v="2011-08-29T00:00:00"/>
    <x v="0"/>
    <x v="554"/>
    <x v="0"/>
    <x v="0"/>
    <x v="0"/>
    <x v="1"/>
    <s v="Eldon 200 Class Desk Accessories, Smoke"/>
    <n v="6.28"/>
    <n v="1"/>
    <x v="2"/>
    <n v="2.64"/>
    <x v="0"/>
  </r>
  <r>
    <s v="CA-2013-127138"/>
    <x v="625"/>
    <x v="9"/>
    <d v="2013-03-16T00:00:00"/>
    <x v="0"/>
    <x v="76"/>
    <x v="0"/>
    <x v="3"/>
    <x v="0"/>
    <x v="3"/>
    <s v="Tennsco Stur-D-Stor Boltless Shelving, 5 Shelves, 24&quot; Deep, Sand"/>
    <n v="676.55"/>
    <n v="5"/>
    <x v="0"/>
    <n v="6.77"/>
    <x v="2"/>
  </r>
  <r>
    <s v="CA-2014-150602"/>
    <x v="626"/>
    <x v="11"/>
    <d v="2014-02-15T00:00:00"/>
    <x v="0"/>
    <x v="213"/>
    <x v="0"/>
    <x v="0"/>
    <x v="0"/>
    <x v="1"/>
    <s v="Master Big Foot Doorstop, Beige"/>
    <n v="21.12"/>
    <n v="4"/>
    <x v="0"/>
    <n v="6.55"/>
    <x v="0"/>
  </r>
  <r>
    <s v="CA-2011-140732"/>
    <x v="137"/>
    <x v="7"/>
    <d v="2011-11-13T00:00:00"/>
    <x v="0"/>
    <x v="555"/>
    <x v="0"/>
    <x v="0"/>
    <x v="0"/>
    <x v="11"/>
    <s v="Mophie Juice Pack Helium for iPhone"/>
    <n v="575.92999999999995"/>
    <n v="9"/>
    <x v="1"/>
    <n v="57.59"/>
    <x v="2"/>
  </r>
  <r>
    <s v="CA-2014-119011"/>
    <x v="269"/>
    <x v="3"/>
    <d v="2014-08-26T00:00:00"/>
    <x v="0"/>
    <x v="556"/>
    <x v="0"/>
    <x v="3"/>
    <x v="0"/>
    <x v="14"/>
    <s v="Acme Kleencut Forged Steel Scissors"/>
    <n v="17.22"/>
    <n v="3"/>
    <x v="0"/>
    <n v="5.17"/>
    <x v="0"/>
  </r>
  <r>
    <s v="CA-2011-141726"/>
    <x v="627"/>
    <x v="6"/>
    <d v="2011-07-22T00:00:00"/>
    <x v="0"/>
    <x v="84"/>
    <x v="0"/>
    <x v="18"/>
    <x v="0"/>
    <x v="8"/>
    <s v="Xerox 189"/>
    <n v="104.85"/>
    <n v="1"/>
    <x v="2"/>
    <n v="50.33"/>
    <x v="0"/>
  </r>
  <r>
    <s v="CA-2014-116953"/>
    <x v="594"/>
    <x v="10"/>
    <d v="2014-04-26T00:00:00"/>
    <x v="0"/>
    <x v="557"/>
    <x v="0"/>
    <x v="35"/>
    <x v="3"/>
    <x v="11"/>
    <s v="AT&amp;T 841000 Phone"/>
    <n v="552"/>
    <n v="10"/>
    <x v="1"/>
    <n v="34.5"/>
    <x v="2"/>
  </r>
  <r>
    <s v="US-2014-163300"/>
    <x v="628"/>
    <x v="4"/>
    <d v="2014-09-22T00:00:00"/>
    <x v="0"/>
    <x v="109"/>
    <x v="0"/>
    <x v="0"/>
    <x v="0"/>
    <x v="2"/>
    <s v="GBC DocuBind 200 Manual Binding Machine"/>
    <n v="2357.4899999999998"/>
    <n v="7"/>
    <x v="1"/>
    <n v="884.06"/>
    <x v="1"/>
  </r>
  <r>
    <s v="US-2011-112991"/>
    <x v="629"/>
    <x v="1"/>
    <d v="2011-12-14T00:00:00"/>
    <x v="0"/>
    <x v="19"/>
    <x v="0"/>
    <x v="144"/>
    <x v="9"/>
    <x v="7"/>
    <s v="Office Star - Contemporary Swivel Chair with Padded Adjustable Arms and Flex Back"/>
    <n v="338.35"/>
    <n v="3"/>
    <x v="0"/>
    <n v="4.2300000000000004"/>
    <x v="0"/>
  </r>
  <r>
    <s v="CA-2011-124079"/>
    <x v="324"/>
    <x v="1"/>
    <d v="2011-12-17T00:00:00"/>
    <x v="0"/>
    <x v="558"/>
    <x v="0"/>
    <x v="8"/>
    <x v="3"/>
    <x v="1"/>
    <s v="Electrix Incandescent Magnifying Lamp, Black"/>
    <n v="87.96"/>
    <n v="3"/>
    <x v="0"/>
    <n v="7.7"/>
    <x v="0"/>
  </r>
  <r>
    <s v="CA-2014-107244"/>
    <x v="75"/>
    <x v="4"/>
    <d v="2014-09-12T00:00:00"/>
    <x v="0"/>
    <x v="559"/>
    <x v="0"/>
    <x v="0"/>
    <x v="0"/>
    <x v="1"/>
    <s v="C-Line Magnetic Cubicle Keepers, Clear Polypropylene"/>
    <n v="19.760000000000002"/>
    <n v="4"/>
    <x v="0"/>
    <n v="8.3000000000000007"/>
    <x v="0"/>
  </r>
  <r>
    <s v="CA-2012-135580"/>
    <x v="630"/>
    <x v="1"/>
    <d v="2013-01-03T00:00:00"/>
    <x v="0"/>
    <x v="107"/>
    <x v="0"/>
    <x v="0"/>
    <x v="0"/>
    <x v="8"/>
    <s v="Xerox 1929"/>
    <n v="68.52"/>
    <n v="3"/>
    <x v="0"/>
    <n v="31.52"/>
    <x v="0"/>
  </r>
  <r>
    <s v="CA-2013-159016"/>
    <x v="631"/>
    <x v="9"/>
    <d v="2013-03-12T00:00:00"/>
    <x v="0"/>
    <x v="276"/>
    <x v="0"/>
    <x v="0"/>
    <x v="0"/>
    <x v="8"/>
    <s v="Rediform Voice Mail Log Books"/>
    <n v="14.9"/>
    <n v="5"/>
    <x v="0"/>
    <n v="7.15"/>
    <x v="0"/>
  </r>
  <r>
    <s v="CA-2011-102652"/>
    <x v="546"/>
    <x v="10"/>
    <d v="2011-04-12T00:00:00"/>
    <x v="0"/>
    <x v="366"/>
    <x v="0"/>
    <x v="0"/>
    <x v="0"/>
    <x v="1"/>
    <s v="Tenex B1-RE Series Chair Mats for Low Pile Carpets"/>
    <n v="91.96"/>
    <n v="2"/>
    <x v="0"/>
    <n v="15.63"/>
    <x v="0"/>
  </r>
  <r>
    <s v="CA-2014-136007"/>
    <x v="280"/>
    <x v="11"/>
    <d v="2014-03-03T00:00:00"/>
    <x v="1"/>
    <x v="560"/>
    <x v="0"/>
    <x v="1"/>
    <x v="1"/>
    <x v="12"/>
    <s v="Alliance Rubber Bands"/>
    <n v="8.4"/>
    <n v="5"/>
    <x v="0"/>
    <n v="0.34"/>
    <x v="0"/>
  </r>
  <r>
    <s v="US-2013-112970"/>
    <x v="326"/>
    <x v="7"/>
    <d v="2013-11-16T00:00:00"/>
    <x v="0"/>
    <x v="396"/>
    <x v="0"/>
    <x v="0"/>
    <x v="0"/>
    <x v="4"/>
    <s v="Newell 35"/>
    <n v="9.84"/>
    <n v="3"/>
    <x v="0"/>
    <n v="2.85"/>
    <x v="0"/>
  </r>
  <r>
    <s v="CA-2012-130253"/>
    <x v="297"/>
    <x v="1"/>
    <d v="2012-12-18T00:00:00"/>
    <x v="0"/>
    <x v="533"/>
    <x v="0"/>
    <x v="0"/>
    <x v="0"/>
    <x v="1"/>
    <s v="Master Caster Door Stop, Gray"/>
    <n v="15.24"/>
    <n v="3"/>
    <x v="0"/>
    <n v="5.18"/>
    <x v="0"/>
  </r>
  <r>
    <s v="CA-2014-122364"/>
    <x v="632"/>
    <x v="4"/>
    <d v="2014-09-30T00:00:00"/>
    <x v="0"/>
    <x v="44"/>
    <x v="0"/>
    <x v="0"/>
    <x v="0"/>
    <x v="11"/>
    <s v="Wilson Electronics DB Pro Signal Booster"/>
    <n v="859.2"/>
    <n v="3"/>
    <x v="0"/>
    <n v="75.180000000000007"/>
    <x v="2"/>
  </r>
  <r>
    <s v="CA-2013-117912"/>
    <x v="633"/>
    <x v="11"/>
    <d v="2013-02-08T00:00:00"/>
    <x v="0"/>
    <x v="41"/>
    <x v="0"/>
    <x v="41"/>
    <x v="3"/>
    <x v="1"/>
    <s v="Nu-Dell Float Frame 11 x 14 1/2"/>
    <n v="14.37"/>
    <n v="2"/>
    <x v="0"/>
    <n v="3.95"/>
    <x v="0"/>
  </r>
  <r>
    <s v="CA-2012-113215"/>
    <x v="236"/>
    <x v="4"/>
    <d v="2012-09-08T00:00:00"/>
    <x v="0"/>
    <x v="561"/>
    <x v="0"/>
    <x v="26"/>
    <x v="3"/>
    <x v="1"/>
    <s v="GE 48&quot; Fluorescent Tube, Cool White Energy Saver, 34 Watts, 30/Box"/>
    <n v="238.15"/>
    <n v="3"/>
    <x v="0"/>
    <n v="89.31"/>
    <x v="0"/>
  </r>
  <r>
    <s v="CA-2012-111780"/>
    <x v="634"/>
    <x v="1"/>
    <d v="2012-12-30T00:00:00"/>
    <x v="0"/>
    <x v="406"/>
    <x v="0"/>
    <x v="18"/>
    <x v="0"/>
    <x v="13"/>
    <s v="Brother DCP1000 Digital 3 in 1 Multifunction Machine"/>
    <n v="1199.96"/>
    <n v="5"/>
    <x v="0"/>
    <n v="224.99"/>
    <x v="1"/>
  </r>
  <r>
    <s v="CA-2014-166695"/>
    <x v="635"/>
    <x v="2"/>
    <d v="2014-05-25T00:00:00"/>
    <x v="0"/>
    <x v="167"/>
    <x v="0"/>
    <x v="118"/>
    <x v="0"/>
    <x v="7"/>
    <s v="Global Geo Office Task Chair, Gray"/>
    <n v="518.27"/>
    <n v="8"/>
    <x v="1"/>
    <n v="-97.18"/>
    <x v="2"/>
  </r>
  <r>
    <s v="CA-2014-121398"/>
    <x v="636"/>
    <x v="1"/>
    <d v="2014-12-30T00:00:00"/>
    <x v="0"/>
    <x v="218"/>
    <x v="0"/>
    <x v="0"/>
    <x v="0"/>
    <x v="2"/>
    <s v="GBC DocuBind P50 Personal Binding Machine"/>
    <n v="153.55000000000001"/>
    <n v="3"/>
    <x v="0"/>
    <n v="51.82"/>
    <x v="0"/>
  </r>
  <r>
    <s v="CA-2012-114048"/>
    <x v="297"/>
    <x v="1"/>
    <d v="2012-12-18T00:00:00"/>
    <x v="0"/>
    <x v="6"/>
    <x v="0"/>
    <x v="32"/>
    <x v="0"/>
    <x v="1"/>
    <s v="Staples"/>
    <n v="29.22"/>
    <n v="3"/>
    <x v="0"/>
    <n v="12.86"/>
    <x v="0"/>
  </r>
  <r>
    <s v="US-2014-162068"/>
    <x v="38"/>
    <x v="1"/>
    <d v="2015-01-01T00:00:00"/>
    <x v="0"/>
    <x v="121"/>
    <x v="0"/>
    <x v="132"/>
    <x v="5"/>
    <x v="2"/>
    <s v="Avery Reinforcements for Hole-Punch Pages"/>
    <n v="1.19"/>
    <n v="2"/>
    <x v="0"/>
    <n v="-0.99"/>
    <x v="0"/>
  </r>
  <r>
    <s v="CA-2013-133802"/>
    <x v="484"/>
    <x v="9"/>
    <d v="2013-03-21T00:00:00"/>
    <x v="0"/>
    <x v="22"/>
    <x v="0"/>
    <x v="145"/>
    <x v="0"/>
    <x v="2"/>
    <s v="Wilson Jones Leather-Like Binders with DublLock Round Rings"/>
    <n v="41.9"/>
    <n v="6"/>
    <x v="0"/>
    <n v="14.14"/>
    <x v="0"/>
  </r>
  <r>
    <s v="CA-2014-143378"/>
    <x v="637"/>
    <x v="4"/>
    <d v="2014-09-26T00:00:00"/>
    <x v="0"/>
    <x v="562"/>
    <x v="0"/>
    <x v="80"/>
    <x v="4"/>
    <x v="11"/>
    <s v="Mophie Juice Pack Helium for iPhone"/>
    <n v="191.98"/>
    <n v="3"/>
    <x v="0"/>
    <n v="19.2"/>
    <x v="0"/>
  </r>
  <r>
    <s v="CA-2014-145772"/>
    <x v="622"/>
    <x v="0"/>
    <d v="2014-06-08T00:00:00"/>
    <x v="0"/>
    <x v="563"/>
    <x v="0"/>
    <x v="0"/>
    <x v="0"/>
    <x v="6"/>
    <s v="Kingston Digital DataTraveler 16GB USB 2.0"/>
    <n v="44.75"/>
    <n v="5"/>
    <x v="0"/>
    <n v="8.5"/>
    <x v="0"/>
  </r>
  <r>
    <s v="US-2011-158400"/>
    <x v="638"/>
    <x v="8"/>
    <d v="2011-10-28T00:00:00"/>
    <x v="0"/>
    <x v="517"/>
    <x v="0"/>
    <x v="3"/>
    <x v="0"/>
    <x v="2"/>
    <s v="GBC VeloBind Cover Sets"/>
    <n v="49.41"/>
    <n v="4"/>
    <x v="0"/>
    <n v="18.53"/>
    <x v="0"/>
  </r>
  <r>
    <s v="CA-2013-148096"/>
    <x v="341"/>
    <x v="3"/>
    <d v="2013-08-20T00:00:00"/>
    <x v="0"/>
    <x v="564"/>
    <x v="0"/>
    <x v="0"/>
    <x v="0"/>
    <x v="5"/>
    <s v="Barricks 18&quot; x 48&quot; Non-Folding Utility Table with Bottom Storage Shelf"/>
    <n v="161.28"/>
    <n v="2"/>
    <x v="0"/>
    <n v="12.1"/>
    <x v="0"/>
  </r>
  <r>
    <s v="CA-2013-146766"/>
    <x v="99"/>
    <x v="7"/>
    <d v="2013-11-05T00:00:00"/>
    <x v="0"/>
    <x v="360"/>
    <x v="0"/>
    <x v="116"/>
    <x v="0"/>
    <x v="4"/>
    <s v="Boston Heavy-Duty Trimline Electric Pencil Sharpeners"/>
    <n v="192.8"/>
    <n v="4"/>
    <x v="0"/>
    <n v="55.91"/>
    <x v="0"/>
  </r>
  <r>
    <s v="CA-2011-131247"/>
    <x v="569"/>
    <x v="9"/>
    <d v="2011-04-04T00:00:00"/>
    <x v="0"/>
    <x v="348"/>
    <x v="0"/>
    <x v="3"/>
    <x v="0"/>
    <x v="15"/>
    <s v="O'Sullivan Living Dimensions 2-Shelf Bookcases"/>
    <n v="205.67"/>
    <n v="2"/>
    <x v="0"/>
    <n v="-12.1"/>
    <x v="0"/>
  </r>
  <r>
    <s v="US-2012-113593"/>
    <x v="523"/>
    <x v="10"/>
    <d v="2012-04-20T00:00:00"/>
    <x v="0"/>
    <x v="565"/>
    <x v="0"/>
    <x v="146"/>
    <x v="0"/>
    <x v="3"/>
    <s v="Advantus Rolling Drawer Organizers"/>
    <n v="115.44"/>
    <n v="3"/>
    <x v="0"/>
    <n v="30.01"/>
    <x v="0"/>
  </r>
  <r>
    <s v="CA-2011-133543"/>
    <x v="639"/>
    <x v="1"/>
    <d v="2011-12-26T00:00:00"/>
    <x v="0"/>
    <x v="566"/>
    <x v="0"/>
    <x v="12"/>
    <x v="0"/>
    <x v="4"/>
    <s v="Newell 332"/>
    <n v="11.76"/>
    <n v="4"/>
    <x v="0"/>
    <n v="3.18"/>
    <x v="0"/>
  </r>
  <r>
    <s v="CA-2014-105130"/>
    <x v="250"/>
    <x v="7"/>
    <d v="2014-11-26T00:00:00"/>
    <x v="0"/>
    <x v="535"/>
    <x v="0"/>
    <x v="3"/>
    <x v="0"/>
    <x v="4"/>
    <s v="Newell 332"/>
    <n v="11.76"/>
    <n v="4"/>
    <x v="0"/>
    <n v="3.18"/>
    <x v="0"/>
  </r>
  <r>
    <s v="CA-2013-161928"/>
    <x v="640"/>
    <x v="0"/>
    <d v="2013-06-30T00:00:00"/>
    <x v="0"/>
    <x v="567"/>
    <x v="0"/>
    <x v="3"/>
    <x v="0"/>
    <x v="11"/>
    <s v="Ooma Telo VoIP Home Phone System"/>
    <n v="201.58"/>
    <n v="2"/>
    <x v="0"/>
    <n v="12.6"/>
    <x v="0"/>
  </r>
  <r>
    <s v="CA-2014-101322"/>
    <x v="38"/>
    <x v="1"/>
    <d v="2015-01-01T00:00:00"/>
    <x v="0"/>
    <x v="568"/>
    <x v="0"/>
    <x v="23"/>
    <x v="0"/>
    <x v="7"/>
    <s v="Novimex Turbo Task Chair"/>
    <n v="340.7"/>
    <n v="6"/>
    <x v="0"/>
    <n v="-34.07"/>
    <x v="0"/>
  </r>
  <r>
    <s v="CA-2011-111871"/>
    <x v="641"/>
    <x v="9"/>
    <d v="2011-03-21T00:00:00"/>
    <x v="0"/>
    <x v="435"/>
    <x v="0"/>
    <x v="3"/>
    <x v="0"/>
    <x v="15"/>
    <s v="Bush Heritage Pine Collection 5-Shelf Bookcase, Albany Pine Finish, *Special Order"/>
    <n v="1198.33"/>
    <n v="10"/>
    <x v="1"/>
    <n v="70.489999999999995"/>
    <x v="1"/>
  </r>
  <r>
    <s v="CA-2014-139437"/>
    <x v="317"/>
    <x v="6"/>
    <d v="2014-07-09T00:00:00"/>
    <x v="0"/>
    <x v="385"/>
    <x v="0"/>
    <x v="0"/>
    <x v="0"/>
    <x v="3"/>
    <s v="Rogers Deluxe File Chest"/>
    <n v="87.92"/>
    <n v="4"/>
    <x v="0"/>
    <n v="0.88"/>
    <x v="0"/>
  </r>
  <r>
    <s v="CA-2013-161025"/>
    <x v="583"/>
    <x v="1"/>
    <d v="2013-12-10T00:00:00"/>
    <x v="0"/>
    <x v="112"/>
    <x v="0"/>
    <x v="0"/>
    <x v="0"/>
    <x v="3"/>
    <s v="Fellowes Staxonsteel Drawer Files"/>
    <n v="772.68"/>
    <n v="4"/>
    <x v="0"/>
    <n v="108.18"/>
    <x v="2"/>
  </r>
  <r>
    <s v="CA-2012-132815"/>
    <x v="642"/>
    <x v="4"/>
    <d v="2012-09-22T00:00:00"/>
    <x v="0"/>
    <x v="185"/>
    <x v="0"/>
    <x v="0"/>
    <x v="0"/>
    <x v="8"/>
    <s v="Personal Creations Ink Jet Cards and Labels"/>
    <n v="22.96"/>
    <n v="2"/>
    <x v="0"/>
    <n v="11.25"/>
    <x v="0"/>
  </r>
  <r>
    <s v="CA-2013-143609"/>
    <x v="93"/>
    <x v="1"/>
    <d v="2013-12-14T00:00:00"/>
    <x v="0"/>
    <x v="205"/>
    <x v="0"/>
    <x v="6"/>
    <x v="4"/>
    <x v="7"/>
    <s v="Global Fabric Manager's Chair, Dark Gray"/>
    <n v="403.92"/>
    <n v="5"/>
    <x v="0"/>
    <n v="25.25"/>
    <x v="0"/>
  </r>
  <r>
    <s v="CA-2014-107986"/>
    <x v="643"/>
    <x v="1"/>
    <d v="2014-12-14T00:00:00"/>
    <x v="0"/>
    <x v="569"/>
    <x v="0"/>
    <x v="1"/>
    <x v="1"/>
    <x v="3"/>
    <s v="Sterilite Officeware Hinged File Box"/>
    <n v="31.44"/>
    <n v="3"/>
    <x v="0"/>
    <n v="8.49"/>
    <x v="0"/>
  </r>
  <r>
    <s v="CA-2013-118332"/>
    <x v="644"/>
    <x v="1"/>
    <d v="2013-12-24T00:00:00"/>
    <x v="1"/>
    <x v="331"/>
    <x v="0"/>
    <x v="109"/>
    <x v="0"/>
    <x v="7"/>
    <s v="Office Star - Contemporary Swivel Chair with Padded Adjustable Arms and Flex Back"/>
    <n v="563.91999999999996"/>
    <n v="5"/>
    <x v="0"/>
    <n v="7.05"/>
    <x v="2"/>
  </r>
  <r>
    <s v="CA-2014-119809"/>
    <x v="486"/>
    <x v="3"/>
    <d v="2014-08-26T00:00:00"/>
    <x v="1"/>
    <x v="214"/>
    <x v="0"/>
    <x v="1"/>
    <x v="1"/>
    <x v="2"/>
    <s v="Fellowes PB300 Plastic Comb Binding Machine"/>
    <n v="2793.53"/>
    <n v="9"/>
    <x v="1"/>
    <n v="942.82"/>
    <x v="1"/>
  </r>
  <r>
    <s v="CA-2014-149944"/>
    <x v="34"/>
    <x v="7"/>
    <d v="2014-11-17T00:00:00"/>
    <x v="0"/>
    <x v="191"/>
    <x v="0"/>
    <x v="147"/>
    <x v="1"/>
    <x v="12"/>
    <s v="Staples"/>
    <n v="18.239999999999998"/>
    <n v="3"/>
    <x v="0"/>
    <n v="9.1199999999999992"/>
    <x v="0"/>
  </r>
  <r>
    <s v="CA-2011-128538"/>
    <x v="465"/>
    <x v="8"/>
    <d v="2011-10-15T00:00:00"/>
    <x v="0"/>
    <x v="280"/>
    <x v="0"/>
    <x v="105"/>
    <x v="0"/>
    <x v="10"/>
    <s v="#10- 4 1/8&quot; x 9 1/2&quot; Security-Tint Envelopes"/>
    <n v="7.64"/>
    <n v="1"/>
    <x v="2"/>
    <n v="3.74"/>
    <x v="0"/>
  </r>
  <r>
    <s v="US-2014-157224"/>
    <x v="645"/>
    <x v="4"/>
    <d v="2014-09-19T00:00:00"/>
    <x v="0"/>
    <x v="534"/>
    <x v="0"/>
    <x v="0"/>
    <x v="0"/>
    <x v="0"/>
    <s v="Avery 48"/>
    <n v="56.7"/>
    <n v="9"/>
    <x v="1"/>
    <n v="26.08"/>
    <x v="0"/>
  </r>
  <r>
    <s v="CA-2012-133445"/>
    <x v="646"/>
    <x v="8"/>
    <d v="2012-10-09T00:00:00"/>
    <x v="0"/>
    <x v="79"/>
    <x v="0"/>
    <x v="6"/>
    <x v="4"/>
    <x v="15"/>
    <s v="Bush Cubix Collection Bookcases, Fully Assembled"/>
    <n v="66.290000000000006"/>
    <n v="1"/>
    <x v="2"/>
    <n v="-103.86"/>
    <x v="0"/>
  </r>
  <r>
    <s v="US-2014-142188"/>
    <x v="386"/>
    <x v="4"/>
    <d v="2014-09-12T00:00:00"/>
    <x v="0"/>
    <x v="570"/>
    <x v="0"/>
    <x v="1"/>
    <x v="1"/>
    <x v="7"/>
    <s v="Office Star - Contemporary Task Swivel Chair"/>
    <n v="177.57"/>
    <n v="2"/>
    <x v="0"/>
    <n v="8.8800000000000008"/>
    <x v="0"/>
  </r>
  <r>
    <s v="CA-2012-134075"/>
    <x v="111"/>
    <x v="1"/>
    <d v="2012-12-16T00:00:00"/>
    <x v="0"/>
    <x v="469"/>
    <x v="0"/>
    <x v="12"/>
    <x v="0"/>
    <x v="1"/>
    <s v="Eldon Cleatmat Chair Mats for Medium Pile Carpets"/>
    <n v="166.5"/>
    <n v="3"/>
    <x v="0"/>
    <n v="21.65"/>
    <x v="0"/>
  </r>
  <r>
    <s v="US-2013-131912"/>
    <x v="647"/>
    <x v="8"/>
    <d v="2013-11-02T00:00:00"/>
    <x v="0"/>
    <x v="35"/>
    <x v="0"/>
    <x v="0"/>
    <x v="0"/>
    <x v="2"/>
    <s v="XtraLife ClearVue Slant-D Ring Binder, White, 3&quot;"/>
    <n v="11.74"/>
    <n v="1"/>
    <x v="2"/>
    <n v="3.82"/>
    <x v="0"/>
  </r>
  <r>
    <s v="CA-2013-165561"/>
    <x v="202"/>
    <x v="7"/>
    <d v="2013-11-29T00:00:00"/>
    <x v="0"/>
    <x v="571"/>
    <x v="0"/>
    <x v="71"/>
    <x v="1"/>
    <x v="14"/>
    <s v="Elite 5&quot; Scissors"/>
    <n v="25.35"/>
    <n v="3"/>
    <x v="0"/>
    <n v="7.61"/>
    <x v="0"/>
  </r>
  <r>
    <s v="CA-2012-112305"/>
    <x v="148"/>
    <x v="7"/>
    <d v="2012-11-25T00:00:00"/>
    <x v="0"/>
    <x v="373"/>
    <x v="0"/>
    <x v="1"/>
    <x v="1"/>
    <x v="4"/>
    <s v="Newell 334"/>
    <n v="119.04"/>
    <n v="6"/>
    <x v="0"/>
    <n v="30.95"/>
    <x v="0"/>
  </r>
  <r>
    <s v="CA-2012-162607"/>
    <x v="359"/>
    <x v="2"/>
    <d v="2012-05-18T00:00:00"/>
    <x v="0"/>
    <x v="572"/>
    <x v="0"/>
    <x v="1"/>
    <x v="1"/>
    <x v="2"/>
    <s v="Prestige Round Ring Binders"/>
    <n v="14.59"/>
    <n v="3"/>
    <x v="0"/>
    <n v="4.92"/>
    <x v="0"/>
  </r>
  <r>
    <s v="CA-2014-102379"/>
    <x v="239"/>
    <x v="1"/>
    <d v="2014-12-07T00:00:00"/>
    <x v="0"/>
    <x v="573"/>
    <x v="0"/>
    <x v="54"/>
    <x v="0"/>
    <x v="11"/>
    <s v="Anker Astro 15000mAh USB Portable Charger"/>
    <n v="39.99"/>
    <n v="1"/>
    <x v="2"/>
    <n v="-8"/>
    <x v="0"/>
  </r>
  <r>
    <s v="US-2013-139087"/>
    <x v="7"/>
    <x v="6"/>
    <d v="2013-07-23T00:00:00"/>
    <x v="0"/>
    <x v="304"/>
    <x v="0"/>
    <x v="1"/>
    <x v="1"/>
    <x v="1"/>
    <s v="Eldon Image Series Black Desk Accessories"/>
    <n v="12.42"/>
    <n v="3"/>
    <x v="0"/>
    <n v="4.47"/>
    <x v="0"/>
  </r>
  <r>
    <s v="CA-2013-100944"/>
    <x v="309"/>
    <x v="4"/>
    <d v="2013-09-29T00:00:00"/>
    <x v="0"/>
    <x v="482"/>
    <x v="0"/>
    <x v="0"/>
    <x v="0"/>
    <x v="10"/>
    <s v="Tyvek Interoffice Envelopes, 9 1/2&quot; x 12 1/2&quot;, 100/Box"/>
    <n v="304.89999999999998"/>
    <n v="5"/>
    <x v="0"/>
    <n v="143.30000000000001"/>
    <x v="0"/>
  </r>
  <r>
    <s v="CA-2011-100090"/>
    <x v="648"/>
    <x v="6"/>
    <d v="2011-07-12T00:00:00"/>
    <x v="0"/>
    <x v="262"/>
    <x v="0"/>
    <x v="3"/>
    <x v="0"/>
    <x v="5"/>
    <s v="Hon 2111 Invitation Series Corner Table"/>
    <n v="502.49"/>
    <n v="3"/>
    <x v="0"/>
    <n v="-87.94"/>
    <x v="2"/>
  </r>
  <r>
    <s v="US-2012-139675"/>
    <x v="270"/>
    <x v="9"/>
    <d v="2012-03-18T00:00:00"/>
    <x v="0"/>
    <x v="443"/>
    <x v="0"/>
    <x v="142"/>
    <x v="0"/>
    <x v="7"/>
    <s v="Global Deluxe High-Back Manager's Chair"/>
    <n v="915.14"/>
    <n v="4"/>
    <x v="0"/>
    <n v="102.95"/>
    <x v="2"/>
  </r>
  <r>
    <s v="CA-2012-151253"/>
    <x v="649"/>
    <x v="10"/>
    <d v="2012-04-26T00:00:00"/>
    <x v="0"/>
    <x v="574"/>
    <x v="0"/>
    <x v="0"/>
    <x v="0"/>
    <x v="11"/>
    <s v="Logitech B530 USB Headset - headset - Full size, Binaural"/>
    <n v="88.78"/>
    <n v="3"/>
    <x v="0"/>
    <n v="7.77"/>
    <x v="0"/>
  </r>
  <r>
    <s v="CA-2011-169852"/>
    <x v="650"/>
    <x v="8"/>
    <d v="2011-10-26T00:00:00"/>
    <x v="0"/>
    <x v="575"/>
    <x v="0"/>
    <x v="18"/>
    <x v="0"/>
    <x v="2"/>
    <s v="Plastic Binding Combs"/>
    <n v="36.36"/>
    <n v="3"/>
    <x v="0"/>
    <n v="12.27"/>
    <x v="0"/>
  </r>
  <r>
    <s v="CA-2014-107314"/>
    <x v="651"/>
    <x v="1"/>
    <d v="2014-12-04T00:00:00"/>
    <x v="0"/>
    <x v="290"/>
    <x v="0"/>
    <x v="3"/>
    <x v="0"/>
    <x v="1"/>
    <s v="Contemporary Borderless Frame"/>
    <n v="25.83"/>
    <n v="3"/>
    <x v="0"/>
    <n v="9.56"/>
    <x v="0"/>
  </r>
  <r>
    <s v="CA-2013-163328"/>
    <x v="99"/>
    <x v="7"/>
    <d v="2013-11-07T00:00:00"/>
    <x v="0"/>
    <x v="433"/>
    <x v="0"/>
    <x v="148"/>
    <x v="4"/>
    <x v="14"/>
    <s v="Serrated Blade or Curved Handle Hand Letter Openers"/>
    <n v="17.579999999999998"/>
    <n v="7"/>
    <x v="1"/>
    <n v="-4.18"/>
    <x v="0"/>
  </r>
  <r>
    <s v="CA-2011-112837"/>
    <x v="652"/>
    <x v="4"/>
    <d v="2011-09-16T00:00:00"/>
    <x v="0"/>
    <x v="576"/>
    <x v="0"/>
    <x v="149"/>
    <x v="0"/>
    <x v="1"/>
    <s v="Deflect-o DuraMat Lighweight, Studded, Beveled Mat for Low Pile Carpeting"/>
    <n v="127.95"/>
    <n v="3"/>
    <x v="0"/>
    <n v="21.75"/>
    <x v="0"/>
  </r>
  <r>
    <s v="CA-2014-161459"/>
    <x v="551"/>
    <x v="7"/>
    <d v="2014-11-30T00:00:00"/>
    <x v="0"/>
    <x v="208"/>
    <x v="0"/>
    <x v="70"/>
    <x v="0"/>
    <x v="11"/>
    <s v="PayAnywhere Card Reader"/>
    <n v="39.96"/>
    <n v="5"/>
    <x v="0"/>
    <n v="3.5"/>
    <x v="0"/>
  </r>
  <r>
    <s v="CA-2012-110289"/>
    <x v="653"/>
    <x v="8"/>
    <d v="2012-11-02T00:00:00"/>
    <x v="0"/>
    <x v="577"/>
    <x v="0"/>
    <x v="3"/>
    <x v="0"/>
    <x v="8"/>
    <s v="Xerox 1898"/>
    <n v="33.4"/>
    <n v="5"/>
    <x v="0"/>
    <n v="16.03"/>
    <x v="0"/>
  </r>
  <r>
    <s v="CA-2013-165995"/>
    <x v="654"/>
    <x v="3"/>
    <d v="2013-09-07T00:00:00"/>
    <x v="1"/>
    <x v="436"/>
    <x v="0"/>
    <x v="0"/>
    <x v="0"/>
    <x v="1"/>
    <s v="Executive Impressions 10&quot; Spectator Wall Clock"/>
    <n v="47.04"/>
    <n v="4"/>
    <x v="0"/>
    <n v="15.99"/>
    <x v="0"/>
  </r>
  <r>
    <s v="CA-2012-104486"/>
    <x v="192"/>
    <x v="2"/>
    <d v="2012-05-06T00:00:00"/>
    <x v="0"/>
    <x v="578"/>
    <x v="0"/>
    <x v="3"/>
    <x v="0"/>
    <x v="2"/>
    <s v="GBC Twin Loop Wire Binding Elements, 9/16&quot; Spine, Black"/>
    <n v="12.18"/>
    <n v="1"/>
    <x v="2"/>
    <n v="4.41"/>
    <x v="0"/>
  </r>
  <r>
    <s v="CA-2014-139080"/>
    <x v="655"/>
    <x v="5"/>
    <d v="2014-01-29T00:00:00"/>
    <x v="0"/>
    <x v="447"/>
    <x v="0"/>
    <x v="1"/>
    <x v="1"/>
    <x v="2"/>
    <s v="Pressboard Hanging Data Binders for Unburst Sheets"/>
    <n v="19.68"/>
    <n v="5"/>
    <x v="0"/>
    <n v="6.89"/>
    <x v="0"/>
  </r>
  <r>
    <s v="CA-2012-115693"/>
    <x v="656"/>
    <x v="1"/>
    <d v="2012-12-15T00:00:00"/>
    <x v="0"/>
    <x v="579"/>
    <x v="0"/>
    <x v="0"/>
    <x v="0"/>
    <x v="4"/>
    <s v="Boston Electric Pencil Sharpener, Model 1818, Charcoal Black"/>
    <n v="56.3"/>
    <n v="2"/>
    <x v="0"/>
    <n v="15.76"/>
    <x v="0"/>
  </r>
  <r>
    <s v="US-2011-107993"/>
    <x v="266"/>
    <x v="7"/>
    <d v="2011-11-30T00:00:00"/>
    <x v="0"/>
    <x v="338"/>
    <x v="0"/>
    <x v="80"/>
    <x v="4"/>
    <x v="4"/>
    <s v="Dixon Ticonderoga Core-Lock Colored Pencils"/>
    <n v="51.02"/>
    <n v="7"/>
    <x v="1"/>
    <n v="8.2899999999999991"/>
    <x v="0"/>
  </r>
  <r>
    <s v="CA-2014-110443"/>
    <x v="250"/>
    <x v="7"/>
    <d v="2014-11-26T00:00:00"/>
    <x v="0"/>
    <x v="529"/>
    <x v="0"/>
    <x v="150"/>
    <x v="1"/>
    <x v="2"/>
    <s v="Vinyl Sectional Post Binders"/>
    <n v="150.80000000000001"/>
    <n v="5"/>
    <x v="0"/>
    <n v="56.55"/>
    <x v="0"/>
  </r>
  <r>
    <s v="US-2014-147998"/>
    <x v="91"/>
    <x v="2"/>
    <d v="2014-05-25T00:00:00"/>
    <x v="0"/>
    <x v="239"/>
    <x v="0"/>
    <x v="12"/>
    <x v="0"/>
    <x v="2"/>
    <s v="GBC Twin Loop Wire Binding Elements"/>
    <n v="133.12"/>
    <n v="5"/>
    <x v="0"/>
    <n v="49.92"/>
    <x v="0"/>
  </r>
  <r>
    <s v="US-2013-116442"/>
    <x v="657"/>
    <x v="1"/>
    <d v="2013-12-23T00:00:00"/>
    <x v="1"/>
    <x v="246"/>
    <x v="0"/>
    <x v="0"/>
    <x v="0"/>
    <x v="1"/>
    <s v="Eldon Expressions Wood Desk Accessories, Oak"/>
    <n v="14.76"/>
    <n v="2"/>
    <x v="0"/>
    <n v="4.28"/>
    <x v="0"/>
  </r>
  <r>
    <s v="US-2011-163797"/>
    <x v="448"/>
    <x v="10"/>
    <d v="2011-04-13T00:00:00"/>
    <x v="0"/>
    <x v="197"/>
    <x v="0"/>
    <x v="133"/>
    <x v="3"/>
    <x v="12"/>
    <s v="Alliance Super-Size Bands, Assorted Sizes"/>
    <n v="49.79"/>
    <n v="8"/>
    <x v="1"/>
    <n v="-11.83"/>
    <x v="0"/>
  </r>
  <r>
    <s v="CA-2014-154074"/>
    <x v="207"/>
    <x v="4"/>
    <d v="2014-09-03T00:00:00"/>
    <x v="0"/>
    <x v="580"/>
    <x v="0"/>
    <x v="77"/>
    <x v="1"/>
    <x v="7"/>
    <s v="Hon 4700 Series Mobuis Mid-Back Task Chairs with Adjustable Arms"/>
    <n v="569.57000000000005"/>
    <n v="2"/>
    <x v="0"/>
    <n v="7.12"/>
    <x v="2"/>
  </r>
  <r>
    <s v="CA-2014-144750"/>
    <x v="409"/>
    <x v="3"/>
    <d v="2014-08-22T00:00:00"/>
    <x v="0"/>
    <x v="152"/>
    <x v="0"/>
    <x v="133"/>
    <x v="3"/>
    <x v="8"/>
    <s v="Xerox 1941"/>
    <n v="83.88"/>
    <n v="1"/>
    <x v="2"/>
    <n v="29.36"/>
    <x v="0"/>
  </r>
  <r>
    <s v="CA-2011-159121"/>
    <x v="449"/>
    <x v="6"/>
    <d v="2011-08-01T00:00:00"/>
    <x v="0"/>
    <x v="427"/>
    <x v="0"/>
    <x v="137"/>
    <x v="2"/>
    <x v="6"/>
    <s v="Memorex Micro Travel Drive 16 GB"/>
    <n v="111.93"/>
    <n v="7"/>
    <x v="1"/>
    <n v="34.700000000000003"/>
    <x v="0"/>
  </r>
  <r>
    <s v="CA-2012-149650"/>
    <x v="658"/>
    <x v="8"/>
    <d v="2012-10-27T00:00:00"/>
    <x v="0"/>
    <x v="581"/>
    <x v="0"/>
    <x v="54"/>
    <x v="0"/>
    <x v="7"/>
    <s v="Novimex High-Tech Fabric Mesh Task Chair"/>
    <n v="454.27"/>
    <n v="8"/>
    <x v="1"/>
    <n v="-73.819999999999993"/>
    <x v="0"/>
  </r>
  <r>
    <s v="US-2014-116897"/>
    <x v="576"/>
    <x v="2"/>
    <d v="2014-05-30T00:00:00"/>
    <x v="0"/>
    <x v="216"/>
    <x v="0"/>
    <x v="139"/>
    <x v="9"/>
    <x v="1"/>
    <s v="Eldon 400 Class Desk Accessories, Black Carbon"/>
    <n v="35"/>
    <n v="4"/>
    <x v="0"/>
    <n v="14.7"/>
    <x v="0"/>
  </r>
  <r>
    <s v="CA-2014-161102"/>
    <x v="659"/>
    <x v="3"/>
    <d v="2014-08-04T00:00:00"/>
    <x v="0"/>
    <x v="582"/>
    <x v="0"/>
    <x v="3"/>
    <x v="0"/>
    <x v="3"/>
    <s v="Eldon Portable Mobile Manager"/>
    <n v="56.56"/>
    <n v="2"/>
    <x v="0"/>
    <n v="15.27"/>
    <x v="0"/>
  </r>
  <r>
    <s v="CA-2014-153080"/>
    <x v="660"/>
    <x v="2"/>
    <d v="2014-05-26T00:00:00"/>
    <x v="0"/>
    <x v="6"/>
    <x v="0"/>
    <x v="0"/>
    <x v="0"/>
    <x v="6"/>
    <s v="Maxell 74 Minute CDR, 10/Pack"/>
    <n v="68.459999999999994"/>
    <n v="7"/>
    <x v="1"/>
    <n v="25.33"/>
    <x v="0"/>
  </r>
  <r>
    <s v="CA-2014-167640"/>
    <x v="477"/>
    <x v="9"/>
    <d v="2014-03-11T00:00:00"/>
    <x v="0"/>
    <x v="579"/>
    <x v="0"/>
    <x v="3"/>
    <x v="0"/>
    <x v="4"/>
    <s v="Fluorescent Highlighters by Dixon"/>
    <n v="23.88"/>
    <n v="6"/>
    <x v="0"/>
    <n v="8.1199999999999992"/>
    <x v="0"/>
  </r>
  <r>
    <s v="US-2014-116652"/>
    <x v="628"/>
    <x v="4"/>
    <d v="2014-09-20T00:00:00"/>
    <x v="0"/>
    <x v="212"/>
    <x v="0"/>
    <x v="3"/>
    <x v="0"/>
    <x v="7"/>
    <s v="Leather Task Chair, Black"/>
    <n v="218.35"/>
    <n v="3"/>
    <x v="0"/>
    <n v="0"/>
    <x v="0"/>
  </r>
  <r>
    <s v="US-2014-107888"/>
    <x v="364"/>
    <x v="7"/>
    <d v="2014-11-20T00:00:00"/>
    <x v="0"/>
    <x v="381"/>
    <x v="0"/>
    <x v="1"/>
    <x v="1"/>
    <x v="8"/>
    <s v="Xerox 1933"/>
    <n v="73.680000000000007"/>
    <n v="6"/>
    <x v="0"/>
    <n v="34.630000000000003"/>
    <x v="0"/>
  </r>
  <r>
    <s v="CA-2014-161578"/>
    <x v="375"/>
    <x v="1"/>
    <d v="2014-12-22T00:00:00"/>
    <x v="0"/>
    <x v="92"/>
    <x v="0"/>
    <x v="0"/>
    <x v="0"/>
    <x v="8"/>
    <s v="Xerox 1898"/>
    <n v="13.36"/>
    <n v="2"/>
    <x v="0"/>
    <n v="6.41"/>
    <x v="0"/>
  </r>
  <r>
    <s v="CA-2013-160941"/>
    <x v="661"/>
    <x v="6"/>
    <d v="2013-07-27T00:00:00"/>
    <x v="0"/>
    <x v="186"/>
    <x v="0"/>
    <x v="9"/>
    <x v="0"/>
    <x v="10"/>
    <s v="Ames Color-File Green Diamond Border X-ray Mailers"/>
    <n v="419.9"/>
    <n v="5"/>
    <x v="0"/>
    <n v="197.35"/>
    <x v="0"/>
  </r>
  <r>
    <s v="CA-2013-161543"/>
    <x v="662"/>
    <x v="2"/>
    <d v="2013-05-17T00:00:00"/>
    <x v="0"/>
    <x v="583"/>
    <x v="0"/>
    <x v="1"/>
    <x v="1"/>
    <x v="8"/>
    <s v="Xerox 1965"/>
    <n v="11.96"/>
    <n v="2"/>
    <x v="0"/>
    <n v="5.86"/>
    <x v="0"/>
  </r>
  <r>
    <s v="CA-2014-123085"/>
    <x v="663"/>
    <x v="9"/>
    <d v="2014-03-09T00:00:00"/>
    <x v="0"/>
    <x v="416"/>
    <x v="0"/>
    <x v="0"/>
    <x v="0"/>
    <x v="6"/>
    <s v="Imation Bio 2GB USB Flash Drive Imation Corp"/>
    <n v="1049.44"/>
    <n v="8"/>
    <x v="1"/>
    <n v="440.76"/>
    <x v="1"/>
  </r>
  <r>
    <s v="CA-2011-103660"/>
    <x v="624"/>
    <x v="3"/>
    <d v="2011-08-30T00:00:00"/>
    <x v="0"/>
    <x v="569"/>
    <x v="0"/>
    <x v="1"/>
    <x v="1"/>
    <x v="11"/>
    <s v="Polycom VVX 310 VoIP phone"/>
    <n v="1007.94"/>
    <n v="7"/>
    <x v="1"/>
    <n v="75.599999999999994"/>
    <x v="1"/>
  </r>
  <r>
    <s v="CA-2013-169887"/>
    <x v="664"/>
    <x v="8"/>
    <d v="2013-10-23T00:00:00"/>
    <x v="0"/>
    <x v="341"/>
    <x v="0"/>
    <x v="1"/>
    <x v="1"/>
    <x v="8"/>
    <s v="Xerox 1986"/>
    <n v="6.68"/>
    <n v="1"/>
    <x v="2"/>
    <n v="3.21"/>
    <x v="0"/>
  </r>
  <r>
    <s v="CA-2013-148516"/>
    <x v="665"/>
    <x v="3"/>
    <d v="2013-08-12T00:00:00"/>
    <x v="0"/>
    <x v="537"/>
    <x v="0"/>
    <x v="45"/>
    <x v="1"/>
    <x v="6"/>
    <s v="Logitech Illuminated - Keyboard"/>
    <n v="179.97"/>
    <n v="3"/>
    <x v="0"/>
    <n v="86.39"/>
    <x v="0"/>
  </r>
  <r>
    <s v="CA-2012-103716"/>
    <x v="666"/>
    <x v="10"/>
    <d v="2012-05-06T00:00:00"/>
    <x v="0"/>
    <x v="440"/>
    <x v="0"/>
    <x v="3"/>
    <x v="0"/>
    <x v="4"/>
    <s v="Newell 324"/>
    <n v="34.65"/>
    <n v="3"/>
    <x v="0"/>
    <n v="9.6999999999999993"/>
    <x v="0"/>
  </r>
  <r>
    <s v="CA-2014-146346"/>
    <x v="13"/>
    <x v="0"/>
    <d v="2014-06-21T00:00:00"/>
    <x v="0"/>
    <x v="134"/>
    <x v="0"/>
    <x v="151"/>
    <x v="5"/>
    <x v="3"/>
    <s v="Carina Media Storage Towers in Natural &amp; Black"/>
    <n v="146.35"/>
    <n v="3"/>
    <x v="0"/>
    <n v="-32.93"/>
    <x v="0"/>
  </r>
  <r>
    <s v="CA-2013-148852"/>
    <x v="667"/>
    <x v="2"/>
    <d v="2013-06-01T00:00:00"/>
    <x v="0"/>
    <x v="334"/>
    <x v="0"/>
    <x v="46"/>
    <x v="0"/>
    <x v="12"/>
    <s v="Alliance Big Bands Rubber Bands, 12/Pack"/>
    <n v="5.94"/>
    <n v="3"/>
    <x v="0"/>
    <n v="0"/>
    <x v="0"/>
  </r>
  <r>
    <s v="CA-2013-168921"/>
    <x v="668"/>
    <x v="8"/>
    <d v="2013-10-23T00:00:00"/>
    <x v="0"/>
    <x v="442"/>
    <x v="0"/>
    <x v="0"/>
    <x v="0"/>
    <x v="2"/>
    <s v="Fellowes Twister Kit, Gray/Clear, 3/pkg"/>
    <n v="19.3"/>
    <n v="3"/>
    <x v="0"/>
    <n v="6.03"/>
    <x v="0"/>
  </r>
  <r>
    <s v="CA-2013-123512"/>
    <x v="210"/>
    <x v="0"/>
    <d v="2013-06-20T00:00:00"/>
    <x v="0"/>
    <x v="584"/>
    <x v="0"/>
    <x v="0"/>
    <x v="0"/>
    <x v="15"/>
    <s v="Bush Heritage Pine Collection 5-Shelf Bookcase, Albany Pine Finish, *Special Order"/>
    <n v="239.67"/>
    <n v="2"/>
    <x v="0"/>
    <n v="14.1"/>
    <x v="0"/>
  </r>
  <r>
    <s v="CA-2011-130449"/>
    <x v="669"/>
    <x v="4"/>
    <d v="2011-09-09T00:00:00"/>
    <x v="0"/>
    <x v="585"/>
    <x v="0"/>
    <x v="3"/>
    <x v="0"/>
    <x v="1"/>
    <s v="Eldon Expressions Wood and Plastic Desk Accessories, Cherry Wood"/>
    <n v="41.88"/>
    <n v="6"/>
    <x v="0"/>
    <n v="12.15"/>
    <x v="0"/>
  </r>
  <r>
    <s v="CA-2011-138513"/>
    <x v="670"/>
    <x v="2"/>
    <d v="2011-05-27T00:00:00"/>
    <x v="0"/>
    <x v="301"/>
    <x v="0"/>
    <x v="71"/>
    <x v="1"/>
    <x v="8"/>
    <s v="Xerox 1999"/>
    <n v="12.96"/>
    <n v="2"/>
    <x v="0"/>
    <n v="6.22"/>
    <x v="0"/>
  </r>
  <r>
    <s v="CA-2013-105081"/>
    <x v="242"/>
    <x v="1"/>
    <d v="2013-12-31T00:00:00"/>
    <x v="0"/>
    <x v="254"/>
    <x v="0"/>
    <x v="1"/>
    <x v="1"/>
    <x v="7"/>
    <s v="Global Executive Mid-Back Manager's Chair"/>
    <n v="698.35"/>
    <n v="3"/>
    <x v="0"/>
    <n v="52.38"/>
    <x v="2"/>
  </r>
  <r>
    <s v="CA-2013-166275"/>
    <x v="599"/>
    <x v="8"/>
    <d v="2013-10-25T00:00:00"/>
    <x v="0"/>
    <x v="67"/>
    <x v="0"/>
    <x v="3"/>
    <x v="0"/>
    <x v="6"/>
    <s v="Razer Tiamat Over Ear 7.1 Surround Sound PC Gaming Headset"/>
    <n v="199.99"/>
    <n v="1"/>
    <x v="2"/>
    <n v="86"/>
    <x v="0"/>
  </r>
  <r>
    <s v="US-2012-156496"/>
    <x v="671"/>
    <x v="3"/>
    <d v="2012-08-16T00:00:00"/>
    <x v="0"/>
    <x v="273"/>
    <x v="0"/>
    <x v="75"/>
    <x v="4"/>
    <x v="11"/>
    <s v="AT&amp;T 1080 Corded phone"/>
    <n v="438.37"/>
    <n v="4"/>
    <x v="0"/>
    <n v="38.36"/>
    <x v="0"/>
  </r>
  <r>
    <s v="US-2013-127334"/>
    <x v="657"/>
    <x v="1"/>
    <d v="2013-12-22T00:00:00"/>
    <x v="0"/>
    <x v="204"/>
    <x v="0"/>
    <x v="80"/>
    <x v="4"/>
    <x v="5"/>
    <s v="Bretford Rectangular Conference Table Tops"/>
    <n v="564.20000000000005"/>
    <n v="3"/>
    <x v="0"/>
    <n v="-304.67"/>
    <x v="2"/>
  </r>
  <r>
    <s v="CA-2014-135937"/>
    <x v="114"/>
    <x v="11"/>
    <d v="2014-02-28T00:00:00"/>
    <x v="1"/>
    <x v="302"/>
    <x v="0"/>
    <x v="5"/>
    <x v="3"/>
    <x v="11"/>
    <s v="Toshiba IPT2010-SD IP Telephone"/>
    <n v="333.58"/>
    <n v="3"/>
    <x v="0"/>
    <n v="25.02"/>
    <x v="0"/>
  </r>
  <r>
    <s v="CA-2011-154837"/>
    <x v="672"/>
    <x v="3"/>
    <d v="2011-08-27T00:00:00"/>
    <x v="0"/>
    <x v="223"/>
    <x v="0"/>
    <x v="0"/>
    <x v="0"/>
    <x v="2"/>
    <s v="GBC Linen Binding Covers"/>
    <n v="49.57"/>
    <n v="2"/>
    <x v="0"/>
    <n v="17.350000000000001"/>
    <x v="0"/>
  </r>
  <r>
    <s v="CA-2012-153794"/>
    <x v="408"/>
    <x v="4"/>
    <d v="2012-09-16T00:00:00"/>
    <x v="0"/>
    <x v="586"/>
    <x v="0"/>
    <x v="18"/>
    <x v="0"/>
    <x v="4"/>
    <s v="Hunt PowerHouse Electric Pencil Sharpener, Blue"/>
    <n v="265.86"/>
    <n v="7"/>
    <x v="1"/>
    <n v="79.760000000000005"/>
    <x v="0"/>
  </r>
  <r>
    <s v="CA-2011-150329"/>
    <x v="509"/>
    <x v="8"/>
    <d v="2011-10-14T00:00:00"/>
    <x v="0"/>
    <x v="587"/>
    <x v="0"/>
    <x v="8"/>
    <x v="3"/>
    <x v="1"/>
    <s v="Westinghouse Clip-On Gooseneck Lamps"/>
    <n v="46.87"/>
    <n v="7"/>
    <x v="1"/>
    <n v="3.52"/>
    <x v="0"/>
  </r>
  <r>
    <s v="CA-2011-109134"/>
    <x v="673"/>
    <x v="7"/>
    <d v="2011-11-10T00:00:00"/>
    <x v="0"/>
    <x v="472"/>
    <x v="0"/>
    <x v="0"/>
    <x v="0"/>
    <x v="1"/>
    <s v="OIC Stacking Trays"/>
    <n v="20.04"/>
    <n v="6"/>
    <x v="0"/>
    <n v="8.82"/>
    <x v="0"/>
  </r>
  <r>
    <s v="CA-2012-165162"/>
    <x v="674"/>
    <x v="2"/>
    <d v="2012-05-21T00:00:00"/>
    <x v="1"/>
    <x v="588"/>
    <x v="0"/>
    <x v="0"/>
    <x v="0"/>
    <x v="3"/>
    <s v="Tennsco Snap-Together Open Shelving Units, Starter Sets and Add-On Units"/>
    <n v="1117.92"/>
    <n v="4"/>
    <x v="0"/>
    <n v="55.9"/>
    <x v="1"/>
  </r>
  <r>
    <s v="CA-2014-140494"/>
    <x v="675"/>
    <x v="9"/>
    <d v="2014-03-16T00:00:00"/>
    <x v="0"/>
    <x v="510"/>
    <x v="0"/>
    <x v="3"/>
    <x v="0"/>
    <x v="6"/>
    <s v="Maxell LTO Ultrium - 800 GB"/>
    <n v="111.96"/>
    <n v="4"/>
    <x v="0"/>
    <n v="21.27"/>
    <x v="0"/>
  </r>
  <r>
    <s v="CA-2014-145429"/>
    <x v="485"/>
    <x v="6"/>
    <d v="2014-07-26T00:00:00"/>
    <x v="0"/>
    <x v="502"/>
    <x v="0"/>
    <x v="18"/>
    <x v="0"/>
    <x v="8"/>
    <s v="Wirebound Message Forms, Four 2 3/4 x 5 Forms per Page, Pink Paper"/>
    <n v="16.34"/>
    <n v="2"/>
    <x v="0"/>
    <n v="7.68"/>
    <x v="0"/>
  </r>
  <r>
    <s v="CA-2012-139164"/>
    <x v="219"/>
    <x v="0"/>
    <d v="2012-06-28T00:00:00"/>
    <x v="0"/>
    <x v="475"/>
    <x v="0"/>
    <x v="23"/>
    <x v="0"/>
    <x v="11"/>
    <s v="Plantronics CS 50-USB - headset - Convertible, Monaural"/>
    <n v="217.58"/>
    <n v="2"/>
    <x v="0"/>
    <n v="19.04"/>
    <x v="0"/>
  </r>
  <r>
    <s v="CA-2012-123141"/>
    <x v="604"/>
    <x v="7"/>
    <d v="2012-11-19T00:00:00"/>
    <x v="0"/>
    <x v="101"/>
    <x v="0"/>
    <x v="152"/>
    <x v="6"/>
    <x v="7"/>
    <s v="SAFCO Arco Folding Chair"/>
    <n v="883.84"/>
    <n v="4"/>
    <x v="0"/>
    <n v="99.43"/>
    <x v="2"/>
  </r>
  <r>
    <s v="CA-2013-149503"/>
    <x v="676"/>
    <x v="1"/>
    <d v="2013-12-13T00:00:00"/>
    <x v="0"/>
    <x v="22"/>
    <x v="0"/>
    <x v="87"/>
    <x v="0"/>
    <x v="2"/>
    <s v="Wilson Jones Elliptical Ring 3 1/2&quot; Capacity Binders, 800 sheets"/>
    <n v="273.92"/>
    <n v="8"/>
    <x v="1"/>
    <n v="99.3"/>
    <x v="0"/>
  </r>
  <r>
    <s v="CA-2014-102974"/>
    <x v="637"/>
    <x v="4"/>
    <d v="2014-09-25T00:00:00"/>
    <x v="0"/>
    <x v="117"/>
    <x v="0"/>
    <x v="0"/>
    <x v="0"/>
    <x v="6"/>
    <s v="Microsoft Natural Ergonomic Keyboard 4000"/>
    <n v="149.94999999999999"/>
    <n v="5"/>
    <x v="0"/>
    <n v="31.49"/>
    <x v="0"/>
  </r>
  <r>
    <s v="CA-2013-128811"/>
    <x v="44"/>
    <x v="4"/>
    <d v="2013-09-17T00:00:00"/>
    <x v="0"/>
    <x v="82"/>
    <x v="0"/>
    <x v="1"/>
    <x v="1"/>
    <x v="12"/>
    <s v="OIC Bulk Pack Metal Binder Clips"/>
    <n v="10.47"/>
    <n v="3"/>
    <x v="0"/>
    <n v="4.82"/>
    <x v="0"/>
  </r>
  <r>
    <s v="CA-2011-120096"/>
    <x v="677"/>
    <x v="6"/>
    <d v="2011-07-07T00:00:00"/>
    <x v="0"/>
    <x v="430"/>
    <x v="0"/>
    <x v="7"/>
    <x v="5"/>
    <x v="8"/>
    <s v="Xerox 194"/>
    <n v="177.54"/>
    <n v="4"/>
    <x v="0"/>
    <n v="62.14"/>
    <x v="0"/>
  </r>
  <r>
    <s v="CA-2013-123358"/>
    <x v="505"/>
    <x v="10"/>
    <d v="2013-04-18T00:00:00"/>
    <x v="1"/>
    <x v="589"/>
    <x v="0"/>
    <x v="3"/>
    <x v="0"/>
    <x v="9"/>
    <s v="3M Replacement Filter for Office Air Cleaner for 20' x 33' Room"/>
    <n v="113.76"/>
    <n v="3"/>
    <x v="0"/>
    <n v="44.37"/>
    <x v="0"/>
  </r>
  <r>
    <s v="US-2014-101784"/>
    <x v="678"/>
    <x v="6"/>
    <d v="2014-07-12T00:00:00"/>
    <x v="0"/>
    <x v="578"/>
    <x v="0"/>
    <x v="0"/>
    <x v="0"/>
    <x v="7"/>
    <s v="Global Task Chair, Black"/>
    <n v="122.14"/>
    <n v="3"/>
    <x v="0"/>
    <n v="-13.74"/>
    <x v="0"/>
  </r>
  <r>
    <s v="CA-2014-139402"/>
    <x v="32"/>
    <x v="1"/>
    <d v="2014-12-14T00:00:00"/>
    <x v="0"/>
    <x v="437"/>
    <x v="0"/>
    <x v="8"/>
    <x v="3"/>
    <x v="8"/>
    <s v="Multicolor Computer Printout Paper"/>
    <n v="419.4"/>
    <n v="5"/>
    <x v="0"/>
    <n v="146.79"/>
    <x v="0"/>
  </r>
  <r>
    <s v="CA-2013-119018"/>
    <x v="99"/>
    <x v="7"/>
    <d v="2013-11-09T00:00:00"/>
    <x v="0"/>
    <x v="261"/>
    <x v="0"/>
    <x v="0"/>
    <x v="0"/>
    <x v="2"/>
    <s v="Tuff Stuff Recycled Round Ring Binders"/>
    <n v="7.71"/>
    <n v="2"/>
    <x v="0"/>
    <n v="2.8"/>
    <x v="0"/>
  </r>
  <r>
    <s v="CA-2013-124527"/>
    <x v="26"/>
    <x v="7"/>
    <d v="2013-11-18T00:00:00"/>
    <x v="0"/>
    <x v="590"/>
    <x v="0"/>
    <x v="9"/>
    <x v="0"/>
    <x v="2"/>
    <s v="Round Ring Binders"/>
    <n v="8.32"/>
    <n v="5"/>
    <x v="0"/>
    <n v="2.81"/>
    <x v="0"/>
  </r>
  <r>
    <s v="CA-2013-162348"/>
    <x v="125"/>
    <x v="7"/>
    <d v="2013-11-16T00:00:00"/>
    <x v="0"/>
    <x v="161"/>
    <x v="0"/>
    <x v="93"/>
    <x v="0"/>
    <x v="1"/>
    <s v="Eldon Expressions Wood and Plastic Desk Accessories, Oak"/>
    <n v="9.98"/>
    <n v="1"/>
    <x v="2"/>
    <n v="2.79"/>
    <x v="0"/>
  </r>
  <r>
    <s v="CA-2013-109827"/>
    <x v="242"/>
    <x v="1"/>
    <d v="2014-01-02T00:00:00"/>
    <x v="1"/>
    <x v="255"/>
    <x v="0"/>
    <x v="8"/>
    <x v="3"/>
    <x v="5"/>
    <s v="KI Conference Tables"/>
    <n v="35.450000000000003"/>
    <n v="1"/>
    <x v="2"/>
    <n v="-24.1"/>
    <x v="0"/>
  </r>
  <r>
    <s v="CA-2011-152233"/>
    <x v="679"/>
    <x v="8"/>
    <d v="2011-10-06T00:00:00"/>
    <x v="0"/>
    <x v="55"/>
    <x v="0"/>
    <x v="67"/>
    <x v="0"/>
    <x v="6"/>
    <s v="Plantronics Audio 478 Stereo USB Headset"/>
    <n v="99.98"/>
    <n v="2"/>
    <x v="0"/>
    <n v="34.99"/>
    <x v="0"/>
  </r>
  <r>
    <s v="CA-2014-162880"/>
    <x v="636"/>
    <x v="1"/>
    <d v="2014-12-30T00:00:00"/>
    <x v="0"/>
    <x v="552"/>
    <x v="0"/>
    <x v="153"/>
    <x v="1"/>
    <x v="2"/>
    <s v="Tuff Stuff Recycled Round Ring Binders"/>
    <n v="3.86"/>
    <n v="1"/>
    <x v="2"/>
    <n v="1.4"/>
    <x v="0"/>
  </r>
  <r>
    <s v="CA-2011-144414"/>
    <x v="680"/>
    <x v="0"/>
    <d v="2011-06-21T00:00:00"/>
    <x v="0"/>
    <x v="203"/>
    <x v="0"/>
    <x v="1"/>
    <x v="1"/>
    <x v="1"/>
    <s v="Eldon Wave Desk Accessories"/>
    <n v="6.24"/>
    <n v="3"/>
    <x v="0"/>
    <n v="2.62"/>
    <x v="0"/>
  </r>
  <r>
    <s v="US-2014-115609"/>
    <x v="369"/>
    <x v="7"/>
    <d v="2014-11-08T00:00:00"/>
    <x v="0"/>
    <x v="350"/>
    <x v="0"/>
    <x v="0"/>
    <x v="0"/>
    <x v="9"/>
    <s v="Fellowes 8 Outlet Superior Workstation Surge Protector w/o Phone/Fax/Modem Protection"/>
    <n v="168.1"/>
    <n v="5"/>
    <x v="0"/>
    <n v="43.71"/>
    <x v="0"/>
  </r>
  <r>
    <s v="CA-2013-153101"/>
    <x v="271"/>
    <x v="4"/>
    <d v="2013-09-09T00:00:00"/>
    <x v="0"/>
    <x v="114"/>
    <x v="0"/>
    <x v="46"/>
    <x v="0"/>
    <x v="5"/>
    <s v="Lesro Round Back Collection Coffee Table, End Table"/>
    <n v="146.04"/>
    <n v="1"/>
    <x v="2"/>
    <n v="-12.78"/>
    <x v="0"/>
  </r>
  <r>
    <s v="CA-2013-142615"/>
    <x v="579"/>
    <x v="7"/>
    <d v="2013-11-25T00:00:00"/>
    <x v="0"/>
    <x v="591"/>
    <x v="0"/>
    <x v="154"/>
    <x v="0"/>
    <x v="6"/>
    <s v="Sony Micro Vault Click 4 GB USB 2.0 Flash Drive"/>
    <n v="27.88"/>
    <n v="2"/>
    <x v="0"/>
    <n v="3.9"/>
    <x v="0"/>
  </r>
  <r>
    <s v="CA-2014-142643"/>
    <x v="175"/>
    <x v="8"/>
    <d v="2014-10-21T00:00:00"/>
    <x v="0"/>
    <x v="152"/>
    <x v="0"/>
    <x v="94"/>
    <x v="0"/>
    <x v="0"/>
    <s v="Avery 4027 File Folder Labels for Dot Matrix Printers, 5000 Labels per Box, White"/>
    <n v="152.65"/>
    <n v="5"/>
    <x v="0"/>
    <n v="70.22"/>
    <x v="0"/>
  </r>
  <r>
    <s v="CA-2014-107517"/>
    <x v="681"/>
    <x v="11"/>
    <d v="2014-02-10T00:00:00"/>
    <x v="0"/>
    <x v="505"/>
    <x v="0"/>
    <x v="50"/>
    <x v="0"/>
    <x v="9"/>
    <s v="Sanyo Counter Height Refrigerator with Crisper, 3.6 Cubic Foot, Stainless Steel/Black"/>
    <n v="1640.7"/>
    <n v="5"/>
    <x v="0"/>
    <n v="459.4"/>
    <x v="1"/>
  </r>
  <r>
    <s v="CA-2011-147543"/>
    <x v="682"/>
    <x v="6"/>
    <d v="2011-07-12T00:00:00"/>
    <x v="0"/>
    <x v="296"/>
    <x v="0"/>
    <x v="155"/>
    <x v="0"/>
    <x v="7"/>
    <s v="Global Comet Stacking Armless Chair"/>
    <n v="478.48"/>
    <n v="2"/>
    <x v="0"/>
    <n v="47.85"/>
    <x v="0"/>
  </r>
  <r>
    <s v="US-2013-159093"/>
    <x v="68"/>
    <x v="2"/>
    <d v="2013-05-15T00:00:00"/>
    <x v="0"/>
    <x v="295"/>
    <x v="0"/>
    <x v="0"/>
    <x v="0"/>
    <x v="8"/>
    <s v="TOPS Money Receipt Book, Consecutively Numbered in Red,"/>
    <n v="32.04"/>
    <n v="4"/>
    <x v="0"/>
    <n v="14.42"/>
    <x v="0"/>
  </r>
  <r>
    <s v="CA-2013-162110"/>
    <x v="166"/>
    <x v="6"/>
    <d v="2013-07-23T00:00:00"/>
    <x v="0"/>
    <x v="592"/>
    <x v="0"/>
    <x v="8"/>
    <x v="3"/>
    <x v="11"/>
    <s v="iHome FM Clock Radio with Lightning Dock"/>
    <n v="55.99"/>
    <n v="1"/>
    <x v="2"/>
    <n v="3.5"/>
    <x v="0"/>
  </r>
  <r>
    <s v="CA-2011-101462"/>
    <x v="683"/>
    <x v="10"/>
    <d v="2011-04-25T00:00:00"/>
    <x v="0"/>
    <x v="246"/>
    <x v="0"/>
    <x v="0"/>
    <x v="0"/>
    <x v="1"/>
    <s v="GE 4 Foot Flourescent Tube, 40 Watt"/>
    <n v="59.92"/>
    <n v="4"/>
    <x v="0"/>
    <n v="27.56"/>
    <x v="0"/>
  </r>
  <r>
    <s v="CA-2014-128965"/>
    <x v="381"/>
    <x v="10"/>
    <d v="2014-04-23T00:00:00"/>
    <x v="0"/>
    <x v="225"/>
    <x v="0"/>
    <x v="0"/>
    <x v="0"/>
    <x v="8"/>
    <s v="Rediform S.O.S. 1-Up Phone Message Bk, 4-1/4x3-1/16 Bk, 1 Form/Pg, 40 Messages/Bk, 3/Pk"/>
    <n v="28.14"/>
    <n v="3"/>
    <x v="0"/>
    <n v="13.51"/>
    <x v="0"/>
  </r>
  <r>
    <s v="US-2013-126452"/>
    <x v="684"/>
    <x v="3"/>
    <d v="2013-08-29T00:00:00"/>
    <x v="1"/>
    <x v="593"/>
    <x v="0"/>
    <x v="0"/>
    <x v="0"/>
    <x v="2"/>
    <s v="Avery Durable Slant Ring Binders"/>
    <n v="12.67"/>
    <n v="2"/>
    <x v="0"/>
    <n v="4.75"/>
    <x v="0"/>
  </r>
  <r>
    <s v="CA-2012-162544"/>
    <x v="685"/>
    <x v="1"/>
    <d v="2012-12-19T00:00:00"/>
    <x v="0"/>
    <x v="271"/>
    <x v="0"/>
    <x v="1"/>
    <x v="1"/>
    <x v="8"/>
    <s v="Xerox 190"/>
    <n v="4.9800000000000004"/>
    <n v="1"/>
    <x v="2"/>
    <n v="2.34"/>
    <x v="0"/>
  </r>
  <r>
    <s v="CA-2012-137113"/>
    <x v="194"/>
    <x v="1"/>
    <d v="2012-12-05T00:00:00"/>
    <x v="0"/>
    <x v="21"/>
    <x v="0"/>
    <x v="1"/>
    <x v="1"/>
    <x v="7"/>
    <s v="Global Troy Executive Leather Low-Back Tilter"/>
    <n v="2003.92"/>
    <n v="5"/>
    <x v="0"/>
    <n v="125.25"/>
    <x v="1"/>
  </r>
  <r>
    <s v="CA-2014-120222"/>
    <x v="550"/>
    <x v="10"/>
    <d v="2014-05-03T00:00:00"/>
    <x v="1"/>
    <x v="237"/>
    <x v="0"/>
    <x v="0"/>
    <x v="0"/>
    <x v="8"/>
    <s v="Telephone Message Books with Fax/Mobile Section, 5 1/2&quot; x 3 3/16&quot;"/>
    <n v="19.05"/>
    <n v="3"/>
    <x v="0"/>
    <n v="8.76"/>
    <x v="0"/>
  </r>
  <r>
    <s v="US-2014-135013"/>
    <x v="686"/>
    <x v="6"/>
    <d v="2014-07-25T00:00:00"/>
    <x v="0"/>
    <x v="158"/>
    <x v="0"/>
    <x v="29"/>
    <x v="0"/>
    <x v="13"/>
    <s v="Hewlett Packard LaserJet 3310 Copier"/>
    <n v="2399.96"/>
    <n v="5"/>
    <x v="0"/>
    <n v="839.99"/>
    <x v="1"/>
  </r>
  <r>
    <s v="US-2014-149006"/>
    <x v="687"/>
    <x v="1"/>
    <d v="2014-12-09T00:00:00"/>
    <x v="0"/>
    <x v="594"/>
    <x v="0"/>
    <x v="19"/>
    <x v="0"/>
    <x v="3"/>
    <s v="Staples"/>
    <n v="10.68"/>
    <n v="1"/>
    <x v="2"/>
    <n v="2.88"/>
    <x v="0"/>
  </r>
  <r>
    <s v="CA-2013-140249"/>
    <x v="688"/>
    <x v="4"/>
    <d v="2013-10-04T00:00:00"/>
    <x v="0"/>
    <x v="502"/>
    <x v="0"/>
    <x v="1"/>
    <x v="1"/>
    <x v="11"/>
    <s v="Samsung Galaxy S4"/>
    <n v="1001.58"/>
    <n v="2"/>
    <x v="0"/>
    <n v="125.2"/>
    <x v="1"/>
  </r>
  <r>
    <s v="US-2014-115301"/>
    <x v="245"/>
    <x v="6"/>
    <d v="2014-08-03T00:00:00"/>
    <x v="0"/>
    <x v="136"/>
    <x v="0"/>
    <x v="1"/>
    <x v="1"/>
    <x v="15"/>
    <s v="Bush Westfield Collection Bookcases, Medium Cherry Finish"/>
    <n v="115.96"/>
    <n v="2"/>
    <x v="0"/>
    <n v="25.51"/>
    <x v="0"/>
  </r>
  <r>
    <s v="CA-2014-168942"/>
    <x v="291"/>
    <x v="3"/>
    <d v="2014-08-06T00:00:00"/>
    <x v="0"/>
    <x v="595"/>
    <x v="0"/>
    <x v="3"/>
    <x v="0"/>
    <x v="3"/>
    <s v="Fellowes Mobile File Cart, Black"/>
    <n v="186.54"/>
    <n v="3"/>
    <x v="0"/>
    <n v="50.37"/>
    <x v="0"/>
  </r>
  <r>
    <s v="US-2014-128398"/>
    <x v="689"/>
    <x v="2"/>
    <d v="2014-05-06T00:00:00"/>
    <x v="0"/>
    <x v="596"/>
    <x v="0"/>
    <x v="0"/>
    <x v="0"/>
    <x v="6"/>
    <s v="Logitech MX Performance Wireless Mouse"/>
    <n v="159.56"/>
    <n v="4"/>
    <x v="0"/>
    <n v="59.04"/>
    <x v="0"/>
  </r>
  <r>
    <s v="CA-2011-124247"/>
    <x v="394"/>
    <x v="1"/>
    <d v="2011-12-21T00:00:00"/>
    <x v="0"/>
    <x v="597"/>
    <x v="0"/>
    <x v="93"/>
    <x v="0"/>
    <x v="7"/>
    <s v="Office Star - Professional Matrix Back Chair with 2-to-1 Synchro Tilt and Mesh Fabric Seat"/>
    <n v="1403.92"/>
    <n v="5"/>
    <x v="0"/>
    <n v="70.2"/>
    <x v="1"/>
  </r>
  <r>
    <s v="CA-2013-105473"/>
    <x v="690"/>
    <x v="10"/>
    <d v="2013-04-19T00:00:00"/>
    <x v="0"/>
    <x v="598"/>
    <x v="0"/>
    <x v="1"/>
    <x v="1"/>
    <x v="14"/>
    <s v="Stiletto Hand Letter Openers"/>
    <n v="28.8"/>
    <n v="3"/>
    <x v="0"/>
    <n v="0.86"/>
    <x v="0"/>
  </r>
  <r>
    <s v="CA-2014-121706"/>
    <x v="165"/>
    <x v="11"/>
    <d v="2014-03-03T00:00:00"/>
    <x v="0"/>
    <x v="599"/>
    <x v="0"/>
    <x v="136"/>
    <x v="0"/>
    <x v="9"/>
    <s v="Tripp Lite TLP810NET Broadband Surge for Modem/Fax"/>
    <n v="356.79"/>
    <n v="7"/>
    <x v="1"/>
    <n v="99.9"/>
    <x v="0"/>
  </r>
  <r>
    <s v="CA-2013-140046"/>
    <x v="691"/>
    <x v="6"/>
    <d v="2013-08-04T00:00:00"/>
    <x v="0"/>
    <x v="566"/>
    <x v="0"/>
    <x v="0"/>
    <x v="0"/>
    <x v="0"/>
    <s v="Avery 495"/>
    <n v="18.899999999999999"/>
    <n v="3"/>
    <x v="0"/>
    <n v="8.69"/>
    <x v="0"/>
  </r>
  <r>
    <s v="CA-2013-140382"/>
    <x v="692"/>
    <x v="0"/>
    <d v="2013-06-26T00:00:00"/>
    <x v="0"/>
    <x v="26"/>
    <x v="0"/>
    <x v="3"/>
    <x v="0"/>
    <x v="3"/>
    <s v="Mobile Personal File Cube"/>
    <n v="93.68"/>
    <n v="4"/>
    <x v="0"/>
    <n v="25.29"/>
    <x v="0"/>
  </r>
  <r>
    <s v="CA-2013-125094"/>
    <x v="319"/>
    <x v="7"/>
    <d v="2013-11-10T00:00:00"/>
    <x v="0"/>
    <x v="163"/>
    <x v="0"/>
    <x v="1"/>
    <x v="1"/>
    <x v="6"/>
    <s v="Cherry 142-key Programmable Keyboard"/>
    <n v="479.72"/>
    <n v="4"/>
    <x v="0"/>
    <n v="52.77"/>
    <x v="0"/>
  </r>
  <r>
    <s v="CA-2012-139248"/>
    <x v="360"/>
    <x v="6"/>
    <d v="2012-07-30T00:00:00"/>
    <x v="0"/>
    <x v="600"/>
    <x v="0"/>
    <x v="0"/>
    <x v="0"/>
    <x v="11"/>
    <s v="Motorola L703CM"/>
    <n v="623.96"/>
    <n v="5"/>
    <x v="0"/>
    <n v="39"/>
    <x v="2"/>
  </r>
  <r>
    <s v="CA-2012-126466"/>
    <x v="693"/>
    <x v="7"/>
    <d v="2012-11-13T00:00:00"/>
    <x v="0"/>
    <x v="211"/>
    <x v="0"/>
    <x v="9"/>
    <x v="0"/>
    <x v="12"/>
    <s v="OIC Binder Clips, Mini, 1/4&quot; Capacity, Black"/>
    <n v="2.48"/>
    <n v="2"/>
    <x v="0"/>
    <n v="1.17"/>
    <x v="0"/>
  </r>
  <r>
    <s v="CA-2012-129917"/>
    <x v="274"/>
    <x v="8"/>
    <d v="2012-10-03T00:00:00"/>
    <x v="0"/>
    <x v="601"/>
    <x v="0"/>
    <x v="0"/>
    <x v="0"/>
    <x v="2"/>
    <s v="Pressboard Hanging Data Binders for Unburst Sheets"/>
    <n v="11.81"/>
    <n v="3"/>
    <x v="0"/>
    <n v="4.13"/>
    <x v="0"/>
  </r>
  <r>
    <s v="CA-2012-115420"/>
    <x v="122"/>
    <x v="10"/>
    <d v="2012-05-02T00:00:00"/>
    <x v="1"/>
    <x v="160"/>
    <x v="0"/>
    <x v="0"/>
    <x v="0"/>
    <x v="10"/>
    <s v="Laser &amp; Ink Jet Business Envelopes"/>
    <n v="21.34"/>
    <n v="2"/>
    <x v="0"/>
    <n v="9.82"/>
    <x v="0"/>
  </r>
  <r>
    <s v="CA-2012-167255"/>
    <x v="694"/>
    <x v="4"/>
    <d v="2012-09-29T00:00:00"/>
    <x v="0"/>
    <x v="285"/>
    <x v="0"/>
    <x v="3"/>
    <x v="0"/>
    <x v="3"/>
    <s v="Personal Filing Tote with Lid, Black/Gray"/>
    <n v="15.51"/>
    <n v="1"/>
    <x v="2"/>
    <n v="4.34"/>
    <x v="0"/>
  </r>
  <r>
    <s v="CA-2014-162096"/>
    <x v="181"/>
    <x v="7"/>
    <d v="2014-11-11T00:00:00"/>
    <x v="0"/>
    <x v="602"/>
    <x v="0"/>
    <x v="49"/>
    <x v="0"/>
    <x v="4"/>
    <s v="12 Colored Short Pencils"/>
    <n v="7.8"/>
    <n v="3"/>
    <x v="0"/>
    <n v="2.11"/>
    <x v="0"/>
  </r>
  <r>
    <s v="CA-2013-163937"/>
    <x v="520"/>
    <x v="5"/>
    <d v="2013-01-13T00:00:00"/>
    <x v="0"/>
    <x v="534"/>
    <x v="0"/>
    <x v="147"/>
    <x v="1"/>
    <x v="1"/>
    <s v="DAX Value U-Channel Document Frames, Easel Back"/>
    <n v="24.85"/>
    <n v="5"/>
    <x v="0"/>
    <n v="7.7"/>
    <x v="0"/>
  </r>
  <r>
    <s v="CA-2014-153822"/>
    <x v="637"/>
    <x v="4"/>
    <d v="2014-09-26T00:00:00"/>
    <x v="0"/>
    <x v="183"/>
    <x v="0"/>
    <x v="8"/>
    <x v="3"/>
    <x v="3"/>
    <s v="Akro Stacking Bins"/>
    <n v="12.62"/>
    <n v="2"/>
    <x v="0"/>
    <n v="-2.52"/>
    <x v="0"/>
  </r>
  <r>
    <s v="CA-2012-112144"/>
    <x v="695"/>
    <x v="0"/>
    <d v="2012-07-02T00:00:00"/>
    <x v="0"/>
    <x v="147"/>
    <x v="0"/>
    <x v="5"/>
    <x v="3"/>
    <x v="0"/>
    <s v="Avery 501"/>
    <n v="5.9"/>
    <n v="2"/>
    <x v="0"/>
    <n v="1.99"/>
    <x v="0"/>
  </r>
  <r>
    <s v="CA-2014-149076"/>
    <x v="475"/>
    <x v="5"/>
    <d v="2014-01-20T00:00:00"/>
    <x v="0"/>
    <x v="603"/>
    <x v="0"/>
    <x v="0"/>
    <x v="0"/>
    <x v="8"/>
    <s v="Xerox 19"/>
    <n v="154.9"/>
    <n v="5"/>
    <x v="0"/>
    <n v="69.709999999999994"/>
    <x v="0"/>
  </r>
  <r>
    <s v="CA-2012-166800"/>
    <x v="438"/>
    <x v="7"/>
    <d v="2012-11-26T00:00:00"/>
    <x v="1"/>
    <x v="326"/>
    <x v="0"/>
    <x v="28"/>
    <x v="7"/>
    <x v="9"/>
    <s v="Hoover Commercial Soft Guard Upright Vacuum And Disposable Filtration Bags"/>
    <n v="31.08"/>
    <n v="4"/>
    <x v="0"/>
    <n v="8.39"/>
    <x v="0"/>
  </r>
  <r>
    <s v="US-2013-134369"/>
    <x v="696"/>
    <x v="4"/>
    <d v="2013-09-23T00:00:00"/>
    <x v="0"/>
    <x v="296"/>
    <x v="0"/>
    <x v="70"/>
    <x v="0"/>
    <x v="8"/>
    <s v="Xerox 1966"/>
    <n v="12.96"/>
    <n v="2"/>
    <x v="0"/>
    <n v="6.35"/>
    <x v="0"/>
  </r>
  <r>
    <s v="CA-2011-133158"/>
    <x v="697"/>
    <x v="3"/>
    <d v="2011-08-21T00:00:00"/>
    <x v="0"/>
    <x v="444"/>
    <x v="0"/>
    <x v="0"/>
    <x v="0"/>
    <x v="1"/>
    <s v="Deflect-o EconoMat Studded, No Bevel Mat for Low Pile Carpeting"/>
    <n v="289.24"/>
    <n v="7"/>
    <x v="1"/>
    <n v="26.03"/>
    <x v="0"/>
  </r>
  <r>
    <s v="CA-2014-141201"/>
    <x v="32"/>
    <x v="1"/>
    <d v="2014-12-12T00:00:00"/>
    <x v="0"/>
    <x v="604"/>
    <x v="0"/>
    <x v="47"/>
    <x v="0"/>
    <x v="15"/>
    <s v="O'Sullivan 3-Shelf Heavy-Duty Bookcases"/>
    <n v="148.26"/>
    <n v="3"/>
    <x v="0"/>
    <n v="15.7"/>
    <x v="0"/>
  </r>
  <r>
    <s v="CA-2011-124737"/>
    <x v="672"/>
    <x v="3"/>
    <d v="2011-08-27T00:00:00"/>
    <x v="0"/>
    <x v="154"/>
    <x v="0"/>
    <x v="15"/>
    <x v="5"/>
    <x v="8"/>
    <s v="Xerox 1976"/>
    <n v="15.55"/>
    <n v="3"/>
    <x v="0"/>
    <n v="5.44"/>
    <x v="0"/>
  </r>
  <r>
    <s v="CA-2014-119494"/>
    <x v="286"/>
    <x v="7"/>
    <d v="2014-11-14T00:00:00"/>
    <x v="0"/>
    <x v="481"/>
    <x v="0"/>
    <x v="18"/>
    <x v="0"/>
    <x v="7"/>
    <s v="Lifetime Advantage Folding Chairs, 4/Carton"/>
    <n v="523.39"/>
    <n v="3"/>
    <x v="0"/>
    <n v="52.34"/>
    <x v="2"/>
  </r>
  <r>
    <s v="CA-2011-150581"/>
    <x v="448"/>
    <x v="10"/>
    <d v="2011-04-12T00:00:00"/>
    <x v="0"/>
    <x v="605"/>
    <x v="0"/>
    <x v="31"/>
    <x v="0"/>
    <x v="5"/>
    <s v="Bevis 36 x 72 Conference Tables"/>
    <n v="99.59"/>
    <n v="1"/>
    <x v="2"/>
    <n v="2.4900000000000002"/>
    <x v="0"/>
  </r>
  <r>
    <s v="CA-2011-141355"/>
    <x v="698"/>
    <x v="4"/>
    <d v="2011-09-30T00:00:00"/>
    <x v="0"/>
    <x v="287"/>
    <x v="0"/>
    <x v="7"/>
    <x v="5"/>
    <x v="4"/>
    <s v="Dixon Ticonderoga Core-Lock Colored Pencils"/>
    <n v="14.58"/>
    <n v="2"/>
    <x v="0"/>
    <n v="2.37"/>
    <x v="0"/>
  </r>
  <r>
    <s v="CA-2013-165330"/>
    <x v="93"/>
    <x v="1"/>
    <d v="2013-12-12T00:00:00"/>
    <x v="0"/>
    <x v="273"/>
    <x v="0"/>
    <x v="36"/>
    <x v="0"/>
    <x v="2"/>
    <s v="Ibico Laser Imprintable Binding System Covers"/>
    <n v="209.6"/>
    <n v="5"/>
    <x v="0"/>
    <n v="68.12"/>
    <x v="0"/>
  </r>
  <r>
    <s v="CA-2012-132633"/>
    <x v="255"/>
    <x v="11"/>
    <d v="2012-02-05T00:00:00"/>
    <x v="0"/>
    <x v="359"/>
    <x v="0"/>
    <x v="64"/>
    <x v="2"/>
    <x v="2"/>
    <s v="Wilson Jones Standard D-Ring Binders"/>
    <n v="12.14"/>
    <n v="3"/>
    <x v="0"/>
    <n v="4.0999999999999996"/>
    <x v="0"/>
  </r>
  <r>
    <s v="CA-2013-157742"/>
    <x v="582"/>
    <x v="1"/>
    <d v="2014-01-01T00:00:00"/>
    <x v="0"/>
    <x v="48"/>
    <x v="0"/>
    <x v="80"/>
    <x v="4"/>
    <x v="10"/>
    <s v="Peel &amp; Seel Recycled Catalog Envelopes, Brown"/>
    <n v="27.79"/>
    <n v="3"/>
    <x v="0"/>
    <n v="10.42"/>
    <x v="0"/>
  </r>
  <r>
    <s v="CA-2014-127712"/>
    <x v="207"/>
    <x v="4"/>
    <d v="2014-09-06T00:00:00"/>
    <x v="0"/>
    <x v="324"/>
    <x v="0"/>
    <x v="38"/>
    <x v="4"/>
    <x v="14"/>
    <s v="Acme Kleen Earth Office Shears"/>
    <n v="6.21"/>
    <n v="2"/>
    <x v="0"/>
    <n v="0.7"/>
    <x v="0"/>
  </r>
  <r>
    <s v="CA-2011-106726"/>
    <x v="376"/>
    <x v="1"/>
    <d v="2011-12-08T00:00:00"/>
    <x v="0"/>
    <x v="411"/>
    <x v="0"/>
    <x v="0"/>
    <x v="0"/>
    <x v="3"/>
    <s v="Standard Rollaway File with Lock"/>
    <n v="1261.33"/>
    <n v="7"/>
    <x v="1"/>
    <n v="327.95"/>
    <x v="1"/>
  </r>
  <r>
    <s v="CA-2013-147473"/>
    <x v="70"/>
    <x v="2"/>
    <d v="2013-06-04T00:00:00"/>
    <x v="0"/>
    <x v="332"/>
    <x v="0"/>
    <x v="0"/>
    <x v="0"/>
    <x v="8"/>
    <s v="Xerox 228"/>
    <n v="38.880000000000003"/>
    <n v="6"/>
    <x v="0"/>
    <n v="18.66"/>
    <x v="0"/>
  </r>
  <r>
    <s v="CA-2011-141901"/>
    <x v="237"/>
    <x v="3"/>
    <d v="2011-08-14T00:00:00"/>
    <x v="0"/>
    <x v="259"/>
    <x v="0"/>
    <x v="59"/>
    <x v="0"/>
    <x v="8"/>
    <s v="Great White Multi-Use Recycled Paper (20Lb. and 84 Bright)"/>
    <n v="5.98"/>
    <n v="1"/>
    <x v="2"/>
    <n v="2.69"/>
    <x v="0"/>
  </r>
  <r>
    <s v="CA-2013-167416"/>
    <x v="699"/>
    <x v="2"/>
    <d v="2013-05-18T00:00:00"/>
    <x v="0"/>
    <x v="500"/>
    <x v="0"/>
    <x v="1"/>
    <x v="1"/>
    <x v="10"/>
    <s v="Manila Recycled Extra-Heavyweight Clasp Envelopes, 6&quot; x 9&quot;"/>
    <n v="54.9"/>
    <n v="5"/>
    <x v="0"/>
    <n v="26.9"/>
    <x v="0"/>
  </r>
  <r>
    <s v="CA-2014-118724"/>
    <x v="485"/>
    <x v="6"/>
    <d v="2014-07-26T00:00:00"/>
    <x v="0"/>
    <x v="94"/>
    <x v="0"/>
    <x v="31"/>
    <x v="0"/>
    <x v="4"/>
    <s v="Nontoxic Chalk"/>
    <n v="3.52"/>
    <n v="2"/>
    <x v="0"/>
    <n v="1.69"/>
    <x v="0"/>
  </r>
  <r>
    <s v="US-2014-143175"/>
    <x v="515"/>
    <x v="3"/>
    <d v="2014-08-07T00:00:00"/>
    <x v="0"/>
    <x v="344"/>
    <x v="0"/>
    <x v="0"/>
    <x v="0"/>
    <x v="3"/>
    <s v="Fellowes Bases and Tops For Staxonsteel/High-Stak Systems"/>
    <n v="99.87"/>
    <n v="3"/>
    <x v="0"/>
    <n v="23.97"/>
    <x v="0"/>
  </r>
  <r>
    <s v="CA-2012-105844"/>
    <x v="495"/>
    <x v="8"/>
    <d v="2012-10-27T00:00:00"/>
    <x v="0"/>
    <x v="570"/>
    <x v="0"/>
    <x v="96"/>
    <x v="7"/>
    <x v="4"/>
    <s v="Newell 319"/>
    <n v="79.36"/>
    <n v="4"/>
    <x v="0"/>
    <n v="23.81"/>
    <x v="0"/>
  </r>
  <r>
    <s v="CA-2014-118864"/>
    <x v="50"/>
    <x v="0"/>
    <d v="2014-06-20T00:00:00"/>
    <x v="0"/>
    <x v="38"/>
    <x v="0"/>
    <x v="0"/>
    <x v="0"/>
    <x v="11"/>
    <s v="Panasonic KX T7736-B Digital phone"/>
    <n v="119.96"/>
    <n v="1"/>
    <x v="2"/>
    <n v="7.5"/>
    <x v="0"/>
  </r>
  <r>
    <s v="CA-2011-159625"/>
    <x v="218"/>
    <x v="7"/>
    <d v="2011-11-28T00:00:00"/>
    <x v="0"/>
    <x v="606"/>
    <x v="0"/>
    <x v="11"/>
    <x v="3"/>
    <x v="10"/>
    <s v="Staples"/>
    <n v="23.47"/>
    <n v="3"/>
    <x v="0"/>
    <n v="8.8000000000000007"/>
    <x v="0"/>
  </r>
  <r>
    <s v="CA-2014-147410"/>
    <x v="321"/>
    <x v="4"/>
    <d v="2014-09-09T00:00:00"/>
    <x v="0"/>
    <x v="512"/>
    <x v="0"/>
    <x v="46"/>
    <x v="0"/>
    <x v="3"/>
    <s v="24 Capacity Maxi Data Binder Racks, Pearl"/>
    <n v="421.1"/>
    <n v="2"/>
    <x v="0"/>
    <n v="105.28"/>
    <x v="0"/>
  </r>
  <r>
    <s v="US-2013-102239"/>
    <x v="334"/>
    <x v="2"/>
    <d v="2013-05-07T00:00:00"/>
    <x v="0"/>
    <x v="129"/>
    <x v="0"/>
    <x v="76"/>
    <x v="7"/>
    <x v="5"/>
    <s v="Global Adaptabilities Conference Tables"/>
    <n v="1685.88"/>
    <n v="6"/>
    <x v="0"/>
    <n v="320.32"/>
    <x v="1"/>
  </r>
  <r>
    <s v="CA-2011-143168"/>
    <x v="700"/>
    <x v="8"/>
    <d v="2011-10-23T00:00:00"/>
    <x v="0"/>
    <x v="206"/>
    <x v="0"/>
    <x v="1"/>
    <x v="1"/>
    <x v="8"/>
    <s v="Xerox 1925"/>
    <n v="61.96"/>
    <n v="2"/>
    <x v="0"/>
    <n v="27.88"/>
    <x v="0"/>
  </r>
  <r>
    <s v="CA-2014-118122"/>
    <x v="701"/>
    <x v="7"/>
    <d v="2014-11-25T00:00:00"/>
    <x v="1"/>
    <x v="153"/>
    <x v="0"/>
    <x v="1"/>
    <x v="1"/>
    <x v="2"/>
    <s v="Cardinal Slant-D Ring Binder, Heavy Gauge Vinyl"/>
    <n v="13.9"/>
    <n v="2"/>
    <x v="0"/>
    <n v="4.5199999999999996"/>
    <x v="0"/>
  </r>
  <r>
    <s v="CA-2014-166926"/>
    <x v="88"/>
    <x v="1"/>
    <d v="2014-12-09T00:00:00"/>
    <x v="1"/>
    <x v="603"/>
    <x v="0"/>
    <x v="1"/>
    <x v="1"/>
    <x v="8"/>
    <s v="Xerox 1947"/>
    <n v="41.86"/>
    <n v="7"/>
    <x v="1"/>
    <n v="18.84"/>
    <x v="0"/>
  </r>
  <r>
    <s v="CA-2014-142909"/>
    <x v="338"/>
    <x v="1"/>
    <d v="2014-12-26T00:00:00"/>
    <x v="0"/>
    <x v="451"/>
    <x v="0"/>
    <x v="35"/>
    <x v="3"/>
    <x v="5"/>
    <s v="Lesro Round Back Collection Coffee Table, End Table"/>
    <n v="182.55"/>
    <n v="2"/>
    <x v="0"/>
    <n v="-135.09"/>
    <x v="0"/>
  </r>
  <r>
    <s v="CA-2013-131380"/>
    <x v="702"/>
    <x v="9"/>
    <d v="2013-04-01T00:00:00"/>
    <x v="0"/>
    <x v="381"/>
    <x v="0"/>
    <x v="0"/>
    <x v="0"/>
    <x v="3"/>
    <s v="Rogers Deluxe File Chest"/>
    <n v="87.92"/>
    <n v="4"/>
    <x v="0"/>
    <n v="0.88"/>
    <x v="0"/>
  </r>
  <r>
    <s v="CA-2011-117464"/>
    <x v="703"/>
    <x v="6"/>
    <d v="2011-07-24T00:00:00"/>
    <x v="0"/>
    <x v="148"/>
    <x v="0"/>
    <x v="3"/>
    <x v="0"/>
    <x v="4"/>
    <s v="Newell 32"/>
    <n v="11.52"/>
    <n v="4"/>
    <x v="0"/>
    <n v="3.23"/>
    <x v="0"/>
  </r>
  <r>
    <s v="CA-2014-125381"/>
    <x v="550"/>
    <x v="10"/>
    <d v="2014-04-28T00:00:00"/>
    <x v="0"/>
    <x v="607"/>
    <x v="0"/>
    <x v="3"/>
    <x v="0"/>
    <x v="6"/>
    <s v="Sony 64GB Class 10 Micro SDHC R40 Memory Card"/>
    <n v="107.97"/>
    <n v="3"/>
    <x v="0"/>
    <n v="22.67"/>
    <x v="0"/>
  </r>
  <r>
    <s v="CA-2014-150609"/>
    <x v="570"/>
    <x v="2"/>
    <d v="2014-05-05T00:00:00"/>
    <x v="0"/>
    <x v="106"/>
    <x v="0"/>
    <x v="0"/>
    <x v="0"/>
    <x v="2"/>
    <s v="Fellowes Black Plastic Comb Bindings"/>
    <n v="23.24"/>
    <n v="5"/>
    <x v="0"/>
    <n v="7.55"/>
    <x v="0"/>
  </r>
  <r>
    <s v="CA-2013-164399"/>
    <x v="150"/>
    <x v="7"/>
    <d v="2013-11-16T00:00:00"/>
    <x v="0"/>
    <x v="275"/>
    <x v="0"/>
    <x v="18"/>
    <x v="0"/>
    <x v="11"/>
    <s v="Panasonic KX TS3282W Corded phone"/>
    <n v="203.98"/>
    <n v="3"/>
    <x v="0"/>
    <n v="25.5"/>
    <x v="0"/>
  </r>
  <r>
    <s v="CA-2013-147683"/>
    <x v="139"/>
    <x v="7"/>
    <d v="2013-11-18T00:00:00"/>
    <x v="0"/>
    <x v="365"/>
    <x v="0"/>
    <x v="1"/>
    <x v="1"/>
    <x v="1"/>
    <s v="DAX Solid Wood Frames"/>
    <n v="19.54"/>
    <n v="2"/>
    <x v="0"/>
    <n v="7.23"/>
    <x v="0"/>
  </r>
  <r>
    <s v="CA-2011-116785"/>
    <x v="336"/>
    <x v="10"/>
    <d v="2011-04-30T00:00:00"/>
    <x v="0"/>
    <x v="524"/>
    <x v="0"/>
    <x v="0"/>
    <x v="0"/>
    <x v="4"/>
    <s v="Newell 347"/>
    <n v="21.4"/>
    <n v="5"/>
    <x v="0"/>
    <n v="6.21"/>
    <x v="0"/>
  </r>
  <r>
    <s v="CA-2014-137414"/>
    <x v="462"/>
    <x v="8"/>
    <d v="2014-10-07T00:00:00"/>
    <x v="0"/>
    <x v="608"/>
    <x v="0"/>
    <x v="3"/>
    <x v="0"/>
    <x v="1"/>
    <s v="Dax Clear Box Frame"/>
    <n v="17.46"/>
    <n v="2"/>
    <x v="0"/>
    <n v="5.94"/>
    <x v="0"/>
  </r>
  <r>
    <s v="CA-2013-143476"/>
    <x v="36"/>
    <x v="4"/>
    <d v="2013-09-14T00:00:00"/>
    <x v="0"/>
    <x v="310"/>
    <x v="0"/>
    <x v="8"/>
    <x v="3"/>
    <x v="4"/>
    <s v="Crayola Anti Dust Chalk, 12/Pack"/>
    <n v="2.91"/>
    <n v="2"/>
    <x v="0"/>
    <n v="0.91"/>
    <x v="0"/>
  </r>
  <r>
    <s v="US-2013-119046"/>
    <x v="704"/>
    <x v="0"/>
    <d v="2013-06-07T00:00:00"/>
    <x v="0"/>
    <x v="482"/>
    <x v="0"/>
    <x v="1"/>
    <x v="1"/>
    <x v="8"/>
    <s v="Riverleaf Stik-Withit Designer Note Cubes"/>
    <n v="30.18"/>
    <n v="3"/>
    <x v="0"/>
    <n v="13.88"/>
    <x v="0"/>
  </r>
  <r>
    <s v="CA-2014-154949"/>
    <x v="175"/>
    <x v="8"/>
    <d v="2014-10-20T00:00:00"/>
    <x v="0"/>
    <x v="260"/>
    <x v="0"/>
    <x v="156"/>
    <x v="0"/>
    <x v="0"/>
    <s v="Avery 478"/>
    <n v="14.73"/>
    <n v="3"/>
    <x v="0"/>
    <n v="7.22"/>
    <x v="0"/>
  </r>
  <r>
    <s v="CA-2012-150770"/>
    <x v="444"/>
    <x v="2"/>
    <d v="2012-05-06T00:00:00"/>
    <x v="0"/>
    <x v="14"/>
    <x v="0"/>
    <x v="3"/>
    <x v="0"/>
    <x v="4"/>
    <s v="Newell 317"/>
    <n v="8.82"/>
    <n v="3"/>
    <x v="0"/>
    <n v="2.56"/>
    <x v="0"/>
  </r>
  <r>
    <s v="CA-2013-109953"/>
    <x v="77"/>
    <x v="6"/>
    <d v="2013-07-19T00:00:00"/>
    <x v="0"/>
    <x v="609"/>
    <x v="0"/>
    <x v="3"/>
    <x v="0"/>
    <x v="11"/>
    <s v="Panasonic Kx-TS550"/>
    <n v="110.38"/>
    <n v="3"/>
    <x v="0"/>
    <n v="12.42"/>
    <x v="0"/>
  </r>
  <r>
    <s v="CA-2011-157546"/>
    <x v="627"/>
    <x v="6"/>
    <d v="2011-07-22T00:00:00"/>
    <x v="0"/>
    <x v="583"/>
    <x v="0"/>
    <x v="3"/>
    <x v="0"/>
    <x v="2"/>
    <s v="Clear Mylar Reinforcing Strips"/>
    <n v="89.71"/>
    <n v="6"/>
    <x v="0"/>
    <n v="30.28"/>
    <x v="0"/>
  </r>
  <r>
    <s v="CA-2011-138737"/>
    <x v="705"/>
    <x v="1"/>
    <d v="2011-12-10T00:00:00"/>
    <x v="0"/>
    <x v="80"/>
    <x v="0"/>
    <x v="0"/>
    <x v="0"/>
    <x v="4"/>
    <s v="Newell 32"/>
    <n v="8.64"/>
    <n v="3"/>
    <x v="0"/>
    <n v="2.42"/>
    <x v="0"/>
  </r>
  <r>
    <s v="CA-2013-101651"/>
    <x v="526"/>
    <x v="1"/>
    <d v="2013-12-31T00:00:00"/>
    <x v="0"/>
    <x v="610"/>
    <x v="0"/>
    <x v="12"/>
    <x v="0"/>
    <x v="1"/>
    <s v="Eldon 200 Class Desk Accessories, Smoke"/>
    <n v="43.96"/>
    <n v="7"/>
    <x v="1"/>
    <n v="18.46"/>
    <x v="0"/>
  </r>
  <r>
    <s v="CA-2014-136651"/>
    <x v="706"/>
    <x v="10"/>
    <d v="2014-04-26T00:00:00"/>
    <x v="0"/>
    <x v="419"/>
    <x v="0"/>
    <x v="10"/>
    <x v="0"/>
    <x v="1"/>
    <s v="DAX Two-Tone Rosewood/Black Document Frame, Desktop, 5 x 7"/>
    <n v="66.36"/>
    <n v="7"/>
    <x v="1"/>
    <n v="26.54"/>
    <x v="0"/>
  </r>
  <r>
    <s v="US-2014-151127"/>
    <x v="660"/>
    <x v="2"/>
    <d v="2014-05-26T00:00:00"/>
    <x v="0"/>
    <x v="611"/>
    <x v="0"/>
    <x v="0"/>
    <x v="0"/>
    <x v="4"/>
    <s v="SANFORD Major Accent Highlighters"/>
    <n v="49.56"/>
    <n v="7"/>
    <x v="1"/>
    <n v="18.829999999999998"/>
    <x v="0"/>
  </r>
  <r>
    <s v="CA-2014-145807"/>
    <x v="626"/>
    <x v="11"/>
    <d v="2014-02-14T00:00:00"/>
    <x v="0"/>
    <x v="612"/>
    <x v="0"/>
    <x v="0"/>
    <x v="0"/>
    <x v="3"/>
    <s v="Sensible Storage WireTech Storage Systems"/>
    <n v="354.9"/>
    <n v="5"/>
    <x v="0"/>
    <n v="17.75"/>
    <x v="0"/>
  </r>
  <r>
    <s v="CA-2012-158491"/>
    <x v="243"/>
    <x v="0"/>
    <d v="2012-06-09T00:00:00"/>
    <x v="0"/>
    <x v="538"/>
    <x v="0"/>
    <x v="0"/>
    <x v="0"/>
    <x v="6"/>
    <s v="Logitech Wireless Anywhere Mouse MX for PC and Mac"/>
    <n v="119.98"/>
    <n v="2"/>
    <x v="0"/>
    <n v="35.99"/>
    <x v="0"/>
  </r>
  <r>
    <s v="CA-2014-137001"/>
    <x v="67"/>
    <x v="0"/>
    <d v="2014-06-14T00:00:00"/>
    <x v="0"/>
    <x v="613"/>
    <x v="0"/>
    <x v="94"/>
    <x v="0"/>
    <x v="4"/>
    <s v="Sanford EarthWrite Recycled Pencils, Medium Soft, #2"/>
    <n v="14.7"/>
    <n v="7"/>
    <x v="1"/>
    <n v="4.12"/>
    <x v="0"/>
  </r>
  <r>
    <s v="CA-2013-123337"/>
    <x v="696"/>
    <x v="4"/>
    <d v="2013-09-23T00:00:00"/>
    <x v="0"/>
    <x v="550"/>
    <x v="0"/>
    <x v="12"/>
    <x v="0"/>
    <x v="15"/>
    <s v="Sauder Forest Hills Library with Doors, Woodland Oak Finish"/>
    <n v="273.67"/>
    <n v="2"/>
    <x v="0"/>
    <n v="-12.88"/>
    <x v="0"/>
  </r>
  <r>
    <s v="CA-2012-144519"/>
    <x v="14"/>
    <x v="7"/>
    <d v="2012-11-17T00:00:00"/>
    <x v="0"/>
    <x v="491"/>
    <x v="0"/>
    <x v="134"/>
    <x v="8"/>
    <x v="11"/>
    <s v="Panasonic KX TS3282W Corded phone"/>
    <n v="339.96"/>
    <n v="5"/>
    <x v="0"/>
    <n v="42.5"/>
    <x v="0"/>
  </r>
  <r>
    <s v="CA-2013-157217"/>
    <x v="707"/>
    <x v="6"/>
    <d v="2013-07-22T00:00:00"/>
    <x v="0"/>
    <x v="488"/>
    <x v="0"/>
    <x v="3"/>
    <x v="0"/>
    <x v="11"/>
    <s v="Griffin GC36547 PowerJolt SE Lightning Charger"/>
    <n v="35.979999999999997"/>
    <n v="2"/>
    <x v="0"/>
    <n v="4.5"/>
    <x v="0"/>
  </r>
  <r>
    <s v="CA-2013-108224"/>
    <x v="708"/>
    <x v="2"/>
    <d v="2013-05-15T00:00:00"/>
    <x v="0"/>
    <x v="445"/>
    <x v="0"/>
    <x v="128"/>
    <x v="3"/>
    <x v="6"/>
    <s v="Imation 16GB Mini TravelDrive USB 2.0 Flash Drive"/>
    <n v="185.53"/>
    <n v="7"/>
    <x v="1"/>
    <n v="48.7"/>
    <x v="0"/>
  </r>
  <r>
    <s v="CA-2014-159282"/>
    <x v="573"/>
    <x v="8"/>
    <d v="2014-10-22T00:00:00"/>
    <x v="0"/>
    <x v="377"/>
    <x v="0"/>
    <x v="128"/>
    <x v="3"/>
    <x v="16"/>
    <s v="Swingline SM12-08 MicroCut Jam Free Shredder"/>
    <n v="599.99"/>
    <n v="5"/>
    <x v="0"/>
    <n v="-479.99"/>
    <x v="2"/>
  </r>
  <r>
    <s v="CA-2014-151183"/>
    <x v="238"/>
    <x v="8"/>
    <d v="2014-10-20T00:00:00"/>
    <x v="0"/>
    <x v="258"/>
    <x v="0"/>
    <x v="3"/>
    <x v="0"/>
    <x v="6"/>
    <s v="Verbatim 25 GB 6x Blu-ray Single Layer Recordable Disc, 10/Pack"/>
    <n v="46.36"/>
    <n v="4"/>
    <x v="0"/>
    <n v="15.3"/>
    <x v="0"/>
  </r>
  <r>
    <s v="CA-2013-153661"/>
    <x v="367"/>
    <x v="5"/>
    <d v="2013-01-31T00:00:00"/>
    <x v="0"/>
    <x v="227"/>
    <x v="0"/>
    <x v="3"/>
    <x v="0"/>
    <x v="3"/>
    <s v="File Shuttle II and Handi-File, Black"/>
    <n v="305.01"/>
    <n v="9"/>
    <x v="1"/>
    <n v="76.25"/>
    <x v="0"/>
  </r>
  <r>
    <s v="CA-2013-113656"/>
    <x v="709"/>
    <x v="5"/>
    <d v="2013-01-29T00:00:00"/>
    <x v="0"/>
    <x v="614"/>
    <x v="0"/>
    <x v="0"/>
    <x v="0"/>
    <x v="1"/>
    <s v="DAX Cubicle Frames, 8-1/2 x 11"/>
    <n v="59.99"/>
    <n v="7"/>
    <x v="1"/>
    <n v="21.6"/>
    <x v="0"/>
  </r>
  <r>
    <s v="CA-2012-148964"/>
    <x v="710"/>
    <x v="2"/>
    <d v="2012-05-31T00:00:00"/>
    <x v="0"/>
    <x v="26"/>
    <x v="0"/>
    <x v="71"/>
    <x v="1"/>
    <x v="1"/>
    <s v="DAX Metal Frame, Desktop, Stepped-Edge"/>
    <n v="20.239999999999998"/>
    <n v="1"/>
    <x v="2"/>
    <n v="7.89"/>
    <x v="0"/>
  </r>
  <r>
    <s v="CA-2013-144092"/>
    <x v="319"/>
    <x v="7"/>
    <d v="2013-11-08T00:00:00"/>
    <x v="0"/>
    <x v="35"/>
    <x v="0"/>
    <x v="12"/>
    <x v="0"/>
    <x v="6"/>
    <s v="KeyTronic E03601U1 - Keyboard - Beige"/>
    <n v="72"/>
    <n v="4"/>
    <x v="0"/>
    <n v="12.96"/>
    <x v="0"/>
  </r>
  <r>
    <s v="CA-2014-158120"/>
    <x v="701"/>
    <x v="7"/>
    <d v="2014-11-22T00:00:00"/>
    <x v="0"/>
    <x v="615"/>
    <x v="0"/>
    <x v="157"/>
    <x v="4"/>
    <x v="8"/>
    <s v="Wirebound Message Forms, Four 2 3/4 x 5 Forms per Page, Pink Paper"/>
    <n v="19.61"/>
    <n v="3"/>
    <x v="0"/>
    <n v="6.62"/>
    <x v="0"/>
  </r>
  <r>
    <s v="US-2014-128447"/>
    <x v="181"/>
    <x v="7"/>
    <d v="2014-11-18T00:00:00"/>
    <x v="1"/>
    <x v="200"/>
    <x v="0"/>
    <x v="129"/>
    <x v="1"/>
    <x v="9"/>
    <s v="Eureka The Boss Lite 10-Amp Upright Vacuum, Blue"/>
    <n v="400.8"/>
    <n v="5"/>
    <x v="0"/>
    <n v="112.22"/>
    <x v="0"/>
  </r>
  <r>
    <s v="US-2011-131275"/>
    <x v="641"/>
    <x v="9"/>
    <d v="2011-03-24T00:00:00"/>
    <x v="0"/>
    <x v="492"/>
    <x v="0"/>
    <x v="158"/>
    <x v="0"/>
    <x v="1"/>
    <s v="Eldon Cleatmat Chair Mats for Medium Pile Carpets"/>
    <n v="111"/>
    <n v="2"/>
    <x v="0"/>
    <n v="14.43"/>
    <x v="0"/>
  </r>
  <r>
    <s v="CA-2014-165155"/>
    <x v="580"/>
    <x v="4"/>
    <d v="2014-09-24T00:00:00"/>
    <x v="0"/>
    <x v="591"/>
    <x v="0"/>
    <x v="0"/>
    <x v="0"/>
    <x v="3"/>
    <s v="Tenex Personal Filing Tote With Secure Closure Lid, Black/Frost"/>
    <n v="15.51"/>
    <n v="1"/>
    <x v="2"/>
    <n v="3.88"/>
    <x v="0"/>
  </r>
  <r>
    <s v="CA-2014-141138"/>
    <x v="181"/>
    <x v="7"/>
    <d v="2014-11-17T00:00:00"/>
    <x v="0"/>
    <x v="203"/>
    <x v="0"/>
    <x v="159"/>
    <x v="0"/>
    <x v="6"/>
    <s v="Memorex Mini Travel Drive 16 GB USB 2.0 Flash Drive"/>
    <n v="111.79"/>
    <n v="7"/>
    <x v="1"/>
    <n v="43.6"/>
    <x v="0"/>
  </r>
  <r>
    <s v="CA-2014-154102"/>
    <x v="711"/>
    <x v="11"/>
    <d v="2014-02-14T00:00:00"/>
    <x v="1"/>
    <x v="143"/>
    <x v="0"/>
    <x v="3"/>
    <x v="0"/>
    <x v="8"/>
    <s v="Xerox 1947"/>
    <n v="29.9"/>
    <n v="5"/>
    <x v="0"/>
    <n v="13.46"/>
    <x v="0"/>
  </r>
  <r>
    <s v="CA-2013-114748"/>
    <x v="712"/>
    <x v="8"/>
    <d v="2013-10-15T00:00:00"/>
    <x v="0"/>
    <x v="290"/>
    <x v="0"/>
    <x v="8"/>
    <x v="3"/>
    <x v="4"/>
    <s v="Newell 310"/>
    <n v="1.41"/>
    <n v="1"/>
    <x v="2"/>
    <n v="0.16"/>
    <x v="0"/>
  </r>
  <r>
    <s v="CA-2013-163594"/>
    <x v="610"/>
    <x v="10"/>
    <d v="2013-04-15T00:00:00"/>
    <x v="0"/>
    <x v="328"/>
    <x v="0"/>
    <x v="0"/>
    <x v="0"/>
    <x v="8"/>
    <s v="Xerox 206"/>
    <n v="19.440000000000001"/>
    <n v="3"/>
    <x v="0"/>
    <n v="9.33"/>
    <x v="0"/>
  </r>
  <r>
    <s v="US-2014-123862"/>
    <x v="713"/>
    <x v="5"/>
    <d v="2014-01-10T00:00:00"/>
    <x v="0"/>
    <x v="176"/>
    <x v="0"/>
    <x v="23"/>
    <x v="0"/>
    <x v="3"/>
    <s v="Eldon Fold 'N Roll Cart System"/>
    <n v="153.78"/>
    <n v="11"/>
    <x v="1"/>
    <n v="44.6"/>
    <x v="0"/>
  </r>
  <r>
    <s v="CA-2014-100580"/>
    <x v="362"/>
    <x v="3"/>
    <d v="2014-08-21T00:00:00"/>
    <x v="1"/>
    <x v="426"/>
    <x v="0"/>
    <x v="18"/>
    <x v="0"/>
    <x v="2"/>
    <s v="GBC Prepunched Paper, 19-Hole, for Binding Systems, 24-lb"/>
    <n v="36.020000000000003"/>
    <n v="3"/>
    <x v="0"/>
    <n v="11.71"/>
    <x v="0"/>
  </r>
  <r>
    <s v="CA-2011-132787"/>
    <x v="45"/>
    <x v="4"/>
    <d v="2011-09-23T00:00:00"/>
    <x v="0"/>
    <x v="463"/>
    <x v="0"/>
    <x v="1"/>
    <x v="1"/>
    <x v="3"/>
    <s v="Decoflex Hanging Personal Folder File, Blue"/>
    <n v="92.52"/>
    <n v="6"/>
    <x v="0"/>
    <n v="24.98"/>
    <x v="0"/>
  </r>
  <r>
    <s v="CA-2014-147844"/>
    <x v="689"/>
    <x v="2"/>
    <d v="2014-05-07T00:00:00"/>
    <x v="0"/>
    <x v="616"/>
    <x v="0"/>
    <x v="0"/>
    <x v="0"/>
    <x v="8"/>
    <s v="Adams &quot;While You Were Out&quot; Message Pads"/>
    <n v="15.7"/>
    <n v="5"/>
    <x v="0"/>
    <n v="7.07"/>
    <x v="0"/>
  </r>
  <r>
    <s v="CA-2013-110009"/>
    <x v="271"/>
    <x v="4"/>
    <d v="2013-09-14T00:00:00"/>
    <x v="0"/>
    <x v="265"/>
    <x v="0"/>
    <x v="1"/>
    <x v="1"/>
    <x v="1"/>
    <s v="Howard Miller 11-1/2&quot; Diameter Grantwood Wall Clock"/>
    <n v="43.13"/>
    <n v="1"/>
    <x v="2"/>
    <n v="14.66"/>
    <x v="0"/>
  </r>
  <r>
    <s v="CA-2012-100146"/>
    <x v="674"/>
    <x v="2"/>
    <d v="2012-05-19T00:00:00"/>
    <x v="0"/>
    <x v="226"/>
    <x v="0"/>
    <x v="156"/>
    <x v="0"/>
    <x v="15"/>
    <s v="Bush Andora Bookcase, Maple/Graphite Gray Finish"/>
    <n v="509.96"/>
    <n v="5"/>
    <x v="0"/>
    <n v="42"/>
    <x v="2"/>
  </r>
  <r>
    <s v="CA-2013-129728"/>
    <x v="70"/>
    <x v="2"/>
    <d v="2013-06-07T00:00:00"/>
    <x v="1"/>
    <x v="568"/>
    <x v="0"/>
    <x v="0"/>
    <x v="0"/>
    <x v="1"/>
    <s v="36X48 HARDFLOOR CHAIRMAT"/>
    <n v="167.84"/>
    <n v="8"/>
    <x v="1"/>
    <n v="11.75"/>
    <x v="0"/>
  </r>
  <r>
    <s v="CA-2014-121125"/>
    <x v="714"/>
    <x v="2"/>
    <d v="2014-06-04T00:00:00"/>
    <x v="0"/>
    <x v="324"/>
    <x v="0"/>
    <x v="73"/>
    <x v="4"/>
    <x v="11"/>
    <s v="LG G3"/>
    <n v="156.79"/>
    <n v="1"/>
    <x v="2"/>
    <n v="17.64"/>
    <x v="0"/>
  </r>
  <r>
    <s v="CA-2011-161249"/>
    <x v="237"/>
    <x v="3"/>
    <d v="2011-08-13T00:00:00"/>
    <x v="0"/>
    <x v="583"/>
    <x v="0"/>
    <x v="8"/>
    <x v="3"/>
    <x v="12"/>
    <s v="Super Bands, 12/Pack"/>
    <n v="4.46"/>
    <n v="3"/>
    <x v="0"/>
    <n v="-0.95"/>
    <x v="0"/>
  </r>
  <r>
    <s v="CA-2012-148180"/>
    <x v="131"/>
    <x v="6"/>
    <d v="2012-07-31T00:00:00"/>
    <x v="0"/>
    <x v="453"/>
    <x v="0"/>
    <x v="149"/>
    <x v="0"/>
    <x v="2"/>
    <s v="Acco Pressboard Covers with Storage Hooks, 9 1/2&quot; x 11&quot;, Executive Red"/>
    <n v="9.14"/>
    <n v="3"/>
    <x v="0"/>
    <n v="3.09"/>
    <x v="0"/>
  </r>
  <r>
    <s v="CA-2011-165568"/>
    <x v="715"/>
    <x v="11"/>
    <d v="2011-02-20T00:00:00"/>
    <x v="0"/>
    <x v="511"/>
    <x v="0"/>
    <x v="1"/>
    <x v="1"/>
    <x v="2"/>
    <s v="Pressboard Data Binders by Wilson Jones"/>
    <n v="21.36"/>
    <n v="5"/>
    <x v="0"/>
    <n v="7.21"/>
    <x v="0"/>
  </r>
  <r>
    <s v="CA-2012-145457"/>
    <x v="716"/>
    <x v="9"/>
    <d v="2012-03-27T00:00:00"/>
    <x v="0"/>
    <x v="561"/>
    <x v="0"/>
    <x v="119"/>
    <x v="1"/>
    <x v="1"/>
    <s v="Eldon Expressions Punched Metal &amp; Wood Desk Accessories, Black &amp; Cherry"/>
    <n v="46.9"/>
    <n v="5"/>
    <x v="0"/>
    <n v="13.13"/>
    <x v="0"/>
  </r>
  <r>
    <s v="US-2014-163657"/>
    <x v="169"/>
    <x v="4"/>
    <d v="2014-09-07T00:00:00"/>
    <x v="0"/>
    <x v="617"/>
    <x v="0"/>
    <x v="0"/>
    <x v="0"/>
    <x v="2"/>
    <s v="Acco Translucent Poly Ring Binders"/>
    <n v="18.72"/>
    <n v="5"/>
    <x v="0"/>
    <n v="6.55"/>
    <x v="0"/>
  </r>
  <r>
    <s v="CA-2012-120446"/>
    <x v="478"/>
    <x v="7"/>
    <d v="2012-11-18T00:00:00"/>
    <x v="0"/>
    <x v="520"/>
    <x v="0"/>
    <x v="18"/>
    <x v="0"/>
    <x v="0"/>
    <s v="Avery 51"/>
    <n v="18.899999999999999"/>
    <n v="3"/>
    <x v="0"/>
    <n v="8.69"/>
    <x v="0"/>
  </r>
  <r>
    <s v="US-2012-136987"/>
    <x v="717"/>
    <x v="10"/>
    <d v="2012-04-14T00:00:00"/>
    <x v="0"/>
    <x v="518"/>
    <x v="0"/>
    <x v="0"/>
    <x v="0"/>
    <x v="13"/>
    <s v="Canon PC-428 Personal Copier"/>
    <n v="639.97"/>
    <n v="4"/>
    <x v="0"/>
    <n v="215.99"/>
    <x v="2"/>
  </r>
  <r>
    <s v="CA-2012-138485"/>
    <x v="718"/>
    <x v="11"/>
    <d v="2012-03-01T00:00:00"/>
    <x v="0"/>
    <x v="592"/>
    <x v="0"/>
    <x v="1"/>
    <x v="1"/>
    <x v="6"/>
    <s v="Microsoft Natural Keyboard Elite"/>
    <n v="538.91999999999996"/>
    <n v="9"/>
    <x v="1"/>
    <n v="80.84"/>
    <x v="2"/>
  </r>
  <r>
    <s v="CA-2013-103709"/>
    <x v="271"/>
    <x v="4"/>
    <d v="2013-09-16T00:00:00"/>
    <x v="1"/>
    <x v="460"/>
    <x v="0"/>
    <x v="112"/>
    <x v="0"/>
    <x v="4"/>
    <s v="Eberhard Faber 3 1/2&quot; Golf Pencils"/>
    <n v="14.88"/>
    <n v="2"/>
    <x v="0"/>
    <n v="3.72"/>
    <x v="0"/>
  </r>
  <r>
    <s v="CA-2013-138282"/>
    <x v="325"/>
    <x v="2"/>
    <d v="2013-05-24T00:00:00"/>
    <x v="0"/>
    <x v="454"/>
    <x v="0"/>
    <x v="0"/>
    <x v="0"/>
    <x v="9"/>
    <s v="Staples"/>
    <n v="87.84"/>
    <n v="8"/>
    <x v="1"/>
    <n v="23.72"/>
    <x v="0"/>
  </r>
  <r>
    <s v="CA-2014-148985"/>
    <x v="361"/>
    <x v="7"/>
    <d v="2014-11-16T00:00:00"/>
    <x v="0"/>
    <x v="602"/>
    <x v="0"/>
    <x v="0"/>
    <x v="0"/>
    <x v="1"/>
    <s v="Dax Clear Box Frame"/>
    <n v="34.92"/>
    <n v="4"/>
    <x v="0"/>
    <n v="11.87"/>
    <x v="0"/>
  </r>
  <r>
    <s v="CA-2013-139997"/>
    <x v="719"/>
    <x v="6"/>
    <d v="2013-07-04T00:00:00"/>
    <x v="0"/>
    <x v="364"/>
    <x v="0"/>
    <x v="130"/>
    <x v="2"/>
    <x v="13"/>
    <s v="Hewlett Packard 310 Color Digital Copier"/>
    <n v="1499.95"/>
    <n v="5"/>
    <x v="0"/>
    <n v="449.99"/>
    <x v="1"/>
  </r>
  <r>
    <s v="CA-2013-124583"/>
    <x v="135"/>
    <x v="4"/>
    <d v="2013-09-04T00:00:00"/>
    <x v="0"/>
    <x v="618"/>
    <x v="0"/>
    <x v="29"/>
    <x v="0"/>
    <x v="10"/>
    <s v="Globe Weis Peel &amp; Seel First Class Envelopes"/>
    <n v="12.78"/>
    <n v="1"/>
    <x v="2"/>
    <n v="5.75"/>
    <x v="0"/>
  </r>
  <r>
    <s v="CA-2014-157196"/>
    <x v="16"/>
    <x v="7"/>
    <d v="2014-11-10T00:00:00"/>
    <x v="0"/>
    <x v="455"/>
    <x v="0"/>
    <x v="18"/>
    <x v="0"/>
    <x v="8"/>
    <s v="Xerox 1996"/>
    <n v="12.96"/>
    <n v="2"/>
    <x v="0"/>
    <n v="6.22"/>
    <x v="0"/>
  </r>
  <r>
    <s v="CA-2012-108672"/>
    <x v="87"/>
    <x v="4"/>
    <d v="2012-09-16T00:00:00"/>
    <x v="0"/>
    <x v="44"/>
    <x v="0"/>
    <x v="0"/>
    <x v="0"/>
    <x v="1"/>
    <s v="Seth Thomas 13 1/2&quot; Wall Clock"/>
    <n v="106.68"/>
    <n v="6"/>
    <x v="0"/>
    <n v="33.07"/>
    <x v="0"/>
  </r>
  <r>
    <s v="CA-2014-121048"/>
    <x v="720"/>
    <x v="6"/>
    <d v="2014-07-19T00:00:00"/>
    <x v="0"/>
    <x v="333"/>
    <x v="0"/>
    <x v="66"/>
    <x v="0"/>
    <x v="2"/>
    <s v="Acco Suede Grain Vinyl Round Ring Binder"/>
    <n v="4.45"/>
    <n v="2"/>
    <x v="0"/>
    <n v="1.45"/>
    <x v="0"/>
  </r>
  <r>
    <s v="US-2014-120117"/>
    <x v="721"/>
    <x v="9"/>
    <d v="2014-03-31T00:00:00"/>
    <x v="0"/>
    <x v="201"/>
    <x v="0"/>
    <x v="0"/>
    <x v="0"/>
    <x v="4"/>
    <s v="Manco Dry-Lighter Erasable Highlighter"/>
    <n v="6.08"/>
    <n v="2"/>
    <x v="0"/>
    <n v="2.0699999999999998"/>
    <x v="0"/>
  </r>
  <r>
    <s v="CA-2011-115889"/>
    <x v="722"/>
    <x v="7"/>
    <d v="2011-11-06T00:00:00"/>
    <x v="0"/>
    <x v="619"/>
    <x v="0"/>
    <x v="3"/>
    <x v="0"/>
    <x v="11"/>
    <s v="AT&amp;T CL82213"/>
    <n v="46.38"/>
    <n v="2"/>
    <x v="0"/>
    <n v="5.22"/>
    <x v="0"/>
  </r>
  <r>
    <s v="CA-2011-125731"/>
    <x v="723"/>
    <x v="4"/>
    <d v="2011-09-16T00:00:00"/>
    <x v="0"/>
    <x v="107"/>
    <x v="0"/>
    <x v="107"/>
    <x v="4"/>
    <x v="10"/>
    <s v="Peel &amp; Seel Envelopes"/>
    <n v="21.73"/>
    <n v="7"/>
    <x v="1"/>
    <n v="7.6"/>
    <x v="0"/>
  </r>
  <r>
    <s v="US-2014-106145"/>
    <x v="724"/>
    <x v="4"/>
    <d v="2014-09-27T00:00:00"/>
    <x v="0"/>
    <x v="7"/>
    <x v="0"/>
    <x v="3"/>
    <x v="0"/>
    <x v="10"/>
    <s v="Staples"/>
    <n v="71.88"/>
    <n v="6"/>
    <x v="0"/>
    <n v="33.06"/>
    <x v="0"/>
  </r>
  <r>
    <s v="CA-2013-107146"/>
    <x v="210"/>
    <x v="0"/>
    <d v="2013-06-20T00:00:00"/>
    <x v="0"/>
    <x v="18"/>
    <x v="0"/>
    <x v="160"/>
    <x v="5"/>
    <x v="1"/>
    <s v="Rubbermaid ClusterMat Chairmats, Mat Size- 66&quot; x 60&quot;, Lip 20&quot; x 11&quot; -90 Degree Angle"/>
    <n v="266.35000000000002"/>
    <n v="3"/>
    <x v="0"/>
    <n v="-13.32"/>
    <x v="0"/>
  </r>
  <r>
    <s v="US-2014-160143"/>
    <x v="725"/>
    <x v="10"/>
    <d v="2014-04-08T00:00:00"/>
    <x v="1"/>
    <x v="172"/>
    <x v="0"/>
    <x v="0"/>
    <x v="0"/>
    <x v="14"/>
    <s v="Acme Tagit Stainless Steel Antibacterial Scissors"/>
    <n v="29.7"/>
    <n v="3"/>
    <x v="0"/>
    <n v="8.02"/>
    <x v="0"/>
  </r>
  <r>
    <s v="CA-2013-106460"/>
    <x v="726"/>
    <x v="11"/>
    <d v="2013-02-22T00:00:00"/>
    <x v="0"/>
    <x v="361"/>
    <x v="0"/>
    <x v="3"/>
    <x v="0"/>
    <x v="8"/>
    <s v="Xerox 1880"/>
    <n v="70.88"/>
    <n v="2"/>
    <x v="0"/>
    <n v="33.31"/>
    <x v="0"/>
  </r>
  <r>
    <s v="US-2014-112347"/>
    <x v="239"/>
    <x v="1"/>
    <d v="2014-12-07T00:00:00"/>
    <x v="0"/>
    <x v="468"/>
    <x v="0"/>
    <x v="15"/>
    <x v="5"/>
    <x v="3"/>
    <s v="Letter Size Cart"/>
    <n v="114.29"/>
    <n v="1"/>
    <x v="2"/>
    <n v="12.86"/>
    <x v="0"/>
  </r>
  <r>
    <s v="CA-2014-157672"/>
    <x v="530"/>
    <x v="8"/>
    <d v="2014-10-08T00:00:00"/>
    <x v="0"/>
    <x v="312"/>
    <x v="0"/>
    <x v="15"/>
    <x v="5"/>
    <x v="6"/>
    <s v="Logitech MX Performance Wireless Mouse"/>
    <n v="63.82"/>
    <n v="2"/>
    <x v="0"/>
    <n v="13.56"/>
    <x v="0"/>
  </r>
  <r>
    <s v="US-2013-166660"/>
    <x v="367"/>
    <x v="5"/>
    <d v="2013-02-01T00:00:00"/>
    <x v="0"/>
    <x v="396"/>
    <x v="0"/>
    <x v="1"/>
    <x v="1"/>
    <x v="7"/>
    <s v="Global Deluxe High-Back Office Chair in Storm"/>
    <n v="435.17"/>
    <n v="4"/>
    <x v="0"/>
    <n v="-59.84"/>
    <x v="0"/>
  </r>
  <r>
    <s v="CA-2011-133830"/>
    <x v="9"/>
    <x v="1"/>
    <d v="2011-12-10T00:00:00"/>
    <x v="0"/>
    <x v="611"/>
    <x v="0"/>
    <x v="0"/>
    <x v="0"/>
    <x v="4"/>
    <s v="Prang Colored Pencils"/>
    <n v="26.46"/>
    <n v="9"/>
    <x v="1"/>
    <n v="11.91"/>
    <x v="0"/>
  </r>
  <r>
    <s v="CA-2012-129532"/>
    <x v="727"/>
    <x v="1"/>
    <d v="2012-12-12T00:00:00"/>
    <x v="0"/>
    <x v="214"/>
    <x v="0"/>
    <x v="0"/>
    <x v="0"/>
    <x v="3"/>
    <s v="Stur-D-Stor Shelving, Vertical 5-Shelf: 72&quot;H x 36&quot;W x 18 1/2&quot;D"/>
    <n v="221.96"/>
    <n v="2"/>
    <x v="0"/>
    <n v="4.4400000000000004"/>
    <x v="0"/>
  </r>
  <r>
    <s v="CA-2011-134726"/>
    <x v="722"/>
    <x v="7"/>
    <d v="2011-11-07T00:00:00"/>
    <x v="0"/>
    <x v="620"/>
    <x v="0"/>
    <x v="1"/>
    <x v="1"/>
    <x v="6"/>
    <s v="Maxell 74 Minute CD-R Spindle, 50/Pack"/>
    <n v="41.94"/>
    <n v="2"/>
    <x v="0"/>
    <n v="15.1"/>
    <x v="0"/>
  </r>
  <r>
    <s v="CA-2014-122945"/>
    <x v="364"/>
    <x v="7"/>
    <d v="2014-11-23T00:00:00"/>
    <x v="0"/>
    <x v="498"/>
    <x v="0"/>
    <x v="9"/>
    <x v="0"/>
    <x v="1"/>
    <s v="DAX Cubicle Frames - 8x10"/>
    <n v="17.309999999999999"/>
    <n v="3"/>
    <x v="0"/>
    <n v="5.19"/>
    <x v="0"/>
  </r>
  <r>
    <s v="CA-2012-164567"/>
    <x v="455"/>
    <x v="0"/>
    <d v="2012-06-19T00:00:00"/>
    <x v="0"/>
    <x v="45"/>
    <x v="0"/>
    <x v="0"/>
    <x v="0"/>
    <x v="11"/>
    <s v="Jabra SPEAK 410"/>
    <n v="225.58"/>
    <n v="3"/>
    <x v="0"/>
    <n v="22.56"/>
    <x v="0"/>
  </r>
  <r>
    <s v="CA-2011-131947"/>
    <x v="457"/>
    <x v="4"/>
    <d v="2011-09-22T00:00:00"/>
    <x v="0"/>
    <x v="127"/>
    <x v="0"/>
    <x v="80"/>
    <x v="4"/>
    <x v="4"/>
    <s v="Newell 313"/>
    <n v="5.25"/>
    <n v="2"/>
    <x v="0"/>
    <n v="0.46"/>
    <x v="0"/>
  </r>
  <r>
    <s v="CA-2014-163209"/>
    <x v="433"/>
    <x v="2"/>
    <d v="2014-05-08T00:00:00"/>
    <x v="0"/>
    <x v="193"/>
    <x v="0"/>
    <x v="3"/>
    <x v="0"/>
    <x v="8"/>
    <s v="Xerox 2"/>
    <n v="25.92"/>
    <n v="4"/>
    <x v="0"/>
    <n v="12.44"/>
    <x v="0"/>
  </r>
  <r>
    <s v="CA-2011-133354"/>
    <x v="728"/>
    <x v="11"/>
    <d v="2011-02-25T00:00:00"/>
    <x v="0"/>
    <x v="239"/>
    <x v="0"/>
    <x v="131"/>
    <x v="0"/>
    <x v="8"/>
    <s v="Xerox 220"/>
    <n v="19.440000000000001"/>
    <n v="3"/>
    <x v="0"/>
    <n v="9.33"/>
    <x v="0"/>
  </r>
  <r>
    <s v="CA-2014-151225"/>
    <x v="468"/>
    <x v="8"/>
    <d v="2014-10-30T00:00:00"/>
    <x v="0"/>
    <x v="327"/>
    <x v="0"/>
    <x v="0"/>
    <x v="0"/>
    <x v="5"/>
    <s v="Chromcraft Rectangular Conference Tables"/>
    <n v="189.58"/>
    <n v="1"/>
    <x v="2"/>
    <n v="9.48"/>
    <x v="0"/>
  </r>
  <r>
    <s v="US-2011-144078"/>
    <x v="266"/>
    <x v="7"/>
    <d v="2011-11-29T00:00:00"/>
    <x v="0"/>
    <x v="474"/>
    <x v="0"/>
    <x v="0"/>
    <x v="0"/>
    <x v="11"/>
    <s v="Logitech Mobile Speakerphone P710e - speaker phone"/>
    <n v="539.91999999999996"/>
    <n v="5"/>
    <x v="0"/>
    <n v="47.24"/>
    <x v="2"/>
  </r>
  <r>
    <s v="US-2012-159499"/>
    <x v="414"/>
    <x v="7"/>
    <d v="2012-11-23T00:00:00"/>
    <x v="0"/>
    <x v="116"/>
    <x v="0"/>
    <x v="8"/>
    <x v="3"/>
    <x v="9"/>
    <s v="Fellowes Command Center 5-outlet power strip"/>
    <n v="325.63"/>
    <n v="6"/>
    <x v="0"/>
    <n v="28.49"/>
    <x v="0"/>
  </r>
  <r>
    <s v="US-2013-157490"/>
    <x v="729"/>
    <x v="8"/>
    <d v="2013-10-08T00:00:00"/>
    <x v="0"/>
    <x v="618"/>
    <x v="0"/>
    <x v="60"/>
    <x v="5"/>
    <x v="16"/>
    <s v="Zebra GK420t Direct Thermal/Thermal Transfer Printer"/>
    <n v="703.71"/>
    <n v="6"/>
    <x v="0"/>
    <n v="-938.28"/>
    <x v="2"/>
  </r>
  <r>
    <s v="CA-2012-161452"/>
    <x v="730"/>
    <x v="10"/>
    <d v="2012-04-11T00:00:00"/>
    <x v="0"/>
    <x v="621"/>
    <x v="0"/>
    <x v="0"/>
    <x v="0"/>
    <x v="7"/>
    <s v="GuestStacker Chair with Chrome Finish Legs"/>
    <n v="892.22"/>
    <n v="3"/>
    <x v="0"/>
    <n v="89.22"/>
    <x v="2"/>
  </r>
  <r>
    <s v="CA-2013-138968"/>
    <x v="731"/>
    <x v="9"/>
    <d v="2013-03-17T00:00:00"/>
    <x v="0"/>
    <x v="505"/>
    <x v="0"/>
    <x v="3"/>
    <x v="0"/>
    <x v="2"/>
    <s v="Avery Round Ring Poly Binders"/>
    <n v="4.54"/>
    <n v="2"/>
    <x v="0"/>
    <n v="1.65"/>
    <x v="0"/>
  </r>
  <r>
    <s v="CA-2012-107685"/>
    <x v="732"/>
    <x v="7"/>
    <d v="2012-12-02T00:00:00"/>
    <x v="0"/>
    <x v="323"/>
    <x v="0"/>
    <x v="28"/>
    <x v="7"/>
    <x v="1"/>
    <s v="DAX Contemporary Wood Frame with Silver Metal Mat, Desktop, 11 x 14 Size"/>
    <n v="80.959999999999994"/>
    <n v="4"/>
    <x v="0"/>
    <n v="29.15"/>
    <x v="0"/>
  </r>
  <r>
    <s v="US-2011-120740"/>
    <x v="733"/>
    <x v="10"/>
    <d v="2011-04-15T00:00:00"/>
    <x v="0"/>
    <x v="622"/>
    <x v="0"/>
    <x v="0"/>
    <x v="0"/>
    <x v="9"/>
    <s v="Belkin F9G930V10-GRY 9 Outlet Surge"/>
    <n v="106.96"/>
    <n v="2"/>
    <x v="0"/>
    <n v="31.02"/>
    <x v="0"/>
  </r>
  <r>
    <s v="US-2014-141509"/>
    <x v="613"/>
    <x v="4"/>
    <d v="2014-10-02T00:00:00"/>
    <x v="0"/>
    <x v="623"/>
    <x v="0"/>
    <x v="0"/>
    <x v="0"/>
    <x v="4"/>
    <s v="Newell 334"/>
    <n v="99.2"/>
    <n v="5"/>
    <x v="0"/>
    <n v="25.79"/>
    <x v="0"/>
  </r>
  <r>
    <s v="CA-2014-133487"/>
    <x v="734"/>
    <x v="2"/>
    <d v="2014-05-10T00:00:00"/>
    <x v="0"/>
    <x v="624"/>
    <x v="0"/>
    <x v="86"/>
    <x v="0"/>
    <x v="9"/>
    <s v="Eureka The Boss Cordless Rechargeable Stick Vac"/>
    <n v="152.94"/>
    <n v="3"/>
    <x v="0"/>
    <n v="41.29"/>
    <x v="0"/>
  </r>
  <r>
    <s v="CA-2011-102330"/>
    <x v="469"/>
    <x v="1"/>
    <d v="2012-01-03T00:00:00"/>
    <x v="0"/>
    <x v="496"/>
    <x v="0"/>
    <x v="19"/>
    <x v="0"/>
    <x v="0"/>
    <s v="Alphabetical Labels for Top Tab Filing"/>
    <n v="88.8"/>
    <n v="6"/>
    <x v="0"/>
    <n v="44.4"/>
    <x v="0"/>
  </r>
  <r>
    <s v="CA-2013-118899"/>
    <x v="228"/>
    <x v="9"/>
    <d v="2013-03-23T00:00:00"/>
    <x v="0"/>
    <x v="260"/>
    <x v="0"/>
    <x v="1"/>
    <x v="1"/>
    <x v="7"/>
    <s v="Global Stack Chair with Arms, Black"/>
    <n v="167.89"/>
    <n v="7"/>
    <x v="1"/>
    <n v="14.69"/>
    <x v="0"/>
  </r>
  <r>
    <s v="CA-2014-100237"/>
    <x v="175"/>
    <x v="8"/>
    <d v="2014-10-20T00:00:00"/>
    <x v="0"/>
    <x v="625"/>
    <x v="0"/>
    <x v="4"/>
    <x v="2"/>
    <x v="4"/>
    <s v="Avery Hi-Liter Smear-Safe Highlighters"/>
    <n v="11.68"/>
    <n v="2"/>
    <x v="0"/>
    <n v="4.2"/>
    <x v="0"/>
  </r>
  <r>
    <s v="US-2012-142811"/>
    <x v="612"/>
    <x v="10"/>
    <d v="2012-04-07T00:00:00"/>
    <x v="0"/>
    <x v="125"/>
    <x v="0"/>
    <x v="35"/>
    <x v="3"/>
    <x v="11"/>
    <s v="Samsung HM1900 Bluetooth Headset"/>
    <n v="87.8"/>
    <n v="5"/>
    <x v="0"/>
    <n v="32.93"/>
    <x v="0"/>
  </r>
  <r>
    <s v="CA-2011-150203"/>
    <x v="9"/>
    <x v="1"/>
    <d v="2011-12-07T00:00:00"/>
    <x v="0"/>
    <x v="626"/>
    <x v="0"/>
    <x v="0"/>
    <x v="0"/>
    <x v="9"/>
    <s v="Fellowes 8 Outlet Superior Workstation Surge Protector"/>
    <n v="250.26"/>
    <n v="6"/>
    <x v="0"/>
    <n v="72.58"/>
    <x v="0"/>
  </r>
  <r>
    <s v="CA-2012-149636"/>
    <x v="735"/>
    <x v="5"/>
    <d v="2012-01-12T00:00:00"/>
    <x v="0"/>
    <x v="236"/>
    <x v="0"/>
    <x v="21"/>
    <x v="5"/>
    <x v="8"/>
    <s v="It's Hot Message Books with Stickers, 2 3/4&quot; x 5&quot;"/>
    <n v="29.6"/>
    <n v="5"/>
    <x v="0"/>
    <n v="9.25"/>
    <x v="0"/>
  </r>
  <r>
    <s v="US-2014-146213"/>
    <x v="586"/>
    <x v="4"/>
    <d v="2014-09-15T00:00:00"/>
    <x v="0"/>
    <x v="521"/>
    <x v="0"/>
    <x v="0"/>
    <x v="0"/>
    <x v="6"/>
    <s v="Microsoft Wireless Mobile Mouse 4000"/>
    <n v="159.96"/>
    <n v="4"/>
    <x v="0"/>
    <n v="51.19"/>
    <x v="0"/>
  </r>
  <r>
    <s v="US-2014-138086"/>
    <x v="331"/>
    <x v="10"/>
    <d v="2014-04-21T00:00:00"/>
    <x v="0"/>
    <x v="211"/>
    <x v="0"/>
    <x v="3"/>
    <x v="0"/>
    <x v="9"/>
    <s v="Hoover Commercial SteamVac"/>
    <n v="40.74"/>
    <n v="3"/>
    <x v="0"/>
    <n v="12.22"/>
    <x v="0"/>
  </r>
  <r>
    <s v="CA-2014-104850"/>
    <x v="736"/>
    <x v="0"/>
    <d v="2014-06-20T00:00:00"/>
    <x v="0"/>
    <x v="21"/>
    <x v="0"/>
    <x v="1"/>
    <x v="1"/>
    <x v="7"/>
    <s v="Global Wood Trimmed Manager's Task Chair, Khaki"/>
    <n v="291.14"/>
    <n v="4"/>
    <x v="0"/>
    <n v="-25.47"/>
    <x v="0"/>
  </r>
  <r>
    <s v="CA-2014-134418"/>
    <x v="628"/>
    <x v="4"/>
    <d v="2014-09-21T00:00:00"/>
    <x v="0"/>
    <x v="259"/>
    <x v="0"/>
    <x v="1"/>
    <x v="1"/>
    <x v="4"/>
    <s v="BIC Brite Liner Highlighters"/>
    <n v="12.42"/>
    <n v="3"/>
    <x v="0"/>
    <n v="5.22"/>
    <x v="0"/>
  </r>
  <r>
    <s v="US-2013-106313"/>
    <x v="535"/>
    <x v="3"/>
    <d v="2013-08-27T00:00:00"/>
    <x v="0"/>
    <x v="627"/>
    <x v="0"/>
    <x v="1"/>
    <x v="1"/>
    <x v="8"/>
    <s v="Xerox 202"/>
    <n v="19.440000000000001"/>
    <n v="3"/>
    <x v="0"/>
    <n v="9.33"/>
    <x v="0"/>
  </r>
  <r>
    <s v="CA-2011-154781"/>
    <x v="504"/>
    <x v="7"/>
    <d v="2011-11-26T00:00:00"/>
    <x v="0"/>
    <x v="551"/>
    <x v="0"/>
    <x v="3"/>
    <x v="0"/>
    <x v="8"/>
    <s v="Tops Wirebound Message Log Books"/>
    <n v="6.58"/>
    <n v="2"/>
    <x v="0"/>
    <n v="3.03"/>
    <x v="0"/>
  </r>
  <r>
    <s v="CA-2012-147816"/>
    <x v="536"/>
    <x v="4"/>
    <d v="2012-09-26T00:00:00"/>
    <x v="0"/>
    <x v="628"/>
    <x v="0"/>
    <x v="26"/>
    <x v="3"/>
    <x v="11"/>
    <s v="Samsung HM1900 Bluetooth Headset"/>
    <n v="35.119999999999997"/>
    <n v="2"/>
    <x v="0"/>
    <n v="13.17"/>
    <x v="0"/>
  </r>
  <r>
    <s v="CA-2014-105326"/>
    <x v="269"/>
    <x v="3"/>
    <d v="2014-08-28T00:00:00"/>
    <x v="1"/>
    <x v="269"/>
    <x v="0"/>
    <x v="0"/>
    <x v="0"/>
    <x v="8"/>
    <s v="Xerox 203"/>
    <n v="25.92"/>
    <n v="4"/>
    <x v="0"/>
    <n v="12.44"/>
    <x v="0"/>
  </r>
  <r>
    <s v="CA-2014-156391"/>
    <x v="724"/>
    <x v="4"/>
    <d v="2014-09-29T00:00:00"/>
    <x v="0"/>
    <x v="629"/>
    <x v="0"/>
    <x v="38"/>
    <x v="4"/>
    <x v="4"/>
    <s v="Prang Drawing Pencil Set"/>
    <n v="2.2200000000000002"/>
    <n v="1"/>
    <x v="2"/>
    <n v="0.56000000000000005"/>
    <x v="0"/>
  </r>
  <r>
    <s v="CA-2012-169299"/>
    <x v="737"/>
    <x v="3"/>
    <d v="2012-08-26T00:00:00"/>
    <x v="0"/>
    <x v="410"/>
    <x v="0"/>
    <x v="6"/>
    <x v="4"/>
    <x v="4"/>
    <s v="Premium Writing Pencils, Soft, #2 by Central Association for the Blind"/>
    <n v="7.15"/>
    <n v="3"/>
    <x v="0"/>
    <n v="0.72"/>
    <x v="0"/>
  </r>
  <r>
    <s v="CA-2013-155978"/>
    <x v="738"/>
    <x v="3"/>
    <d v="2013-08-02T00:00:00"/>
    <x v="0"/>
    <x v="382"/>
    <x v="0"/>
    <x v="49"/>
    <x v="0"/>
    <x v="11"/>
    <s v="Apple iPhone 5"/>
    <n v="1039.73"/>
    <n v="2"/>
    <x v="0"/>
    <n v="90.98"/>
    <x v="1"/>
  </r>
  <r>
    <s v="CA-2013-152800"/>
    <x v="739"/>
    <x v="10"/>
    <d v="2013-04-16T00:00:00"/>
    <x v="0"/>
    <x v="423"/>
    <x v="0"/>
    <x v="3"/>
    <x v="0"/>
    <x v="10"/>
    <s v="Poly String Tie Envelopes"/>
    <n v="6.12"/>
    <n v="3"/>
    <x v="0"/>
    <n v="2.88"/>
    <x v="0"/>
  </r>
  <r>
    <s v="CA-2011-166961"/>
    <x v="164"/>
    <x v="1"/>
    <d v="2011-12-31T00:00:00"/>
    <x v="0"/>
    <x v="228"/>
    <x v="0"/>
    <x v="131"/>
    <x v="0"/>
    <x v="9"/>
    <s v="Staples"/>
    <n v="10.98"/>
    <n v="1"/>
    <x v="2"/>
    <n v="2.96"/>
    <x v="0"/>
  </r>
  <r>
    <s v="CA-2012-127481"/>
    <x v="111"/>
    <x v="1"/>
    <d v="2012-12-15T00:00:00"/>
    <x v="0"/>
    <x v="415"/>
    <x v="0"/>
    <x v="28"/>
    <x v="7"/>
    <x v="8"/>
    <s v="Xerox 1930"/>
    <n v="32.4"/>
    <n v="5"/>
    <x v="0"/>
    <n v="15.88"/>
    <x v="0"/>
  </r>
  <r>
    <s v="CA-2011-143637"/>
    <x v="740"/>
    <x v="9"/>
    <d v="2011-03-29T00:00:00"/>
    <x v="0"/>
    <x v="145"/>
    <x v="0"/>
    <x v="59"/>
    <x v="0"/>
    <x v="1"/>
    <s v="DAX Contemporary Wood Frame with Silver Metal Mat, Desktop, 11 x 14 Size"/>
    <n v="40.479999999999997"/>
    <n v="2"/>
    <x v="0"/>
    <n v="14.57"/>
    <x v="0"/>
  </r>
  <r>
    <s v="US-2014-109316"/>
    <x v="741"/>
    <x v="0"/>
    <d v="2014-06-11T00:00:00"/>
    <x v="0"/>
    <x v="630"/>
    <x v="0"/>
    <x v="0"/>
    <x v="0"/>
    <x v="15"/>
    <s v="Riverside Palais Royal Lawyers Bookcase, Royale Cherry Finish"/>
    <n v="1497.67"/>
    <n v="2"/>
    <x v="0"/>
    <n v="140.96"/>
    <x v="1"/>
  </r>
  <r>
    <s v="CA-2013-138478"/>
    <x v="155"/>
    <x v="8"/>
    <d v="2013-10-27T00:00:00"/>
    <x v="0"/>
    <x v="397"/>
    <x v="0"/>
    <x v="68"/>
    <x v="7"/>
    <x v="4"/>
    <s v="Panasonic KP-150 Electric Pencil Sharpener"/>
    <n v="113.22"/>
    <n v="3"/>
    <x v="0"/>
    <n v="29.44"/>
    <x v="0"/>
  </r>
  <r>
    <s v="CA-2014-150469"/>
    <x v="742"/>
    <x v="5"/>
    <d v="2014-01-31T00:00:00"/>
    <x v="0"/>
    <x v="57"/>
    <x v="0"/>
    <x v="3"/>
    <x v="0"/>
    <x v="12"/>
    <s v="Binder Clips by OIC"/>
    <n v="11.84"/>
    <n v="8"/>
    <x v="1"/>
    <n v="5.68"/>
    <x v="0"/>
  </r>
  <r>
    <s v="CA-2011-125150"/>
    <x v="743"/>
    <x v="2"/>
    <d v="2011-05-23T00:00:00"/>
    <x v="1"/>
    <x v="631"/>
    <x v="0"/>
    <x v="0"/>
    <x v="0"/>
    <x v="7"/>
    <s v="Iceberg Nesting Folding Chair, 19w x 6d x 43h"/>
    <n v="232.88"/>
    <n v="5"/>
    <x v="0"/>
    <n v="17.47"/>
    <x v="0"/>
  </r>
  <r>
    <s v="CA-2012-137302"/>
    <x v="744"/>
    <x v="10"/>
    <d v="2012-05-01T00:00:00"/>
    <x v="0"/>
    <x v="580"/>
    <x v="0"/>
    <x v="18"/>
    <x v="0"/>
    <x v="7"/>
    <s v="SAFCO Optional Arm Kit for Workspace Cribbage Stacking Chair"/>
    <n v="63.94"/>
    <n v="3"/>
    <x v="0"/>
    <n v="6.39"/>
    <x v="0"/>
  </r>
  <r>
    <s v="CA-2012-106257"/>
    <x v="276"/>
    <x v="10"/>
    <d v="2012-04-17T00:00:00"/>
    <x v="0"/>
    <x v="509"/>
    <x v="0"/>
    <x v="0"/>
    <x v="0"/>
    <x v="5"/>
    <s v="Iceberg OfficeWorks 42&quot; Round Tables"/>
    <n v="241.57"/>
    <n v="2"/>
    <x v="0"/>
    <n v="-15.1"/>
    <x v="0"/>
  </r>
  <r>
    <s v="CA-2012-149083"/>
    <x v="5"/>
    <x v="4"/>
    <d v="2012-09-30T00:00:00"/>
    <x v="0"/>
    <x v="19"/>
    <x v="0"/>
    <x v="1"/>
    <x v="1"/>
    <x v="7"/>
    <s v="Global Super Steno Chair"/>
    <n v="307.14"/>
    <n v="4"/>
    <x v="0"/>
    <n v="-11.52"/>
    <x v="0"/>
  </r>
  <r>
    <s v="CA-2012-144890"/>
    <x v="634"/>
    <x v="1"/>
    <d v="2012-12-29T00:00:00"/>
    <x v="0"/>
    <x v="632"/>
    <x v="0"/>
    <x v="0"/>
    <x v="0"/>
    <x v="8"/>
    <s v="Xerox 1949"/>
    <n v="9.9600000000000009"/>
    <n v="2"/>
    <x v="0"/>
    <n v="4.88"/>
    <x v="0"/>
  </r>
  <r>
    <s v="CA-2012-142993"/>
    <x v="745"/>
    <x v="8"/>
    <d v="2012-10-17T00:00:00"/>
    <x v="0"/>
    <x v="263"/>
    <x v="0"/>
    <x v="1"/>
    <x v="1"/>
    <x v="6"/>
    <s v="Kingston Digital DataTraveler 16GB USB 2.0"/>
    <n v="17.899999999999999"/>
    <n v="2"/>
    <x v="0"/>
    <n v="3.4"/>
    <x v="0"/>
  </r>
  <r>
    <s v="CA-2012-143364"/>
    <x v="746"/>
    <x v="6"/>
    <d v="2012-07-19T00:00:00"/>
    <x v="0"/>
    <x v="286"/>
    <x v="0"/>
    <x v="35"/>
    <x v="3"/>
    <x v="3"/>
    <s v="SAFCO Boltless Steel Shelving"/>
    <n v="272.74"/>
    <n v="3"/>
    <x v="0"/>
    <n v="-64.77"/>
    <x v="0"/>
  </r>
  <r>
    <s v="CA-2011-100972"/>
    <x v="747"/>
    <x v="7"/>
    <d v="2011-11-24T00:00:00"/>
    <x v="0"/>
    <x v="633"/>
    <x v="0"/>
    <x v="90"/>
    <x v="2"/>
    <x v="8"/>
    <s v="Xerox 1888"/>
    <n v="166.44"/>
    <n v="3"/>
    <x v="0"/>
    <n v="79.89"/>
    <x v="0"/>
  </r>
  <r>
    <s v="CA-2013-136994"/>
    <x v="748"/>
    <x v="2"/>
    <d v="2013-06-03T00:00:00"/>
    <x v="0"/>
    <x v="549"/>
    <x v="0"/>
    <x v="0"/>
    <x v="0"/>
    <x v="8"/>
    <s v="Wirebound Message Books, Four 2 3/4 x 5 White Forms per Page"/>
    <n v="13.38"/>
    <n v="2"/>
    <x v="0"/>
    <n v="6.15"/>
    <x v="0"/>
  </r>
  <r>
    <s v="CA-2013-101672"/>
    <x v="749"/>
    <x v="8"/>
    <d v="2013-10-08T00:00:00"/>
    <x v="0"/>
    <x v="604"/>
    <x v="0"/>
    <x v="140"/>
    <x v="0"/>
    <x v="0"/>
    <s v="Smead Alpha-Z Color-Coded Second Alphabetical Labels and Starter Set"/>
    <n v="6.16"/>
    <n v="2"/>
    <x v="0"/>
    <n v="2.96"/>
    <x v="0"/>
  </r>
  <r>
    <s v="CA-2014-168403"/>
    <x v="586"/>
    <x v="4"/>
    <d v="2014-09-16T00:00:00"/>
    <x v="0"/>
    <x v="186"/>
    <x v="0"/>
    <x v="6"/>
    <x v="4"/>
    <x v="8"/>
    <s v="Xerox 1930"/>
    <n v="31.1"/>
    <n v="6"/>
    <x v="0"/>
    <n v="11.28"/>
    <x v="0"/>
  </r>
  <r>
    <s v="CA-2014-118017"/>
    <x v="343"/>
    <x v="1"/>
    <d v="2014-12-07T00:00:00"/>
    <x v="0"/>
    <x v="14"/>
    <x v="0"/>
    <x v="117"/>
    <x v="5"/>
    <x v="4"/>
    <s v="Newell 344"/>
    <n v="13.34"/>
    <n v="6"/>
    <x v="0"/>
    <n v="1"/>
    <x v="0"/>
  </r>
  <r>
    <s v="CA-2013-113117"/>
    <x v="341"/>
    <x v="3"/>
    <d v="2013-08-23T00:00:00"/>
    <x v="0"/>
    <x v="64"/>
    <x v="0"/>
    <x v="161"/>
    <x v="0"/>
    <x v="8"/>
    <s v="Xerox 1931"/>
    <n v="32.4"/>
    <n v="5"/>
    <x v="0"/>
    <n v="15.55"/>
    <x v="0"/>
  </r>
  <r>
    <s v="CA-2013-112585"/>
    <x v="750"/>
    <x v="6"/>
    <d v="2013-08-03T00:00:00"/>
    <x v="0"/>
    <x v="124"/>
    <x v="0"/>
    <x v="3"/>
    <x v="0"/>
    <x v="9"/>
    <s v="Hoover Shoulder Vac Commercial Portable Vacuum"/>
    <n v="715.64"/>
    <n v="2"/>
    <x v="0"/>
    <n v="178.91"/>
    <x v="2"/>
  </r>
  <r>
    <s v="CA-2013-149762"/>
    <x v="583"/>
    <x v="1"/>
    <d v="2013-12-08T00:00:00"/>
    <x v="0"/>
    <x v="583"/>
    <x v="0"/>
    <x v="162"/>
    <x v="0"/>
    <x v="5"/>
    <s v="Hon 4060 Series Tables"/>
    <n v="268.7"/>
    <n v="3"/>
    <x v="0"/>
    <n v="6.72"/>
    <x v="0"/>
  </r>
  <r>
    <s v="CA-2012-152513"/>
    <x v="751"/>
    <x v="6"/>
    <d v="2012-07-08T00:00:00"/>
    <x v="0"/>
    <x v="540"/>
    <x v="0"/>
    <x v="18"/>
    <x v="0"/>
    <x v="2"/>
    <s v="Avery Premier Heavy-Duty Binder with Round Locking Rings"/>
    <n v="22.85"/>
    <n v="2"/>
    <x v="0"/>
    <n v="7.43"/>
    <x v="0"/>
  </r>
  <r>
    <s v="US-2013-168095"/>
    <x v="298"/>
    <x v="6"/>
    <d v="2013-07-21T00:00:00"/>
    <x v="0"/>
    <x v="634"/>
    <x v="0"/>
    <x v="6"/>
    <x v="4"/>
    <x v="7"/>
    <s v="Bevis Steel Folding Chairs"/>
    <n v="230.28"/>
    <n v="3"/>
    <x v="0"/>
    <n v="23.03"/>
    <x v="0"/>
  </r>
  <r>
    <s v="CA-2014-166093"/>
    <x v="752"/>
    <x v="3"/>
    <d v="2014-08-25T00:00:00"/>
    <x v="1"/>
    <x v="185"/>
    <x v="0"/>
    <x v="19"/>
    <x v="0"/>
    <x v="10"/>
    <s v="Staples"/>
    <n v="23.36"/>
    <n v="2"/>
    <x v="0"/>
    <n v="11.68"/>
    <x v="0"/>
  </r>
  <r>
    <s v="CA-2013-146325"/>
    <x v="753"/>
    <x v="1"/>
    <d v="2013-12-18T00:00:00"/>
    <x v="0"/>
    <x v="467"/>
    <x v="0"/>
    <x v="18"/>
    <x v="0"/>
    <x v="7"/>
    <s v="Global Task Chair, Black"/>
    <n v="81.42"/>
    <n v="2"/>
    <x v="0"/>
    <n v="-9.16"/>
    <x v="0"/>
  </r>
  <r>
    <s v="CA-2014-131807"/>
    <x v="530"/>
    <x v="8"/>
    <d v="2014-10-11T00:00:00"/>
    <x v="0"/>
    <x v="153"/>
    <x v="0"/>
    <x v="142"/>
    <x v="0"/>
    <x v="7"/>
    <s v="Global Deluxe High-Back Office Chair in Storm"/>
    <n v="435.17"/>
    <n v="4"/>
    <x v="0"/>
    <n v="-59.84"/>
    <x v="0"/>
  </r>
  <r>
    <s v="CA-2012-138219"/>
    <x v="754"/>
    <x v="9"/>
    <d v="2012-03-30T00:00:00"/>
    <x v="1"/>
    <x v="453"/>
    <x v="0"/>
    <x v="0"/>
    <x v="0"/>
    <x v="8"/>
    <s v="REDIFORM Incoming/Outgoing Call Register, 11&quot; X 8 1/2&quot;, 100 Messages"/>
    <n v="33.36"/>
    <n v="4"/>
    <x v="0"/>
    <n v="16.68"/>
    <x v="0"/>
  </r>
  <r>
    <s v="CA-2013-157707"/>
    <x v="755"/>
    <x v="8"/>
    <d v="2013-10-13T00:00:00"/>
    <x v="0"/>
    <x v="635"/>
    <x v="0"/>
    <x v="15"/>
    <x v="5"/>
    <x v="15"/>
    <s v="Bush Westfield Collection Bookcases, Dark Cherry Finish, Fully Assembled"/>
    <n v="90.88"/>
    <n v="3"/>
    <x v="0"/>
    <n v="-190.85"/>
    <x v="0"/>
  </r>
  <r>
    <s v="CA-2012-113040"/>
    <x v="140"/>
    <x v="3"/>
    <d v="2012-08-31T00:00:00"/>
    <x v="0"/>
    <x v="375"/>
    <x v="0"/>
    <x v="0"/>
    <x v="0"/>
    <x v="2"/>
    <s v="Avery Heavy-Duty EZD View Binder with Locking Rings"/>
    <n v="5.0999999999999996"/>
    <n v="1"/>
    <x v="2"/>
    <n v="1.66"/>
    <x v="0"/>
  </r>
  <r>
    <s v="CA-2013-151498"/>
    <x v="756"/>
    <x v="10"/>
    <d v="2013-04-25T00:00:00"/>
    <x v="0"/>
    <x v="10"/>
    <x v="0"/>
    <x v="1"/>
    <x v="1"/>
    <x v="2"/>
    <s v="Round Ring Binders"/>
    <n v="8.32"/>
    <n v="5"/>
    <x v="0"/>
    <n v="2.81"/>
    <x v="0"/>
  </r>
  <r>
    <s v="US-2012-165743"/>
    <x v="148"/>
    <x v="7"/>
    <d v="2012-11-23T00:00:00"/>
    <x v="0"/>
    <x v="222"/>
    <x v="0"/>
    <x v="7"/>
    <x v="5"/>
    <x v="2"/>
    <s v="Wilson Jones Custom Binder Spines &amp; Labels"/>
    <n v="4.9000000000000004"/>
    <n v="3"/>
    <x v="0"/>
    <n v="-3.43"/>
    <x v="0"/>
  </r>
  <r>
    <s v="US-2014-105998"/>
    <x v="56"/>
    <x v="7"/>
    <d v="2014-11-06T00:00:00"/>
    <x v="0"/>
    <x v="571"/>
    <x v="0"/>
    <x v="18"/>
    <x v="0"/>
    <x v="6"/>
    <s v="Microsoft Sculpt Comfort Mouse"/>
    <n v="199.75"/>
    <n v="5"/>
    <x v="0"/>
    <n v="87.89"/>
    <x v="0"/>
  </r>
  <r>
    <s v="US-2011-148194"/>
    <x v="757"/>
    <x v="2"/>
    <d v="2011-05-07T00:00:00"/>
    <x v="0"/>
    <x v="636"/>
    <x v="0"/>
    <x v="1"/>
    <x v="1"/>
    <x v="1"/>
    <s v="Eldon Regeneration Recycled Desk Accessories, Smoke"/>
    <n v="12.18"/>
    <n v="7"/>
    <x v="1"/>
    <n v="3.9"/>
    <x v="0"/>
  </r>
  <r>
    <s v="CA-2012-110870"/>
    <x v="111"/>
    <x v="1"/>
    <d v="2012-12-15T00:00:00"/>
    <x v="0"/>
    <x v="637"/>
    <x v="0"/>
    <x v="0"/>
    <x v="0"/>
    <x v="6"/>
    <s v="Logitech Wireless Marathon Mouse M705"/>
    <n v="299.94"/>
    <n v="6"/>
    <x v="0"/>
    <n v="128.97"/>
    <x v="0"/>
  </r>
  <r>
    <s v="CA-2013-139808"/>
    <x v="420"/>
    <x v="8"/>
    <d v="2013-10-12T00:00:00"/>
    <x v="0"/>
    <x v="362"/>
    <x v="0"/>
    <x v="37"/>
    <x v="1"/>
    <x v="12"/>
    <s v="Alliance Super-Size Bands, Assorted Sizes"/>
    <n v="93.36"/>
    <n v="12"/>
    <x v="1"/>
    <n v="0.93"/>
    <x v="0"/>
  </r>
  <r>
    <s v="US-2012-136427"/>
    <x v="353"/>
    <x v="0"/>
    <d v="2012-06-23T00:00:00"/>
    <x v="0"/>
    <x v="288"/>
    <x v="0"/>
    <x v="7"/>
    <x v="5"/>
    <x v="11"/>
    <s v="Griffin GC36547 PowerJolt SE Lightning Charger"/>
    <n v="125.94"/>
    <n v="7"/>
    <x v="1"/>
    <n v="15.74"/>
    <x v="0"/>
  </r>
  <r>
    <s v="CA-2014-114804"/>
    <x v="452"/>
    <x v="8"/>
    <d v="2014-10-20T00:00:00"/>
    <x v="0"/>
    <x v="511"/>
    <x v="0"/>
    <x v="159"/>
    <x v="0"/>
    <x v="11"/>
    <s v="Panasonic KX-TG6844B Expandable Digital Cordless Telephone"/>
    <n v="52.79"/>
    <n v="1"/>
    <x v="2"/>
    <n v="4.62"/>
    <x v="0"/>
  </r>
  <r>
    <s v="CA-2014-109393"/>
    <x v="54"/>
    <x v="6"/>
    <d v="2014-07-03T00:00:00"/>
    <x v="0"/>
    <x v="638"/>
    <x v="0"/>
    <x v="0"/>
    <x v="0"/>
    <x v="15"/>
    <s v="Sauder Facets Collection Library, Sky Alder Finish"/>
    <n v="436"/>
    <n v="3"/>
    <x v="0"/>
    <n v="5.13"/>
    <x v="0"/>
  </r>
  <r>
    <s v="CA-2014-121489"/>
    <x v="409"/>
    <x v="3"/>
    <d v="2014-08-26T00:00:00"/>
    <x v="0"/>
    <x v="510"/>
    <x v="0"/>
    <x v="1"/>
    <x v="1"/>
    <x v="7"/>
    <s v="Padded Folding Chairs, Black, 4/Carton"/>
    <n v="388.7"/>
    <n v="6"/>
    <x v="0"/>
    <n v="38.869999999999997"/>
    <x v="0"/>
  </r>
  <r>
    <s v="CA-2014-165008"/>
    <x v="628"/>
    <x v="4"/>
    <d v="2014-09-18T00:00:00"/>
    <x v="0"/>
    <x v="546"/>
    <x v="0"/>
    <x v="90"/>
    <x v="2"/>
    <x v="2"/>
    <s v="Avery Trapezoid Ring Binder, 3&quot; Capacity, Black, 1040 sheets"/>
    <n v="295.06"/>
    <n v="9"/>
    <x v="1"/>
    <n v="106.96"/>
    <x v="0"/>
  </r>
  <r>
    <s v="CA-2012-121188"/>
    <x v="758"/>
    <x v="3"/>
    <d v="2012-09-04T00:00:00"/>
    <x v="1"/>
    <x v="514"/>
    <x v="0"/>
    <x v="0"/>
    <x v="0"/>
    <x v="3"/>
    <s v="Hot File 7-Pocket, Floor Stand"/>
    <n v="892.35"/>
    <n v="5"/>
    <x v="0"/>
    <n v="267.70999999999998"/>
    <x v="2"/>
  </r>
  <r>
    <s v="US-2012-160563"/>
    <x v="759"/>
    <x v="8"/>
    <d v="2012-10-24T00:00:00"/>
    <x v="0"/>
    <x v="149"/>
    <x v="0"/>
    <x v="3"/>
    <x v="0"/>
    <x v="6"/>
    <s v="Logitech G602 Wireless Gaming Mouse"/>
    <n v="239.97"/>
    <n v="3"/>
    <x v="0"/>
    <n v="86.39"/>
    <x v="0"/>
  </r>
  <r>
    <s v="CA-2012-150714"/>
    <x v="281"/>
    <x v="8"/>
    <d v="2012-11-01T00:00:00"/>
    <x v="0"/>
    <x v="38"/>
    <x v="0"/>
    <x v="80"/>
    <x v="4"/>
    <x v="0"/>
    <s v="Avery 477"/>
    <n v="146.54"/>
    <n v="6"/>
    <x v="0"/>
    <n v="47.63"/>
    <x v="0"/>
  </r>
  <r>
    <s v="CA-2013-106621"/>
    <x v="230"/>
    <x v="4"/>
    <d v="2013-10-02T00:00:00"/>
    <x v="0"/>
    <x v="401"/>
    <x v="0"/>
    <x v="128"/>
    <x v="3"/>
    <x v="4"/>
    <s v="Newell 351"/>
    <n v="10.5"/>
    <n v="4"/>
    <x v="0"/>
    <n v="1.18"/>
    <x v="0"/>
  </r>
  <r>
    <s v="CA-2012-107020"/>
    <x v="398"/>
    <x v="6"/>
    <d v="2012-07-14T00:00:00"/>
    <x v="0"/>
    <x v="584"/>
    <x v="0"/>
    <x v="82"/>
    <x v="0"/>
    <x v="2"/>
    <s v="Large Capacity Hanging Post Binders"/>
    <n v="39.92"/>
    <n v="2"/>
    <x v="0"/>
    <n v="12.97"/>
    <x v="0"/>
  </r>
  <r>
    <s v="CA-2011-101392"/>
    <x v="705"/>
    <x v="1"/>
    <d v="2011-12-13T00:00:00"/>
    <x v="0"/>
    <x v="456"/>
    <x v="0"/>
    <x v="1"/>
    <x v="1"/>
    <x v="3"/>
    <s v="Advantus Rolling Drawer Organizers"/>
    <n v="269.36"/>
    <n v="7"/>
    <x v="1"/>
    <n v="70.03"/>
    <x v="0"/>
  </r>
  <r>
    <s v="CA-2012-127502"/>
    <x v="656"/>
    <x v="1"/>
    <d v="2012-12-14T00:00:00"/>
    <x v="0"/>
    <x v="135"/>
    <x v="0"/>
    <x v="3"/>
    <x v="0"/>
    <x v="0"/>
    <s v="Avery File Folder Labels"/>
    <n v="5.76"/>
    <n v="2"/>
    <x v="0"/>
    <n v="2.82"/>
    <x v="0"/>
  </r>
  <r>
    <s v="CA-2014-133046"/>
    <x v="760"/>
    <x v="6"/>
    <d v="2014-08-02T00:00:00"/>
    <x v="0"/>
    <x v="304"/>
    <x v="0"/>
    <x v="1"/>
    <x v="1"/>
    <x v="1"/>
    <s v="Staples"/>
    <n v="23.88"/>
    <n v="3"/>
    <x v="0"/>
    <n v="10.51"/>
    <x v="0"/>
  </r>
  <r>
    <s v="CA-2014-122798"/>
    <x v="38"/>
    <x v="1"/>
    <d v="2015-01-02T00:00:00"/>
    <x v="0"/>
    <x v="557"/>
    <x v="0"/>
    <x v="95"/>
    <x v="6"/>
    <x v="3"/>
    <s v="Eldon Mobile Mega Data Cart  Mega Stackable  Add-On Trays"/>
    <n v="118.25"/>
    <n v="5"/>
    <x v="0"/>
    <n v="34.29"/>
    <x v="0"/>
  </r>
  <r>
    <s v="CA-2013-169663"/>
    <x v="631"/>
    <x v="9"/>
    <d v="2013-03-14T00:00:00"/>
    <x v="0"/>
    <x v="285"/>
    <x v="0"/>
    <x v="0"/>
    <x v="0"/>
    <x v="6"/>
    <s v="Kingston Digital DataTraveler 16GB USB 2.0"/>
    <n v="26.85"/>
    <n v="3"/>
    <x v="0"/>
    <n v="5.0999999999999996"/>
    <x v="0"/>
  </r>
  <r>
    <s v="CA-2012-149846"/>
    <x v="761"/>
    <x v="2"/>
    <d v="2012-05-26T00:00:00"/>
    <x v="0"/>
    <x v="639"/>
    <x v="0"/>
    <x v="0"/>
    <x v="0"/>
    <x v="0"/>
    <s v="Avery 476"/>
    <n v="8.26"/>
    <n v="2"/>
    <x v="0"/>
    <n v="3.8"/>
    <x v="0"/>
  </r>
  <r>
    <s v="CA-2014-101014"/>
    <x v="762"/>
    <x v="3"/>
    <d v="2014-09-05T00:00:00"/>
    <x v="0"/>
    <x v="185"/>
    <x v="0"/>
    <x v="0"/>
    <x v="0"/>
    <x v="1"/>
    <s v="Electrix Fluorescent Magnifier Lamps &amp; Weighted Base"/>
    <n v="148.02000000000001"/>
    <n v="3"/>
    <x v="0"/>
    <n v="41.45"/>
    <x v="0"/>
  </r>
  <r>
    <s v="US-2014-113201"/>
    <x v="54"/>
    <x v="6"/>
    <d v="2014-07-06T00:00:00"/>
    <x v="0"/>
    <x v="360"/>
    <x v="0"/>
    <x v="0"/>
    <x v="0"/>
    <x v="8"/>
    <s v="Xerox 1919"/>
    <n v="204.95"/>
    <n v="5"/>
    <x v="0"/>
    <n v="100.43"/>
    <x v="0"/>
  </r>
  <r>
    <s v="CA-2013-116722"/>
    <x v="366"/>
    <x v="7"/>
    <d v="2013-11-17T00:00:00"/>
    <x v="0"/>
    <x v="78"/>
    <x v="0"/>
    <x v="3"/>
    <x v="0"/>
    <x v="1"/>
    <s v="Magnifier Swing Arm Lamp"/>
    <n v="41.96"/>
    <n v="2"/>
    <x v="0"/>
    <n v="10.91"/>
    <x v="0"/>
  </r>
  <r>
    <s v="US-2014-150070"/>
    <x v="75"/>
    <x v="4"/>
    <d v="2014-09-13T00:00:00"/>
    <x v="0"/>
    <x v="127"/>
    <x v="0"/>
    <x v="159"/>
    <x v="0"/>
    <x v="7"/>
    <s v="Global Low Back Tilter Chair"/>
    <n v="161.57"/>
    <n v="2"/>
    <x v="0"/>
    <n v="-28.27"/>
    <x v="0"/>
  </r>
  <r>
    <s v="CA-2011-127866"/>
    <x v="627"/>
    <x v="6"/>
    <d v="2011-07-23T00:00:00"/>
    <x v="0"/>
    <x v="415"/>
    <x v="0"/>
    <x v="49"/>
    <x v="0"/>
    <x v="6"/>
    <s v="Maxell 74 Minute CD-R Spindle, 50/Pack"/>
    <n v="41.94"/>
    <n v="2"/>
    <x v="0"/>
    <n v="15.1"/>
    <x v="0"/>
  </r>
  <r>
    <s v="CA-2012-121776"/>
    <x v="763"/>
    <x v="11"/>
    <d v="2012-02-21T00:00:00"/>
    <x v="0"/>
    <x v="385"/>
    <x v="0"/>
    <x v="0"/>
    <x v="0"/>
    <x v="8"/>
    <s v="Xerox 1881"/>
    <n v="36.840000000000003"/>
    <n v="3"/>
    <x v="0"/>
    <n v="17.309999999999999"/>
    <x v="0"/>
  </r>
  <r>
    <s v="CA-2013-100993"/>
    <x v="764"/>
    <x v="11"/>
    <d v="2013-02-10T00:00:00"/>
    <x v="0"/>
    <x v="574"/>
    <x v="0"/>
    <x v="18"/>
    <x v="0"/>
    <x v="0"/>
    <s v="Avery 508"/>
    <n v="14.73"/>
    <n v="3"/>
    <x v="0"/>
    <n v="7.22"/>
    <x v="0"/>
  </r>
  <r>
    <s v="US-2013-131058"/>
    <x v="765"/>
    <x v="1"/>
    <d v="2014-01-01T00:00:00"/>
    <x v="0"/>
    <x v="364"/>
    <x v="0"/>
    <x v="46"/>
    <x v="0"/>
    <x v="0"/>
    <s v="Avery File Folder Labels"/>
    <n v="20.16"/>
    <n v="7"/>
    <x v="1"/>
    <n v="9.8800000000000008"/>
    <x v="0"/>
  </r>
  <r>
    <s v="CA-2014-140151"/>
    <x v="312"/>
    <x v="9"/>
    <d v="2014-03-26T00:00:00"/>
    <x v="0"/>
    <x v="609"/>
    <x v="0"/>
    <x v="1"/>
    <x v="1"/>
    <x v="3"/>
    <s v="Acco Perma 4000 Stacking Storage Drawers"/>
    <n v="32.479999999999997"/>
    <n v="2"/>
    <x v="0"/>
    <n v="4.87"/>
    <x v="0"/>
  </r>
  <r>
    <s v="CA-2013-103464"/>
    <x v="539"/>
    <x v="7"/>
    <d v="2013-11-23T00:00:00"/>
    <x v="0"/>
    <x v="115"/>
    <x v="0"/>
    <x v="18"/>
    <x v="0"/>
    <x v="6"/>
    <s v="WD My Passport Ultra 2TB Portable External Hard Drive"/>
    <n v="595"/>
    <n v="5"/>
    <x v="0"/>
    <n v="95.2"/>
    <x v="2"/>
  </r>
  <r>
    <s v="CA-2012-168207"/>
    <x v="41"/>
    <x v="7"/>
    <d v="2012-11-06T00:00:00"/>
    <x v="0"/>
    <x v="108"/>
    <x v="0"/>
    <x v="18"/>
    <x v="0"/>
    <x v="1"/>
    <s v="Contemporary Wood/Metal Frame"/>
    <n v="96.96"/>
    <n v="6"/>
    <x v="0"/>
    <n v="33.94"/>
    <x v="0"/>
  </r>
  <r>
    <s v="CA-2013-144148"/>
    <x v="766"/>
    <x v="3"/>
    <d v="2013-08-06T00:00:00"/>
    <x v="0"/>
    <x v="454"/>
    <x v="0"/>
    <x v="3"/>
    <x v="0"/>
    <x v="5"/>
    <s v="Laminate Occasional Tables"/>
    <n v="863.13"/>
    <n v="7"/>
    <x v="1"/>
    <n v="-32.369999999999997"/>
    <x v="2"/>
  </r>
  <r>
    <s v="CA-2014-107174"/>
    <x v="12"/>
    <x v="7"/>
    <d v="2014-11-14T00:00:00"/>
    <x v="1"/>
    <x v="493"/>
    <x v="0"/>
    <x v="1"/>
    <x v="1"/>
    <x v="5"/>
    <s v="Hon 5100 Series Wood Tables"/>
    <n v="2036.86"/>
    <n v="7"/>
    <x v="1"/>
    <n v="366.63"/>
    <x v="1"/>
  </r>
  <r>
    <s v="CA-2011-114125"/>
    <x v="767"/>
    <x v="6"/>
    <d v="2011-07-13T00:00:00"/>
    <x v="0"/>
    <x v="377"/>
    <x v="0"/>
    <x v="0"/>
    <x v="0"/>
    <x v="0"/>
    <s v="Avery 49"/>
    <n v="2.88"/>
    <n v="1"/>
    <x v="2"/>
    <n v="1.41"/>
    <x v="0"/>
  </r>
  <r>
    <s v="CA-2014-149699"/>
    <x v="338"/>
    <x v="1"/>
    <d v="2014-12-25T00:00:00"/>
    <x v="0"/>
    <x v="608"/>
    <x v="0"/>
    <x v="0"/>
    <x v="0"/>
    <x v="6"/>
    <s v="Kensington Expert Mouse Optical USB Trackball for PC or Mac"/>
    <n v="474.95"/>
    <n v="5"/>
    <x v="0"/>
    <n v="142.49"/>
    <x v="0"/>
  </r>
  <r>
    <s v="CA-2013-166429"/>
    <x v="584"/>
    <x v="4"/>
    <d v="2013-09-09T00:00:00"/>
    <x v="0"/>
    <x v="286"/>
    <x v="0"/>
    <x v="27"/>
    <x v="1"/>
    <x v="13"/>
    <s v="Hewlett Packard 610 Color Digital Copier / Printer"/>
    <n v="999.98"/>
    <n v="2"/>
    <x v="0"/>
    <n v="449.99"/>
    <x v="2"/>
  </r>
  <r>
    <s v="CA-2012-112767"/>
    <x v="518"/>
    <x v="3"/>
    <d v="2012-08-06T00:00:00"/>
    <x v="0"/>
    <x v="506"/>
    <x v="0"/>
    <x v="80"/>
    <x v="4"/>
    <x v="5"/>
    <s v="Balt Split Level Computer Training Table"/>
    <n v="277.5"/>
    <n v="4"/>
    <x v="0"/>
    <n v="-188.7"/>
    <x v="0"/>
  </r>
  <r>
    <s v="CA-2012-136700"/>
    <x v="152"/>
    <x v="1"/>
    <d v="2012-12-11T00:00:00"/>
    <x v="0"/>
    <x v="34"/>
    <x v="0"/>
    <x v="136"/>
    <x v="0"/>
    <x v="8"/>
    <s v="Spiral Phone Message Books with Labels by Adams"/>
    <n v="8.9600000000000009"/>
    <n v="2"/>
    <x v="0"/>
    <n v="4.3899999999999997"/>
    <x v="0"/>
  </r>
  <r>
    <s v="CA-2013-104633"/>
    <x v="0"/>
    <x v="0"/>
    <d v="2013-06-17T00:00:00"/>
    <x v="0"/>
    <x v="530"/>
    <x v="0"/>
    <x v="10"/>
    <x v="0"/>
    <x v="8"/>
    <s v="IBM Multi-Purpose Copy Paper, 8 1/2 x 11&quot;, Case"/>
    <n v="185.88"/>
    <n v="6"/>
    <x v="0"/>
    <n v="83.65"/>
    <x v="0"/>
  </r>
  <r>
    <s v="CA-2011-158225"/>
    <x v="768"/>
    <x v="4"/>
    <d v="2011-09-28T00:00:00"/>
    <x v="0"/>
    <x v="338"/>
    <x v="0"/>
    <x v="12"/>
    <x v="0"/>
    <x v="3"/>
    <s v="File Shuttle II and Handi-File, Black"/>
    <n v="169.45"/>
    <n v="5"/>
    <x v="0"/>
    <n v="42.36"/>
    <x v="0"/>
  </r>
  <r>
    <s v="CA-2011-109897"/>
    <x v="769"/>
    <x v="3"/>
    <d v="2011-08-16T00:00:00"/>
    <x v="0"/>
    <x v="294"/>
    <x v="0"/>
    <x v="3"/>
    <x v="0"/>
    <x v="11"/>
    <s v="BlackBerry Q10"/>
    <n v="806.34"/>
    <n v="8"/>
    <x v="1"/>
    <n v="50.4"/>
    <x v="2"/>
  </r>
  <r>
    <s v="CA-2014-152310"/>
    <x v="608"/>
    <x v="3"/>
    <d v="2014-08-20T00:00:00"/>
    <x v="1"/>
    <x v="640"/>
    <x v="0"/>
    <x v="1"/>
    <x v="1"/>
    <x v="13"/>
    <s v="Hewlett Packard 310 Color Digital Copier"/>
    <n v="299.99"/>
    <n v="1"/>
    <x v="2"/>
    <n v="90"/>
    <x v="0"/>
  </r>
  <r>
    <s v="CA-2013-139549"/>
    <x v="668"/>
    <x v="8"/>
    <d v="2013-10-26T00:00:00"/>
    <x v="0"/>
    <x v="641"/>
    <x v="0"/>
    <x v="155"/>
    <x v="0"/>
    <x v="7"/>
    <s v="Hon Every-Day Chair Series Swivel Task Chairs"/>
    <n v="387.14"/>
    <n v="4"/>
    <x v="0"/>
    <n v="4.84"/>
    <x v="0"/>
  </r>
  <r>
    <s v="US-2014-168802"/>
    <x v="56"/>
    <x v="7"/>
    <d v="2014-11-08T00:00:00"/>
    <x v="0"/>
    <x v="427"/>
    <x v="0"/>
    <x v="1"/>
    <x v="1"/>
    <x v="2"/>
    <s v="Binder Posts"/>
    <n v="18.37"/>
    <n v="4"/>
    <x v="0"/>
    <n v="5.97"/>
    <x v="0"/>
  </r>
  <r>
    <s v="US-2011-103338"/>
    <x v="770"/>
    <x v="9"/>
    <d v="2011-03-15T00:00:00"/>
    <x v="0"/>
    <x v="474"/>
    <x v="0"/>
    <x v="9"/>
    <x v="0"/>
    <x v="4"/>
    <s v="Economy #2 Pencils"/>
    <n v="7.98"/>
    <n v="3"/>
    <x v="0"/>
    <n v="2.0699999999999998"/>
    <x v="0"/>
  </r>
  <r>
    <s v="US-2014-167318"/>
    <x v="771"/>
    <x v="6"/>
    <d v="2014-08-02T00:00:00"/>
    <x v="0"/>
    <x v="613"/>
    <x v="0"/>
    <x v="0"/>
    <x v="0"/>
    <x v="6"/>
    <s v="Logitech Z-906 Speaker sys - home theater - 5.1-CH"/>
    <n v="1649.95"/>
    <n v="5"/>
    <x v="0"/>
    <n v="659.98"/>
    <x v="1"/>
  </r>
  <r>
    <s v="US-2011-120313"/>
    <x v="275"/>
    <x v="8"/>
    <d v="2011-11-02T00:00:00"/>
    <x v="0"/>
    <x v="332"/>
    <x v="0"/>
    <x v="3"/>
    <x v="0"/>
    <x v="11"/>
    <s v="Motorola L804"/>
    <n v="73.58"/>
    <n v="2"/>
    <x v="0"/>
    <n v="8.2799999999999994"/>
    <x v="0"/>
  </r>
  <r>
    <s v="CA-2014-135419"/>
    <x v="56"/>
    <x v="7"/>
    <d v="2014-11-10T00:00:00"/>
    <x v="0"/>
    <x v="436"/>
    <x v="0"/>
    <x v="104"/>
    <x v="0"/>
    <x v="5"/>
    <s v="SAFCO PlanMaster Boards, 60w x 37-1/2d, White Melamine"/>
    <n v="486.37"/>
    <n v="4"/>
    <x v="0"/>
    <n v="36.479999999999997"/>
    <x v="0"/>
  </r>
  <r>
    <s v="CA-2013-149335"/>
    <x v="69"/>
    <x v="6"/>
    <d v="2013-07-26T00:00:00"/>
    <x v="0"/>
    <x v="296"/>
    <x v="0"/>
    <x v="3"/>
    <x v="0"/>
    <x v="4"/>
    <s v="Newell 325"/>
    <n v="37.17"/>
    <n v="9"/>
    <x v="1"/>
    <n v="11.15"/>
    <x v="0"/>
  </r>
  <r>
    <s v="CA-2014-135076"/>
    <x v="285"/>
    <x v="10"/>
    <d v="2014-04-18T00:00:00"/>
    <x v="0"/>
    <x v="214"/>
    <x v="0"/>
    <x v="24"/>
    <x v="0"/>
    <x v="7"/>
    <s v="Global Wood Trimmed Manager's Task Chair, Khaki"/>
    <n v="436.7"/>
    <n v="6"/>
    <x v="0"/>
    <n v="-38.21"/>
    <x v="0"/>
  </r>
  <r>
    <s v="CA-2014-141481"/>
    <x v="217"/>
    <x v="0"/>
    <d v="2014-06-15T00:00:00"/>
    <x v="0"/>
    <x v="4"/>
    <x v="0"/>
    <x v="0"/>
    <x v="0"/>
    <x v="9"/>
    <s v="Kensington 6 Outlet Guardian Standard Surge Protector"/>
    <n v="61.44"/>
    <n v="3"/>
    <x v="0"/>
    <n v="16.59"/>
    <x v="0"/>
  </r>
  <r>
    <s v="CA-2011-110555"/>
    <x v="514"/>
    <x v="10"/>
    <d v="2011-04-18T00:00:00"/>
    <x v="1"/>
    <x v="222"/>
    <x v="0"/>
    <x v="34"/>
    <x v="8"/>
    <x v="3"/>
    <s v="Eldon Simplefile Box Office"/>
    <n v="87.08"/>
    <n v="7"/>
    <x v="1"/>
    <n v="24.38"/>
    <x v="0"/>
  </r>
  <r>
    <s v="CA-2014-157273"/>
    <x v="371"/>
    <x v="5"/>
    <d v="2014-02-03T00:00:00"/>
    <x v="0"/>
    <x v="179"/>
    <x v="0"/>
    <x v="1"/>
    <x v="1"/>
    <x v="11"/>
    <s v="Mitel 5320 IP Phone VoIP phone"/>
    <n v="604.77"/>
    <n v="4"/>
    <x v="0"/>
    <n v="60.48"/>
    <x v="2"/>
  </r>
  <r>
    <s v="CA-2011-109918"/>
    <x v="772"/>
    <x v="4"/>
    <d v="2011-09-12T00:00:00"/>
    <x v="0"/>
    <x v="556"/>
    <x v="0"/>
    <x v="17"/>
    <x v="0"/>
    <x v="14"/>
    <s v="Acme Design Line 8&quot; Stainless Steel Bent Scissors w/Champagne Handles, 3-1/8&quot; Cut"/>
    <n v="27.36"/>
    <n v="4"/>
    <x v="0"/>
    <n v="7.39"/>
    <x v="0"/>
  </r>
  <r>
    <s v="CA-2013-118745"/>
    <x v="601"/>
    <x v="0"/>
    <d v="2013-06-17T00:00:00"/>
    <x v="0"/>
    <x v="642"/>
    <x v="0"/>
    <x v="0"/>
    <x v="0"/>
    <x v="5"/>
    <s v="Bretford Rectangular Conference Table Tops"/>
    <n v="902.71"/>
    <n v="3"/>
    <x v="0"/>
    <n v="33.85"/>
    <x v="2"/>
  </r>
  <r>
    <s v="CA-2013-163972"/>
    <x v="201"/>
    <x v="8"/>
    <d v="2013-10-22T00:00:00"/>
    <x v="0"/>
    <x v="324"/>
    <x v="0"/>
    <x v="59"/>
    <x v="0"/>
    <x v="15"/>
    <s v="Safco Value Mate Steel Bookcase, Baked Enamel Finish on Steel, Black"/>
    <n v="120.67"/>
    <n v="2"/>
    <x v="0"/>
    <n v="21.29"/>
    <x v="0"/>
  </r>
  <r>
    <s v="CA-2013-113726"/>
    <x v="202"/>
    <x v="7"/>
    <d v="2013-12-02T00:00:00"/>
    <x v="1"/>
    <x v="551"/>
    <x v="0"/>
    <x v="1"/>
    <x v="1"/>
    <x v="1"/>
    <s v="Howard Miller Distant Time Traveler Alarm Clock"/>
    <n v="82.26"/>
    <n v="3"/>
    <x v="0"/>
    <n v="33.729999999999997"/>
    <x v="0"/>
  </r>
  <r>
    <s v="CA-2013-152940"/>
    <x v="125"/>
    <x v="7"/>
    <d v="2013-11-14T00:00:00"/>
    <x v="0"/>
    <x v="572"/>
    <x v="0"/>
    <x v="3"/>
    <x v="0"/>
    <x v="3"/>
    <s v="Acco Perma 2700 Stacking Storage Drawers"/>
    <n v="29.74"/>
    <n v="1"/>
    <x v="2"/>
    <n v="4.46"/>
    <x v="0"/>
  </r>
  <r>
    <s v="CA-2012-158701"/>
    <x v="480"/>
    <x v="5"/>
    <d v="2012-01-10T00:00:00"/>
    <x v="0"/>
    <x v="503"/>
    <x v="0"/>
    <x v="3"/>
    <x v="0"/>
    <x v="9"/>
    <s v="Acco 6 Outlet Guardian Premium Surge Suppressor"/>
    <n v="87.36"/>
    <n v="6"/>
    <x v="0"/>
    <n v="23.59"/>
    <x v="0"/>
  </r>
  <r>
    <s v="CA-2013-134544"/>
    <x v="773"/>
    <x v="9"/>
    <d v="2013-03-20T00:00:00"/>
    <x v="0"/>
    <x v="567"/>
    <x v="0"/>
    <x v="3"/>
    <x v="0"/>
    <x v="11"/>
    <s v="i.Sound Portable Power - 8000 mAh"/>
    <n v="84.78"/>
    <n v="2"/>
    <x v="0"/>
    <n v="-20.14"/>
    <x v="0"/>
  </r>
  <r>
    <s v="CA-2014-137582"/>
    <x v="321"/>
    <x v="4"/>
    <d v="2014-09-09T00:00:00"/>
    <x v="0"/>
    <x v="130"/>
    <x v="0"/>
    <x v="54"/>
    <x v="0"/>
    <x v="2"/>
    <s v="Pressboard Hanging Data Binders for Unburst Sheets"/>
    <n v="11.81"/>
    <n v="3"/>
    <x v="0"/>
    <n v="4.13"/>
    <x v="0"/>
  </r>
  <r>
    <s v="CA-2014-153227"/>
    <x v="774"/>
    <x v="1"/>
    <d v="2014-12-07T00:00:00"/>
    <x v="0"/>
    <x v="447"/>
    <x v="0"/>
    <x v="0"/>
    <x v="0"/>
    <x v="8"/>
    <s v="Adams Telephone Message Book W/Dividers/Space For Phone Numbers, 5 1/4&quot;X8 1/2&quot;, 300/Messages"/>
    <n v="11.76"/>
    <n v="2"/>
    <x v="0"/>
    <n v="5.76"/>
    <x v="0"/>
  </r>
  <r>
    <s v="CA-2012-133837"/>
    <x v="276"/>
    <x v="10"/>
    <d v="2012-04-18T00:00:00"/>
    <x v="0"/>
    <x v="221"/>
    <x v="0"/>
    <x v="65"/>
    <x v="3"/>
    <x v="3"/>
    <s v="Neat Ideas Personal Hanging Folder Files, Black"/>
    <n v="10.74"/>
    <n v="1"/>
    <x v="2"/>
    <n v="0.81"/>
    <x v="0"/>
  </r>
  <r>
    <s v="CA-2013-154067"/>
    <x v="775"/>
    <x v="11"/>
    <d v="2013-02-07T00:00:00"/>
    <x v="0"/>
    <x v="643"/>
    <x v="0"/>
    <x v="0"/>
    <x v="0"/>
    <x v="8"/>
    <s v="Xerox 1883"/>
    <n v="105.52"/>
    <n v="4"/>
    <x v="0"/>
    <n v="48.54"/>
    <x v="0"/>
  </r>
  <r>
    <s v="CA-2012-134082"/>
    <x v="527"/>
    <x v="1"/>
    <d v="2012-12-17T00:00:00"/>
    <x v="0"/>
    <x v="405"/>
    <x v="0"/>
    <x v="82"/>
    <x v="0"/>
    <x v="2"/>
    <s v="GBC Recycled Grain Textured Covers"/>
    <n v="110.53"/>
    <n v="4"/>
    <x v="0"/>
    <n v="38.68"/>
    <x v="0"/>
  </r>
  <r>
    <s v="CA-2014-118199"/>
    <x v="776"/>
    <x v="2"/>
    <d v="2014-05-12T00:00:00"/>
    <x v="0"/>
    <x v="618"/>
    <x v="0"/>
    <x v="1"/>
    <x v="1"/>
    <x v="2"/>
    <s v="GBC Velobind Prepunched Cover Sets, Regency Series"/>
    <n v="147.91999999999999"/>
    <n v="5"/>
    <x v="0"/>
    <n v="46.23"/>
    <x v="0"/>
  </r>
  <r>
    <s v="CA-2012-128356"/>
    <x v="274"/>
    <x v="8"/>
    <d v="2012-10-07T00:00:00"/>
    <x v="0"/>
    <x v="644"/>
    <x v="0"/>
    <x v="117"/>
    <x v="5"/>
    <x v="14"/>
    <s v="Acme Design Line 8&quot; Stainless Steel Bent Scissors w/Champagne Handles, 3-1/8&quot; Cut"/>
    <n v="10.94"/>
    <n v="2"/>
    <x v="0"/>
    <n v="0.96"/>
    <x v="0"/>
  </r>
  <r>
    <s v="US-2014-132220"/>
    <x v="34"/>
    <x v="7"/>
    <d v="2014-11-17T00:00:00"/>
    <x v="0"/>
    <x v="354"/>
    <x v="0"/>
    <x v="69"/>
    <x v="3"/>
    <x v="6"/>
    <s v="SanDisk Ultra 16 GB MicroSDHC Class 10 Memory Card"/>
    <n v="62.35"/>
    <n v="6"/>
    <x v="0"/>
    <n v="-10.91"/>
    <x v="0"/>
  </r>
  <r>
    <s v="CA-2012-151470"/>
    <x v="777"/>
    <x v="4"/>
    <d v="2012-09-26T00:00:00"/>
    <x v="0"/>
    <x v="315"/>
    <x v="0"/>
    <x v="28"/>
    <x v="7"/>
    <x v="2"/>
    <s v="Wilson Jones Impact Binders"/>
    <n v="45.58"/>
    <n v="11"/>
    <x v="1"/>
    <n v="16.52"/>
    <x v="0"/>
  </r>
  <r>
    <s v="CA-2011-108861"/>
    <x v="603"/>
    <x v="2"/>
    <d v="2011-06-01T00:00:00"/>
    <x v="0"/>
    <x v="645"/>
    <x v="0"/>
    <x v="1"/>
    <x v="1"/>
    <x v="2"/>
    <s v="Green Canvas Binder for 8-1/2&quot; x 14&quot; Sheets"/>
    <n v="136.96"/>
    <n v="4"/>
    <x v="0"/>
    <n v="51.36"/>
    <x v="0"/>
  </r>
  <r>
    <s v="CA-2014-145779"/>
    <x v="734"/>
    <x v="2"/>
    <d v="2014-05-11T00:00:00"/>
    <x v="0"/>
    <x v="46"/>
    <x v="0"/>
    <x v="26"/>
    <x v="3"/>
    <x v="8"/>
    <s v="Xerox 1883"/>
    <n v="84.42"/>
    <n v="4"/>
    <x v="0"/>
    <n v="27.44"/>
    <x v="0"/>
  </r>
  <r>
    <s v="CA-2011-131387"/>
    <x v="778"/>
    <x v="10"/>
    <d v="2011-04-30T00:00:00"/>
    <x v="0"/>
    <x v="496"/>
    <x v="0"/>
    <x v="3"/>
    <x v="0"/>
    <x v="11"/>
    <s v="Samsung Galaxy Mega 6.3"/>
    <n v="1679.96"/>
    <n v="5"/>
    <x v="0"/>
    <n v="126"/>
    <x v="1"/>
  </r>
  <r>
    <s v="CA-2013-154081"/>
    <x v="779"/>
    <x v="2"/>
    <d v="2013-05-30T00:00:00"/>
    <x v="1"/>
    <x v="481"/>
    <x v="0"/>
    <x v="0"/>
    <x v="0"/>
    <x v="11"/>
    <s v="Nortel Business Series Terminal T7208 Digital phone"/>
    <n v="222.38"/>
    <n v="2"/>
    <x v="0"/>
    <n v="22.24"/>
    <x v="0"/>
  </r>
  <r>
    <s v="CA-2011-100881"/>
    <x v="780"/>
    <x v="9"/>
    <d v="2011-04-01T00:00:00"/>
    <x v="0"/>
    <x v="646"/>
    <x v="0"/>
    <x v="95"/>
    <x v="6"/>
    <x v="11"/>
    <s v="AT&amp;T TR1909W"/>
    <n v="302.38"/>
    <n v="3"/>
    <x v="0"/>
    <n v="22.68"/>
    <x v="0"/>
  </r>
  <r>
    <s v="CA-2012-144043"/>
    <x v="781"/>
    <x v="2"/>
    <d v="2012-05-15T00:00:00"/>
    <x v="0"/>
    <x v="95"/>
    <x v="0"/>
    <x v="30"/>
    <x v="5"/>
    <x v="6"/>
    <s v="Belkin Standard 104 key USB Keyboard"/>
    <n v="46.69"/>
    <n v="4"/>
    <x v="0"/>
    <n v="-2.92"/>
    <x v="0"/>
  </r>
  <r>
    <s v="CA-2013-168557"/>
    <x v="284"/>
    <x v="4"/>
    <d v="2013-09-24T00:00:00"/>
    <x v="0"/>
    <x v="241"/>
    <x v="0"/>
    <x v="3"/>
    <x v="0"/>
    <x v="2"/>
    <s v="Avery Heavy-Duty EZD  Binder With Locking Rings"/>
    <n v="8.93"/>
    <n v="2"/>
    <x v="0"/>
    <n v="3.12"/>
    <x v="0"/>
  </r>
  <r>
    <s v="CA-2014-134880"/>
    <x v="468"/>
    <x v="8"/>
    <d v="2014-11-02T00:00:00"/>
    <x v="0"/>
    <x v="21"/>
    <x v="0"/>
    <x v="35"/>
    <x v="3"/>
    <x v="8"/>
    <s v="Xerox 1882"/>
    <n v="44.78"/>
    <n v="1"/>
    <x v="2"/>
    <n v="16.23"/>
    <x v="0"/>
  </r>
  <r>
    <s v="CA-2014-158736"/>
    <x v="156"/>
    <x v="1"/>
    <d v="2014-12-25T00:00:00"/>
    <x v="0"/>
    <x v="497"/>
    <x v="0"/>
    <x v="3"/>
    <x v="0"/>
    <x v="4"/>
    <s v="Newell 335"/>
    <n v="5.76"/>
    <n v="2"/>
    <x v="0"/>
    <n v="1.67"/>
    <x v="0"/>
  </r>
  <r>
    <s v="US-2013-119270"/>
    <x v="625"/>
    <x v="9"/>
    <d v="2013-03-17T00:00:00"/>
    <x v="0"/>
    <x v="272"/>
    <x v="0"/>
    <x v="0"/>
    <x v="0"/>
    <x v="8"/>
    <s v="Hammermill Color Copier Paper (28Lb. and 96 Bright)"/>
    <n v="19.98"/>
    <n v="2"/>
    <x v="0"/>
    <n v="8.99"/>
    <x v="0"/>
  </r>
  <r>
    <s v="CA-2014-142391"/>
    <x v="632"/>
    <x v="4"/>
    <d v="2014-09-25T00:00:00"/>
    <x v="0"/>
    <x v="58"/>
    <x v="0"/>
    <x v="1"/>
    <x v="1"/>
    <x v="1"/>
    <s v="12-1/2 Diameter Round Wall Clock"/>
    <n v="199.8"/>
    <n v="10"/>
    <x v="1"/>
    <n v="71.930000000000007"/>
    <x v="0"/>
  </r>
  <r>
    <s v="CA-2014-124716"/>
    <x v="782"/>
    <x v="9"/>
    <d v="2014-04-01T00:00:00"/>
    <x v="0"/>
    <x v="647"/>
    <x v="0"/>
    <x v="59"/>
    <x v="0"/>
    <x v="8"/>
    <s v="Xerox 1982"/>
    <n v="45.68"/>
    <n v="2"/>
    <x v="0"/>
    <n v="21.01"/>
    <x v="0"/>
  </r>
  <r>
    <s v="CA-2014-106824"/>
    <x v="783"/>
    <x v="6"/>
    <d v="2014-07-12T00:00:00"/>
    <x v="0"/>
    <x v="88"/>
    <x v="0"/>
    <x v="0"/>
    <x v="0"/>
    <x v="12"/>
    <s v="Brites Rubber Bands, 1 1/2 oz. Box"/>
    <n v="5.94"/>
    <n v="3"/>
    <x v="0"/>
    <n v="0.12"/>
    <x v="0"/>
  </r>
  <r>
    <s v="CA-2013-143154"/>
    <x v="197"/>
    <x v="1"/>
    <d v="2013-12-09T00:00:00"/>
    <x v="0"/>
    <x v="330"/>
    <x v="0"/>
    <x v="160"/>
    <x v="5"/>
    <x v="6"/>
    <s v="WD My Passport Ultra 1TB Portable External Hard Drive"/>
    <n v="165.6"/>
    <n v="3"/>
    <x v="0"/>
    <n v="-6.21"/>
    <x v="0"/>
  </r>
  <r>
    <s v="CA-2012-102316"/>
    <x v="784"/>
    <x v="11"/>
    <d v="2012-03-03T00:00:00"/>
    <x v="0"/>
    <x v="539"/>
    <x v="0"/>
    <x v="0"/>
    <x v="0"/>
    <x v="11"/>
    <s v="Square Credit Card Reader"/>
    <n v="15.98"/>
    <n v="2"/>
    <x v="0"/>
    <n v="1.2"/>
    <x v="0"/>
  </r>
  <r>
    <s v="CA-2011-164903"/>
    <x v="785"/>
    <x v="11"/>
    <d v="2011-02-25T00:00:00"/>
    <x v="0"/>
    <x v="438"/>
    <x v="0"/>
    <x v="0"/>
    <x v="0"/>
    <x v="8"/>
    <s v="Xerox 204"/>
    <n v="12.96"/>
    <n v="2"/>
    <x v="0"/>
    <n v="6.22"/>
    <x v="0"/>
  </r>
  <r>
    <s v="CA-2014-133074"/>
    <x v="580"/>
    <x v="4"/>
    <d v="2014-09-26T00:00:00"/>
    <x v="0"/>
    <x v="46"/>
    <x v="0"/>
    <x v="3"/>
    <x v="0"/>
    <x v="8"/>
    <s v="Adams Telephone Message Book w/Frequently-Called Numbers Space, 400 Messages per Book"/>
    <n v="55.86"/>
    <n v="7"/>
    <x v="1"/>
    <n v="27.93"/>
    <x v="0"/>
  </r>
  <r>
    <s v="CA-2014-137624"/>
    <x v="181"/>
    <x v="7"/>
    <d v="2014-11-18T00:00:00"/>
    <x v="1"/>
    <x v="648"/>
    <x v="0"/>
    <x v="0"/>
    <x v="0"/>
    <x v="7"/>
    <s v="Global Leather &amp; Oak Executive Chair, Burgundy"/>
    <n v="241.42"/>
    <n v="2"/>
    <x v="0"/>
    <n v="-36.21"/>
    <x v="0"/>
  </r>
  <r>
    <s v="US-2011-163146"/>
    <x v="743"/>
    <x v="2"/>
    <d v="2011-05-20T00:00:00"/>
    <x v="0"/>
    <x v="494"/>
    <x v="0"/>
    <x v="3"/>
    <x v="0"/>
    <x v="6"/>
    <s v="Imation Clip USB flash drive - 8 GB"/>
    <n v="56.4"/>
    <n v="3"/>
    <x v="0"/>
    <n v="3.38"/>
    <x v="0"/>
  </r>
  <r>
    <s v="CA-2014-147354"/>
    <x v="258"/>
    <x v="9"/>
    <d v="2014-03-14T00:00:00"/>
    <x v="0"/>
    <x v="649"/>
    <x v="0"/>
    <x v="0"/>
    <x v="0"/>
    <x v="13"/>
    <s v="Hewlett Packard 310 Color Digital Copier"/>
    <n v="479.98"/>
    <n v="2"/>
    <x v="0"/>
    <n v="60"/>
    <x v="0"/>
  </r>
  <r>
    <s v="CA-2012-149566"/>
    <x v="435"/>
    <x v="1"/>
    <d v="2012-12-10T00:00:00"/>
    <x v="0"/>
    <x v="155"/>
    <x v="0"/>
    <x v="0"/>
    <x v="0"/>
    <x v="6"/>
    <s v="Memorex Micro Travel Drive 8 GB"/>
    <n v="39"/>
    <n v="3"/>
    <x v="0"/>
    <n v="17.55"/>
    <x v="0"/>
  </r>
  <r>
    <s v="CA-2012-126186"/>
    <x v="408"/>
    <x v="4"/>
    <d v="2012-09-12T00:00:00"/>
    <x v="0"/>
    <x v="155"/>
    <x v="0"/>
    <x v="7"/>
    <x v="5"/>
    <x v="1"/>
    <s v="Deflect-O Glasstique Clear Desk Accessories"/>
    <n v="24.64"/>
    <n v="4"/>
    <x v="0"/>
    <n v="4"/>
    <x v="0"/>
  </r>
  <r>
    <s v="CA-2011-159849"/>
    <x v="45"/>
    <x v="4"/>
    <d v="2011-09-19T00:00:00"/>
    <x v="0"/>
    <x v="405"/>
    <x v="0"/>
    <x v="3"/>
    <x v="0"/>
    <x v="12"/>
    <s v="Revere Boxed Rubber Bands by Revere"/>
    <n v="5.67"/>
    <n v="3"/>
    <x v="0"/>
    <n v="0.11"/>
    <x v="0"/>
  </r>
  <r>
    <s v="CA-2011-104808"/>
    <x v="209"/>
    <x v="11"/>
    <d v="2011-02-09T00:00:00"/>
    <x v="0"/>
    <x v="650"/>
    <x v="0"/>
    <x v="58"/>
    <x v="0"/>
    <x v="2"/>
    <s v="GBC Standard Recycled Report Covers, Clear Plastic Sheets"/>
    <n v="17.25"/>
    <n v="2"/>
    <x v="0"/>
    <n v="6.04"/>
    <x v="0"/>
  </r>
  <r>
    <s v="CA-2014-162012"/>
    <x v="195"/>
    <x v="6"/>
    <d v="2014-07-19T00:00:00"/>
    <x v="1"/>
    <x v="71"/>
    <x v="0"/>
    <x v="0"/>
    <x v="0"/>
    <x v="6"/>
    <s v="Logitech P710e Mobile Speakerphone"/>
    <n v="1287.45"/>
    <n v="5"/>
    <x v="0"/>
    <n v="244.62"/>
    <x v="1"/>
  </r>
  <r>
    <s v="CA-2014-101700"/>
    <x v="706"/>
    <x v="10"/>
    <d v="2014-04-27T00:00:00"/>
    <x v="0"/>
    <x v="603"/>
    <x v="0"/>
    <x v="163"/>
    <x v="5"/>
    <x v="10"/>
    <s v="Staples"/>
    <n v="18.690000000000001"/>
    <n v="2"/>
    <x v="0"/>
    <n v="7.01"/>
    <x v="0"/>
  </r>
  <r>
    <s v="US-2013-117387"/>
    <x v="496"/>
    <x v="8"/>
    <d v="2013-11-01T00:00:00"/>
    <x v="0"/>
    <x v="651"/>
    <x v="0"/>
    <x v="3"/>
    <x v="0"/>
    <x v="2"/>
    <s v="Avery Legal 4-Ring Binder"/>
    <n v="67.14"/>
    <n v="4"/>
    <x v="0"/>
    <n v="25.18"/>
    <x v="0"/>
  </r>
  <r>
    <s v="CA-2011-141110"/>
    <x v="224"/>
    <x v="7"/>
    <d v="2011-12-01T00:00:00"/>
    <x v="0"/>
    <x v="504"/>
    <x v="0"/>
    <x v="59"/>
    <x v="0"/>
    <x v="2"/>
    <s v="Wilson Jones Easy Flow II Sheet Lifters"/>
    <n v="4.32"/>
    <n v="3"/>
    <x v="0"/>
    <n v="1.51"/>
    <x v="0"/>
  </r>
  <r>
    <s v="US-2011-133949"/>
    <x v="786"/>
    <x v="1"/>
    <d v="2011-12-31T00:00:00"/>
    <x v="0"/>
    <x v="503"/>
    <x v="0"/>
    <x v="57"/>
    <x v="7"/>
    <x v="11"/>
    <s v="Panasonic KX TS3282W Corded phone"/>
    <n v="475.94"/>
    <n v="7"/>
    <x v="1"/>
    <n v="59.49"/>
    <x v="0"/>
  </r>
  <r>
    <s v="CA-2014-123624"/>
    <x v="532"/>
    <x v="7"/>
    <d v="2014-11-18T00:00:00"/>
    <x v="0"/>
    <x v="338"/>
    <x v="0"/>
    <x v="149"/>
    <x v="0"/>
    <x v="6"/>
    <s v="Kensington K72356US Mouse-in-a-Box USB Desktop Mouse"/>
    <n v="82.95"/>
    <n v="5"/>
    <x v="0"/>
    <n v="29.03"/>
    <x v="0"/>
  </r>
  <r>
    <s v="CA-2013-146437"/>
    <x v="787"/>
    <x v="5"/>
    <d v="2013-02-01T00:00:00"/>
    <x v="0"/>
    <x v="172"/>
    <x v="0"/>
    <x v="0"/>
    <x v="0"/>
    <x v="4"/>
    <s v="Newell 345"/>
    <n v="39.68"/>
    <n v="2"/>
    <x v="0"/>
    <n v="10.32"/>
    <x v="0"/>
  </r>
  <r>
    <s v="CA-2013-138233"/>
    <x v="788"/>
    <x v="7"/>
    <d v="2013-11-15T00:00:00"/>
    <x v="0"/>
    <x v="137"/>
    <x v="0"/>
    <x v="54"/>
    <x v="0"/>
    <x v="6"/>
    <s v="Logitech Wireless Gaming Headset G930"/>
    <n v="479.97"/>
    <n v="3"/>
    <x v="0"/>
    <n v="177.59"/>
    <x v="0"/>
  </r>
  <r>
    <s v="CA-2013-165918"/>
    <x v="789"/>
    <x v="4"/>
    <d v="2013-09-15T00:00:00"/>
    <x v="0"/>
    <x v="652"/>
    <x v="0"/>
    <x v="45"/>
    <x v="1"/>
    <x v="0"/>
    <s v="Avery 487"/>
    <n v="7.38"/>
    <n v="2"/>
    <x v="0"/>
    <n v="3.47"/>
    <x v="0"/>
  </r>
  <r>
    <s v="CA-2014-117513"/>
    <x v="663"/>
    <x v="9"/>
    <d v="2014-03-09T00:00:00"/>
    <x v="0"/>
    <x v="319"/>
    <x v="0"/>
    <x v="0"/>
    <x v="0"/>
    <x v="5"/>
    <s v="Lesro Sheffield Collection Coffee Table, End Table, Center Table, Corner Table"/>
    <n v="399.67"/>
    <n v="7"/>
    <x v="1"/>
    <n v="-14.99"/>
    <x v="0"/>
  </r>
  <r>
    <s v="US-2013-114230"/>
    <x v="262"/>
    <x v="7"/>
    <d v="2013-12-02T00:00:00"/>
    <x v="0"/>
    <x v="653"/>
    <x v="0"/>
    <x v="8"/>
    <x v="3"/>
    <x v="3"/>
    <s v="Eldon Simplefile Box Office"/>
    <n v="39.81"/>
    <n v="4"/>
    <x v="0"/>
    <n v="3.98"/>
    <x v="0"/>
  </r>
  <r>
    <s v="CA-2012-156118"/>
    <x v="727"/>
    <x v="1"/>
    <d v="2012-12-12T00:00:00"/>
    <x v="0"/>
    <x v="172"/>
    <x v="0"/>
    <x v="21"/>
    <x v="5"/>
    <x v="8"/>
    <s v="Southworth Parchment Paper &amp; Envelopes"/>
    <n v="15.7"/>
    <n v="3"/>
    <x v="0"/>
    <n v="5.0999999999999996"/>
    <x v="0"/>
  </r>
  <r>
    <s v="CA-2014-151281"/>
    <x v="517"/>
    <x v="10"/>
    <d v="2014-05-03T00:00:00"/>
    <x v="0"/>
    <x v="601"/>
    <x v="0"/>
    <x v="1"/>
    <x v="1"/>
    <x v="1"/>
    <s v="Luxo Economy Swing Arm Lamp"/>
    <n v="139.58000000000001"/>
    <n v="7"/>
    <x v="1"/>
    <n v="39.08"/>
    <x v="0"/>
  </r>
  <r>
    <s v="CA-2014-147767"/>
    <x v="239"/>
    <x v="1"/>
    <d v="2014-12-03T00:00:00"/>
    <x v="0"/>
    <x v="557"/>
    <x v="0"/>
    <x v="84"/>
    <x v="3"/>
    <x v="2"/>
    <s v="Vinyl Sectional Post Binders"/>
    <n v="67.86"/>
    <n v="6"/>
    <x v="0"/>
    <n v="-45.24"/>
    <x v="0"/>
  </r>
  <r>
    <s v="CA-2013-113341"/>
    <x v="790"/>
    <x v="7"/>
    <d v="2013-11-30T00:00:00"/>
    <x v="0"/>
    <x v="654"/>
    <x v="0"/>
    <x v="0"/>
    <x v="0"/>
    <x v="7"/>
    <s v="Padded Folding Chairs, Black, 4/Carton"/>
    <n v="194.35"/>
    <n v="3"/>
    <x v="0"/>
    <n v="19.440000000000001"/>
    <x v="0"/>
  </r>
  <r>
    <s v="CA-2011-142769"/>
    <x v="439"/>
    <x v="4"/>
    <d v="2011-09-13T00:00:00"/>
    <x v="0"/>
    <x v="644"/>
    <x v="0"/>
    <x v="1"/>
    <x v="1"/>
    <x v="12"/>
    <s v="OIC Thumb-Tacks"/>
    <n v="5.7"/>
    <n v="5"/>
    <x v="0"/>
    <n v="2.68"/>
    <x v="0"/>
  </r>
  <r>
    <s v="CA-2014-126634"/>
    <x v="721"/>
    <x v="9"/>
    <d v="2014-04-02T00:00:00"/>
    <x v="0"/>
    <x v="95"/>
    <x v="0"/>
    <x v="118"/>
    <x v="0"/>
    <x v="1"/>
    <s v="Flat Face Poster Frame"/>
    <n v="94.2"/>
    <n v="5"/>
    <x v="0"/>
    <n v="39.56"/>
    <x v="0"/>
  </r>
  <r>
    <s v="CA-2013-118500"/>
    <x v="553"/>
    <x v="7"/>
    <d v="2013-11-19T00:00:00"/>
    <x v="0"/>
    <x v="434"/>
    <x v="0"/>
    <x v="3"/>
    <x v="0"/>
    <x v="14"/>
    <s v="Acme Tagit Stainless Steel Antibacterial Scissors"/>
    <n v="49.5"/>
    <n v="5"/>
    <x v="0"/>
    <n v="13.37"/>
    <x v="0"/>
  </r>
  <r>
    <s v="CA-2013-149916"/>
    <x v="244"/>
    <x v="1"/>
    <d v="2013-12-25T00:00:00"/>
    <x v="0"/>
    <x v="231"/>
    <x v="0"/>
    <x v="1"/>
    <x v="1"/>
    <x v="2"/>
    <s v="Wilson Jones International Size A4 Ring Binders"/>
    <n v="55.36"/>
    <n v="4"/>
    <x v="0"/>
    <n v="19.38"/>
    <x v="0"/>
  </r>
  <r>
    <s v="CA-2012-158918"/>
    <x v="491"/>
    <x v="1"/>
    <d v="2012-12-25T00:00:00"/>
    <x v="0"/>
    <x v="496"/>
    <x v="0"/>
    <x v="0"/>
    <x v="0"/>
    <x v="8"/>
    <s v="Staples"/>
    <n v="17.12"/>
    <n v="4"/>
    <x v="0"/>
    <n v="7.7"/>
    <x v="0"/>
  </r>
  <r>
    <s v="CA-2014-101665"/>
    <x v="551"/>
    <x v="7"/>
    <d v="2014-12-02T00:00:00"/>
    <x v="0"/>
    <x v="132"/>
    <x v="0"/>
    <x v="3"/>
    <x v="0"/>
    <x v="4"/>
    <s v="DIXON Oriole Pencils"/>
    <n v="5.16"/>
    <n v="2"/>
    <x v="0"/>
    <n v="1.34"/>
    <x v="0"/>
  </r>
  <r>
    <s v="CA-2013-155446"/>
    <x v="644"/>
    <x v="1"/>
    <d v="2013-12-24T00:00:00"/>
    <x v="1"/>
    <x v="63"/>
    <x v="0"/>
    <x v="18"/>
    <x v="0"/>
    <x v="6"/>
    <s v="Imation USB 2.0 Swivel Flash Drive USB flash drive - 4 GB - Pink"/>
    <n v="21.21"/>
    <n v="7"/>
    <x v="1"/>
    <n v="4.45"/>
    <x v="0"/>
  </r>
  <r>
    <s v="CA-2013-144015"/>
    <x v="460"/>
    <x v="0"/>
    <d v="2013-06-27T00:00:00"/>
    <x v="0"/>
    <x v="244"/>
    <x v="0"/>
    <x v="0"/>
    <x v="0"/>
    <x v="14"/>
    <s v="Premier Electric Letter Opener"/>
    <n v="231.72"/>
    <n v="2"/>
    <x v="0"/>
    <n v="11.59"/>
    <x v="0"/>
  </r>
  <r>
    <s v="CA-2013-118311"/>
    <x v="599"/>
    <x v="8"/>
    <d v="2013-10-29T00:00:00"/>
    <x v="0"/>
    <x v="231"/>
    <x v="0"/>
    <x v="3"/>
    <x v="0"/>
    <x v="6"/>
    <s v="NETGEAR N750 Dual Band Wi-Fi Gigabit Router"/>
    <n v="450"/>
    <n v="5"/>
    <x v="0"/>
    <n v="162"/>
    <x v="0"/>
  </r>
  <r>
    <s v="CA-2014-127096"/>
    <x v="628"/>
    <x v="4"/>
    <d v="2014-09-18T00:00:00"/>
    <x v="0"/>
    <x v="210"/>
    <x v="0"/>
    <x v="3"/>
    <x v="0"/>
    <x v="5"/>
    <s v="Bretford Rectangular Conference Table Tops"/>
    <n v="300.89999999999998"/>
    <n v="1"/>
    <x v="2"/>
    <n v="11.28"/>
    <x v="0"/>
  </r>
  <r>
    <s v="US-2011-132745"/>
    <x v="791"/>
    <x v="8"/>
    <d v="2011-10-05T00:00:00"/>
    <x v="0"/>
    <x v="655"/>
    <x v="0"/>
    <x v="57"/>
    <x v="7"/>
    <x v="12"/>
    <s v="Sterling Rubber Bands by Alliance"/>
    <n v="4.71"/>
    <n v="1"/>
    <x v="2"/>
    <n v="0"/>
    <x v="0"/>
  </r>
  <r>
    <s v="CA-2011-119144"/>
    <x v="541"/>
    <x v="7"/>
    <d v="2011-11-18T00:00:00"/>
    <x v="0"/>
    <x v="544"/>
    <x v="0"/>
    <x v="0"/>
    <x v="0"/>
    <x v="11"/>
    <s v="OtterBox Commuter Series Case - Samsung Galaxy S4"/>
    <n v="79.97"/>
    <n v="4"/>
    <x v="0"/>
    <n v="-17.989999999999998"/>
    <x v="0"/>
  </r>
  <r>
    <s v="CA-2011-105648"/>
    <x v="792"/>
    <x v="9"/>
    <d v="2011-03-07T00:00:00"/>
    <x v="0"/>
    <x v="512"/>
    <x v="0"/>
    <x v="18"/>
    <x v="0"/>
    <x v="5"/>
    <s v="Bevis Oval Conference Table, Walnut"/>
    <n v="626.35"/>
    <n v="3"/>
    <x v="0"/>
    <n v="-23.49"/>
    <x v="2"/>
  </r>
  <r>
    <s v="US-2012-145422"/>
    <x v="793"/>
    <x v="1"/>
    <d v="2012-12-07T00:00:00"/>
    <x v="0"/>
    <x v="314"/>
    <x v="0"/>
    <x v="3"/>
    <x v="0"/>
    <x v="15"/>
    <s v="Sauder Forest Hills Library, Woodland Oak Finish"/>
    <n v="359.5"/>
    <n v="3"/>
    <x v="0"/>
    <n v="-29.61"/>
    <x v="0"/>
  </r>
  <r>
    <s v="CA-2014-136623"/>
    <x v="195"/>
    <x v="6"/>
    <d v="2014-07-17T00:00:00"/>
    <x v="0"/>
    <x v="464"/>
    <x v="0"/>
    <x v="18"/>
    <x v="0"/>
    <x v="11"/>
    <s v="Belkin iPhone and iPad Lightning Cable"/>
    <n v="71.95"/>
    <n v="6"/>
    <x v="0"/>
    <n v="5.4"/>
    <x v="0"/>
  </r>
  <r>
    <s v="CA-2014-148145"/>
    <x v="794"/>
    <x v="9"/>
    <d v="2014-03-24T00:00:00"/>
    <x v="0"/>
    <x v="357"/>
    <x v="0"/>
    <x v="1"/>
    <x v="1"/>
    <x v="4"/>
    <s v="Deluxe Chalkboard Eraser Cleaner"/>
    <n v="46.2"/>
    <n v="4"/>
    <x v="0"/>
    <n v="21.25"/>
    <x v="0"/>
  </r>
  <r>
    <s v="CA-2014-116988"/>
    <x v="795"/>
    <x v="0"/>
    <d v="2014-06-30T00:00:00"/>
    <x v="0"/>
    <x v="631"/>
    <x v="0"/>
    <x v="1"/>
    <x v="1"/>
    <x v="8"/>
    <s v="Xerox 1997"/>
    <n v="19.440000000000001"/>
    <n v="3"/>
    <x v="0"/>
    <n v="9.33"/>
    <x v="0"/>
  </r>
  <r>
    <s v="US-2012-144771"/>
    <x v="274"/>
    <x v="8"/>
    <d v="2012-10-04T00:00:00"/>
    <x v="0"/>
    <x v="529"/>
    <x v="0"/>
    <x v="157"/>
    <x v="4"/>
    <x v="1"/>
    <s v="9-3/4 Diameter Round Wall Clock"/>
    <n v="11.03"/>
    <n v="1"/>
    <x v="2"/>
    <n v="3.03"/>
    <x v="0"/>
  </r>
  <r>
    <s v="CA-2014-128076"/>
    <x v="555"/>
    <x v="11"/>
    <d v="2014-02-08T00:00:00"/>
    <x v="0"/>
    <x v="325"/>
    <x v="0"/>
    <x v="18"/>
    <x v="0"/>
    <x v="1"/>
    <s v="Eldon Antistatic Chair Mats for Low to Medium Pile Carpets"/>
    <n v="210.58"/>
    <n v="2"/>
    <x v="0"/>
    <n v="12.63"/>
    <x v="0"/>
  </r>
  <r>
    <s v="CA-2013-112578"/>
    <x v="582"/>
    <x v="1"/>
    <d v="2014-01-03T00:00:00"/>
    <x v="0"/>
    <x v="656"/>
    <x v="0"/>
    <x v="93"/>
    <x v="0"/>
    <x v="3"/>
    <s v="Project Tote Personal File"/>
    <n v="14.03"/>
    <n v="1"/>
    <x v="2"/>
    <n v="4.07"/>
    <x v="0"/>
  </r>
  <r>
    <s v="CA-2013-151148"/>
    <x v="44"/>
    <x v="4"/>
    <d v="2013-09-14T00:00:00"/>
    <x v="0"/>
    <x v="365"/>
    <x v="0"/>
    <x v="30"/>
    <x v="5"/>
    <x v="11"/>
    <s v="Lunatik TT5L-002 Taktik Strike Impact Protection System for iPhone 5"/>
    <n v="146.94999999999999"/>
    <n v="3"/>
    <x v="0"/>
    <n v="9.18"/>
    <x v="0"/>
  </r>
  <r>
    <s v="CA-2012-165813"/>
    <x v="796"/>
    <x v="9"/>
    <d v="2012-03-22T00:00:00"/>
    <x v="0"/>
    <x v="598"/>
    <x v="0"/>
    <x v="38"/>
    <x v="4"/>
    <x v="3"/>
    <s v="Portable Personal File Box"/>
    <n v="29.3"/>
    <n v="3"/>
    <x v="0"/>
    <n v="2.56"/>
    <x v="0"/>
  </r>
  <r>
    <s v="CA-2013-116911"/>
    <x v="508"/>
    <x v="4"/>
    <d v="2013-09-21T00:00:00"/>
    <x v="0"/>
    <x v="544"/>
    <x v="0"/>
    <x v="164"/>
    <x v="9"/>
    <x v="2"/>
    <s v="Avery Heavy-Duty EZD View Binder with Locking Rings"/>
    <n v="20.420000000000002"/>
    <n v="4"/>
    <x v="0"/>
    <n v="6.64"/>
    <x v="0"/>
  </r>
  <r>
    <s v="CA-2014-145765"/>
    <x v="797"/>
    <x v="2"/>
    <d v="2014-06-03T00:00:00"/>
    <x v="0"/>
    <x v="510"/>
    <x v="0"/>
    <x v="8"/>
    <x v="3"/>
    <x v="11"/>
    <s v="Panasonic KX TS208W Corded phone"/>
    <n v="195.96"/>
    <n v="5"/>
    <x v="0"/>
    <n v="19.600000000000001"/>
    <x v="0"/>
  </r>
  <r>
    <s v="CA-2011-162992"/>
    <x v="798"/>
    <x v="1"/>
    <d v="2011-12-21T00:00:00"/>
    <x v="0"/>
    <x v="453"/>
    <x v="0"/>
    <x v="0"/>
    <x v="0"/>
    <x v="0"/>
    <s v="Avery 516"/>
    <n v="14.62"/>
    <n v="2"/>
    <x v="0"/>
    <n v="6.87"/>
    <x v="0"/>
  </r>
  <r>
    <s v="CA-2013-106397"/>
    <x v="241"/>
    <x v="6"/>
    <d v="2013-07-14T00:00:00"/>
    <x v="0"/>
    <x v="27"/>
    <x v="0"/>
    <x v="4"/>
    <x v="2"/>
    <x v="8"/>
    <s v="Xerox 226"/>
    <n v="12.96"/>
    <n v="2"/>
    <x v="0"/>
    <n v="6.22"/>
    <x v="0"/>
  </r>
  <r>
    <s v="US-2014-100398"/>
    <x v="799"/>
    <x v="3"/>
    <d v="2014-08-24T00:00:00"/>
    <x v="0"/>
    <x v="410"/>
    <x v="0"/>
    <x v="90"/>
    <x v="2"/>
    <x v="2"/>
    <s v="Wilson Jones Elliptical Ring 3 1/2&quot; Capacity Binders, 800 sheets"/>
    <n v="102.72"/>
    <n v="3"/>
    <x v="0"/>
    <n v="37.24"/>
    <x v="0"/>
  </r>
  <r>
    <s v="CA-2014-120614"/>
    <x v="714"/>
    <x v="2"/>
    <d v="2014-06-05T00:00:00"/>
    <x v="0"/>
    <x v="643"/>
    <x v="0"/>
    <x v="0"/>
    <x v="0"/>
    <x v="8"/>
    <s v="Rediform S.O.S. 1-Up Phone Message Bk, 4-1/4x3-1/16 Bk, 1 Form/Pg, 40 Messages/Bk, 3/Pk"/>
    <n v="37.520000000000003"/>
    <n v="4"/>
    <x v="0"/>
    <n v="18.010000000000002"/>
    <x v="0"/>
  </r>
  <r>
    <s v="CA-2012-127754"/>
    <x v="131"/>
    <x v="6"/>
    <d v="2012-07-31T00:00:00"/>
    <x v="0"/>
    <x v="120"/>
    <x v="0"/>
    <x v="65"/>
    <x v="3"/>
    <x v="7"/>
    <s v="Office Star - Contemporary Task Swivel Chair"/>
    <n v="266.35000000000002"/>
    <n v="3"/>
    <x v="0"/>
    <n v="13.32"/>
    <x v="0"/>
  </r>
  <r>
    <s v="CA-2013-167983"/>
    <x v="684"/>
    <x v="3"/>
    <d v="2013-08-25T00:00:00"/>
    <x v="0"/>
    <x v="122"/>
    <x v="0"/>
    <x v="1"/>
    <x v="1"/>
    <x v="2"/>
    <s v="Avery Durable Slant Ring Binders With Label Holder"/>
    <n v="33.44"/>
    <n v="10"/>
    <x v="1"/>
    <n v="11.7"/>
    <x v="0"/>
  </r>
  <r>
    <s v="CA-2011-153808"/>
    <x v="546"/>
    <x v="10"/>
    <d v="2011-04-10T00:00:00"/>
    <x v="0"/>
    <x v="241"/>
    <x v="0"/>
    <x v="0"/>
    <x v="0"/>
    <x v="4"/>
    <s v="Boston Home &amp; Office Model 2000 Electric Pencil Sharpeners"/>
    <n v="70.95"/>
    <n v="3"/>
    <x v="0"/>
    <n v="18.45"/>
    <x v="0"/>
  </r>
  <r>
    <s v="US-2013-112396"/>
    <x v="800"/>
    <x v="11"/>
    <d v="2013-02-13T00:00:00"/>
    <x v="0"/>
    <x v="562"/>
    <x v="0"/>
    <x v="3"/>
    <x v="0"/>
    <x v="6"/>
    <s v="Logitech 910-002974 M325 Wireless Mouse for Web Scrolling"/>
    <n v="89.97"/>
    <n v="3"/>
    <x v="0"/>
    <n v="39.590000000000003"/>
    <x v="0"/>
  </r>
  <r>
    <s v="CA-2014-163671"/>
    <x v="322"/>
    <x v="1"/>
    <d v="2014-12-31T00:00:00"/>
    <x v="0"/>
    <x v="117"/>
    <x v="0"/>
    <x v="108"/>
    <x v="9"/>
    <x v="2"/>
    <s v="GBC Instant Index System for Binding Systems"/>
    <n v="21.31"/>
    <n v="3"/>
    <x v="0"/>
    <n v="7.99"/>
    <x v="0"/>
  </r>
  <r>
    <s v="CA-2014-135909"/>
    <x v="801"/>
    <x v="8"/>
    <d v="2014-10-21T00:00:00"/>
    <x v="1"/>
    <x v="196"/>
    <x v="0"/>
    <x v="93"/>
    <x v="0"/>
    <x v="6"/>
    <s v="Logitech Media Keyboard K200"/>
    <n v="209.94"/>
    <n v="6"/>
    <x v="0"/>
    <n v="39.89"/>
    <x v="0"/>
  </r>
  <r>
    <s v="CA-2013-158260"/>
    <x v="99"/>
    <x v="7"/>
    <d v="2013-11-09T00:00:00"/>
    <x v="0"/>
    <x v="494"/>
    <x v="0"/>
    <x v="18"/>
    <x v="0"/>
    <x v="16"/>
    <s v="Okidata B400 Printer"/>
    <n v="686.4"/>
    <n v="2"/>
    <x v="0"/>
    <n v="77.22"/>
    <x v="2"/>
  </r>
  <r>
    <s v="CA-2014-101805"/>
    <x v="88"/>
    <x v="1"/>
    <d v="2014-12-07T00:00:00"/>
    <x v="0"/>
    <x v="19"/>
    <x v="0"/>
    <x v="1"/>
    <x v="1"/>
    <x v="2"/>
    <s v="Ibico Presentation Index for Binding Systems"/>
    <n v="15.92"/>
    <n v="5"/>
    <x v="0"/>
    <n v="5.37"/>
    <x v="0"/>
  </r>
  <r>
    <s v="US-2012-107944"/>
    <x v="754"/>
    <x v="9"/>
    <d v="2012-03-25T00:00:00"/>
    <x v="0"/>
    <x v="299"/>
    <x v="0"/>
    <x v="0"/>
    <x v="0"/>
    <x v="8"/>
    <s v="TOPS Carbonless Receipt Book, Four 2-3/4 x 7-1/4 Money Receipts per Page"/>
    <n v="192.72"/>
    <n v="11"/>
    <x v="1"/>
    <n v="92.51"/>
    <x v="0"/>
  </r>
  <r>
    <s v="CA-2011-169642"/>
    <x v="453"/>
    <x v="6"/>
    <d v="2011-07-30T00:00:00"/>
    <x v="0"/>
    <x v="39"/>
    <x v="0"/>
    <x v="0"/>
    <x v="0"/>
    <x v="3"/>
    <s v="SAFCO Commercial Wire Shelving, Black"/>
    <n v="276.27999999999997"/>
    <n v="2"/>
    <x v="0"/>
    <n v="0"/>
    <x v="0"/>
  </r>
  <r>
    <s v="CA-2014-103968"/>
    <x v="88"/>
    <x v="1"/>
    <d v="2014-12-08T00:00:00"/>
    <x v="0"/>
    <x v="256"/>
    <x v="0"/>
    <x v="87"/>
    <x v="0"/>
    <x v="1"/>
    <s v="Tenex &quot;The Solids&quot; Textured Chair Mats"/>
    <n v="629.64"/>
    <n v="9"/>
    <x v="1"/>
    <n v="107.04"/>
    <x v="2"/>
  </r>
  <r>
    <s v="CA-2012-111038"/>
    <x v="194"/>
    <x v="1"/>
    <d v="2012-12-06T00:00:00"/>
    <x v="0"/>
    <x v="657"/>
    <x v="0"/>
    <x v="18"/>
    <x v="0"/>
    <x v="7"/>
    <s v="GuestStacker Chair with Chrome Finish Legs"/>
    <n v="2676.67"/>
    <n v="9"/>
    <x v="1"/>
    <n v="267.67"/>
    <x v="1"/>
  </r>
  <r>
    <s v="CA-2013-167241"/>
    <x v="94"/>
    <x v="3"/>
    <d v="2013-08-23T00:00:00"/>
    <x v="1"/>
    <x v="75"/>
    <x v="0"/>
    <x v="0"/>
    <x v="0"/>
    <x v="1"/>
    <s v="Luxo Professional Magnifying Clamp-On Fluorescent Lamps"/>
    <n v="312.02999999999997"/>
    <n v="3"/>
    <x v="0"/>
    <n v="43.68"/>
    <x v="0"/>
  </r>
  <r>
    <s v="CA-2013-139934"/>
    <x v="174"/>
    <x v="1"/>
    <d v="2013-12-21T00:00:00"/>
    <x v="0"/>
    <x v="366"/>
    <x v="0"/>
    <x v="3"/>
    <x v="0"/>
    <x v="11"/>
    <s v="I Need's 3d Hello Kitty Hybrid Silicone Case Cover for HTC One X 4g with 3d Hello Kitty Stylus Pen Green/pink"/>
    <n v="66.98"/>
    <n v="7"/>
    <x v="1"/>
    <n v="6.7"/>
    <x v="0"/>
  </r>
  <r>
    <s v="CA-2012-109603"/>
    <x v="802"/>
    <x v="5"/>
    <d v="2012-02-01T00:00:00"/>
    <x v="0"/>
    <x v="596"/>
    <x v="0"/>
    <x v="131"/>
    <x v="0"/>
    <x v="8"/>
    <s v="Xerox 1991"/>
    <n v="182.72"/>
    <n v="8"/>
    <x v="1"/>
    <n v="84.05"/>
    <x v="0"/>
  </r>
  <r>
    <s v="CA-2012-143616"/>
    <x v="694"/>
    <x v="4"/>
    <d v="2012-09-29T00:00:00"/>
    <x v="0"/>
    <x v="563"/>
    <x v="0"/>
    <x v="1"/>
    <x v="1"/>
    <x v="4"/>
    <s v="Newell 334"/>
    <n v="99.2"/>
    <n v="5"/>
    <x v="0"/>
    <n v="25.79"/>
    <x v="0"/>
  </r>
  <r>
    <s v="CA-2012-134117"/>
    <x v="803"/>
    <x v="1"/>
    <d v="2012-12-19T00:00:00"/>
    <x v="0"/>
    <x v="247"/>
    <x v="0"/>
    <x v="0"/>
    <x v="0"/>
    <x v="4"/>
    <s v="Sanford 52201 APSCO Electric Pencil Sharpener"/>
    <n v="204.85"/>
    <n v="5"/>
    <x v="0"/>
    <n v="53.26"/>
    <x v="0"/>
  </r>
  <r>
    <s v="CA-2013-159023"/>
    <x v="85"/>
    <x v="7"/>
    <d v="2013-11-06T00:00:00"/>
    <x v="0"/>
    <x v="217"/>
    <x v="0"/>
    <x v="6"/>
    <x v="4"/>
    <x v="2"/>
    <s v="Avery Reinforcements for Hole-Punch Pages"/>
    <n v="4.16"/>
    <n v="7"/>
    <x v="1"/>
    <n v="-3.47"/>
    <x v="0"/>
  </r>
  <r>
    <s v="CA-2011-154592"/>
    <x v="705"/>
    <x v="1"/>
    <d v="2011-12-08T00:00:00"/>
    <x v="0"/>
    <x v="144"/>
    <x v="0"/>
    <x v="3"/>
    <x v="0"/>
    <x v="8"/>
    <s v="Green Bar Computer Printout Paper"/>
    <n v="164.88"/>
    <n v="3"/>
    <x v="0"/>
    <n v="80.790000000000006"/>
    <x v="0"/>
  </r>
  <r>
    <s v="CA-2011-128622"/>
    <x v="544"/>
    <x v="7"/>
    <d v="2011-11-17T00:00:00"/>
    <x v="0"/>
    <x v="300"/>
    <x v="0"/>
    <x v="3"/>
    <x v="0"/>
    <x v="14"/>
    <s v="Acme Value Line Scissors"/>
    <n v="10.95"/>
    <n v="3"/>
    <x v="0"/>
    <n v="3.29"/>
    <x v="0"/>
  </r>
  <r>
    <s v="CA-2011-132913"/>
    <x v="170"/>
    <x v="1"/>
    <d v="2011-12-26T00:00:00"/>
    <x v="0"/>
    <x v="658"/>
    <x v="0"/>
    <x v="18"/>
    <x v="0"/>
    <x v="9"/>
    <s v="Belkin 7-Outlet SurgeMaster Home Series"/>
    <n v="13.97"/>
    <n v="1"/>
    <x v="2"/>
    <n v="3.63"/>
    <x v="0"/>
  </r>
  <r>
    <s v="CA-2011-126480"/>
    <x v="112"/>
    <x v="4"/>
    <d v="2011-09-24T00:00:00"/>
    <x v="0"/>
    <x v="172"/>
    <x v="0"/>
    <x v="18"/>
    <x v="0"/>
    <x v="8"/>
    <s v="Xerox 1900"/>
    <n v="8.56"/>
    <n v="2"/>
    <x v="0"/>
    <n v="3.85"/>
    <x v="0"/>
  </r>
  <r>
    <s v="CA-2014-159226"/>
    <x v="550"/>
    <x v="10"/>
    <d v="2014-04-28T00:00:00"/>
    <x v="0"/>
    <x v="611"/>
    <x v="0"/>
    <x v="0"/>
    <x v="0"/>
    <x v="15"/>
    <s v="Bush Westfield Collection Bookcases, Medium Cherry Finish"/>
    <n v="344.98"/>
    <n v="7"/>
    <x v="1"/>
    <n v="28.41"/>
    <x v="0"/>
  </r>
  <r>
    <s v="US-2014-139577"/>
    <x v="84"/>
    <x v="8"/>
    <d v="2014-10-07T00:00:00"/>
    <x v="0"/>
    <x v="63"/>
    <x v="0"/>
    <x v="3"/>
    <x v="0"/>
    <x v="6"/>
    <s v="Sony 32GB Class 10 Micro SDHC R40 Memory Card"/>
    <n v="104.75"/>
    <n v="5"/>
    <x v="0"/>
    <n v="22"/>
    <x v="0"/>
  </r>
  <r>
    <s v="CA-2011-133389"/>
    <x v="60"/>
    <x v="0"/>
    <d v="2011-06-22T00:00:00"/>
    <x v="0"/>
    <x v="659"/>
    <x v="0"/>
    <x v="8"/>
    <x v="3"/>
    <x v="2"/>
    <s v="SpineVue Locking Slant-D Ring Binders by Cardinal"/>
    <n v="8.23"/>
    <n v="3"/>
    <x v="0"/>
    <n v="-6.03"/>
    <x v="0"/>
  </r>
  <r>
    <s v="CA-2012-102855"/>
    <x v="730"/>
    <x v="10"/>
    <d v="2012-04-06T00:00:00"/>
    <x v="0"/>
    <x v="570"/>
    <x v="0"/>
    <x v="77"/>
    <x v="1"/>
    <x v="6"/>
    <s v="SanDisk Ultra 64 GB MicroSDHC Class 10 Memory Card"/>
    <n v="239.94"/>
    <n v="6"/>
    <x v="0"/>
    <n v="26.39"/>
    <x v="0"/>
  </r>
  <r>
    <s v="CA-2014-143084"/>
    <x v="794"/>
    <x v="9"/>
    <d v="2014-03-23T00:00:00"/>
    <x v="0"/>
    <x v="660"/>
    <x v="0"/>
    <x v="0"/>
    <x v="0"/>
    <x v="4"/>
    <s v="Prang Drawing Pencil Set"/>
    <n v="13.9"/>
    <n v="5"/>
    <x v="0"/>
    <n v="3.75"/>
    <x v="0"/>
  </r>
  <r>
    <s v="CA-2013-131639"/>
    <x v="443"/>
    <x v="1"/>
    <d v="2013-12-24T00:00:00"/>
    <x v="0"/>
    <x v="149"/>
    <x v="0"/>
    <x v="13"/>
    <x v="6"/>
    <x v="2"/>
    <s v="Ibico Plastic and Wire Spiral Binding Combs"/>
    <n v="13.49"/>
    <n v="2"/>
    <x v="0"/>
    <n v="4.38"/>
    <x v="0"/>
  </r>
  <r>
    <s v="CA-2013-161361"/>
    <x v="804"/>
    <x v="9"/>
    <d v="2013-03-29T00:00:00"/>
    <x v="0"/>
    <x v="450"/>
    <x v="0"/>
    <x v="139"/>
    <x v="9"/>
    <x v="8"/>
    <s v="Adams Telephone Message Book W/Dividers/Space For Phone Numbers, 5 1/4&quot;X8 1/2&quot;, 300/Messages"/>
    <n v="17.64"/>
    <n v="3"/>
    <x v="0"/>
    <n v="8.64"/>
    <x v="0"/>
  </r>
  <r>
    <s v="US-2013-141880"/>
    <x v="535"/>
    <x v="3"/>
    <d v="2013-08-24T00:00:00"/>
    <x v="0"/>
    <x v="393"/>
    <x v="0"/>
    <x v="92"/>
    <x v="5"/>
    <x v="1"/>
    <s v="Dana Halogen Swing-Arm Architect Lamp"/>
    <n v="98.33"/>
    <n v="3"/>
    <x v="0"/>
    <n v="9.83"/>
    <x v="0"/>
  </r>
  <r>
    <s v="CA-2014-128041"/>
    <x v="490"/>
    <x v="4"/>
    <d v="2014-09-02T00:00:00"/>
    <x v="0"/>
    <x v="185"/>
    <x v="0"/>
    <x v="1"/>
    <x v="1"/>
    <x v="9"/>
    <s v="Honeywell Quietcare HEPA Air Cleaner"/>
    <n v="314.60000000000002"/>
    <n v="4"/>
    <x v="0"/>
    <n v="103.82"/>
    <x v="0"/>
  </r>
  <r>
    <s v="CA-2011-138177"/>
    <x v="45"/>
    <x v="4"/>
    <d v="2011-09-24T00:00:00"/>
    <x v="0"/>
    <x v="661"/>
    <x v="0"/>
    <x v="133"/>
    <x v="3"/>
    <x v="5"/>
    <s v="Hon 2111 Invitation Series Straight Table"/>
    <n v="73.92"/>
    <n v="1"/>
    <x v="2"/>
    <n v="-45.83"/>
    <x v="0"/>
  </r>
  <r>
    <s v="CA-2012-168760"/>
    <x v="133"/>
    <x v="4"/>
    <d v="2012-09-26T00:00:00"/>
    <x v="0"/>
    <x v="441"/>
    <x v="0"/>
    <x v="0"/>
    <x v="0"/>
    <x v="9"/>
    <s v="Kensington 6 Outlet Guardian Standard Surge Protector"/>
    <n v="61.44"/>
    <n v="3"/>
    <x v="0"/>
    <n v="16.59"/>
    <x v="0"/>
  </r>
  <r>
    <s v="CA-2013-168830"/>
    <x v="27"/>
    <x v="7"/>
    <d v="2013-11-14T00:00:00"/>
    <x v="0"/>
    <x v="213"/>
    <x v="0"/>
    <x v="3"/>
    <x v="0"/>
    <x v="6"/>
    <s v="NETGEAR AC1750 Dual Band Gigabit Smart WiFi Router"/>
    <n v="479.97"/>
    <n v="3"/>
    <x v="0"/>
    <n v="163.19"/>
    <x v="0"/>
  </r>
  <r>
    <s v="CA-2014-137463"/>
    <x v="375"/>
    <x v="1"/>
    <d v="2014-12-21T00:00:00"/>
    <x v="0"/>
    <x v="662"/>
    <x v="0"/>
    <x v="88"/>
    <x v="0"/>
    <x v="2"/>
    <s v="Accohide Poly Flexible Ring Binders"/>
    <n v="5.98"/>
    <n v="2"/>
    <x v="0"/>
    <n v="2.2400000000000002"/>
    <x v="0"/>
  </r>
  <r>
    <s v="CA-2012-165554"/>
    <x v="805"/>
    <x v="2"/>
    <d v="2012-05-22T00:00:00"/>
    <x v="0"/>
    <x v="516"/>
    <x v="0"/>
    <x v="0"/>
    <x v="0"/>
    <x v="8"/>
    <s v="Wirebound Message Book, 4 per Page"/>
    <n v="10.86"/>
    <n v="2"/>
    <x v="0"/>
    <n v="5.32"/>
    <x v="0"/>
  </r>
  <r>
    <s v="CA-2011-141838"/>
    <x v="482"/>
    <x v="9"/>
    <d v="2011-03-31T00:00:00"/>
    <x v="0"/>
    <x v="186"/>
    <x v="0"/>
    <x v="3"/>
    <x v="0"/>
    <x v="4"/>
    <s v="Newell 308"/>
    <n v="3.36"/>
    <n v="2"/>
    <x v="0"/>
    <n v="0.84"/>
    <x v="0"/>
  </r>
  <r>
    <s v="CA-2014-117009"/>
    <x v="498"/>
    <x v="4"/>
    <d v="2014-09-29T00:00:00"/>
    <x v="0"/>
    <x v="258"/>
    <x v="0"/>
    <x v="46"/>
    <x v="0"/>
    <x v="14"/>
    <s v="Fiskars Softgrip Scissors"/>
    <n v="21.96"/>
    <n v="2"/>
    <x v="0"/>
    <n v="6.15"/>
    <x v="0"/>
  </r>
  <r>
    <s v="CA-2012-128993"/>
    <x v="806"/>
    <x v="4"/>
    <d v="2012-09-17T00:00:00"/>
    <x v="0"/>
    <x v="252"/>
    <x v="0"/>
    <x v="1"/>
    <x v="1"/>
    <x v="6"/>
    <s v="Memorex Froggy Flash Drive 4 GB"/>
    <n v="21.98"/>
    <n v="2"/>
    <x v="0"/>
    <n v="8.57"/>
    <x v="0"/>
  </r>
  <r>
    <s v="CA-2012-149097"/>
    <x v="759"/>
    <x v="8"/>
    <d v="2012-10-24T00:00:00"/>
    <x v="0"/>
    <x v="334"/>
    <x v="0"/>
    <x v="0"/>
    <x v="0"/>
    <x v="1"/>
    <s v="Nu-Dell Oak Frame"/>
    <n v="74.760000000000005"/>
    <n v="7"/>
    <x v="1"/>
    <n v="23.92"/>
    <x v="0"/>
  </r>
  <r>
    <s v="CA-2013-132304"/>
    <x v="154"/>
    <x v="0"/>
    <d v="2013-06-19T00:00:00"/>
    <x v="0"/>
    <x v="94"/>
    <x v="0"/>
    <x v="1"/>
    <x v="1"/>
    <x v="5"/>
    <s v="Hon Non-Folding Utility Tables"/>
    <n v="1115.17"/>
    <n v="7"/>
    <x v="1"/>
    <n v="334.55"/>
    <x v="1"/>
  </r>
  <r>
    <s v="CA-2012-136420"/>
    <x v="148"/>
    <x v="7"/>
    <d v="2012-11-21T00:00:00"/>
    <x v="0"/>
    <x v="447"/>
    <x v="0"/>
    <x v="18"/>
    <x v="0"/>
    <x v="2"/>
    <s v="Performers Binder/Pad Holder, Black"/>
    <n v="89.7"/>
    <n v="4"/>
    <x v="0"/>
    <n v="33.64"/>
    <x v="0"/>
  </r>
  <r>
    <s v="CA-2013-106278"/>
    <x v="584"/>
    <x v="4"/>
    <d v="2013-09-06T00:00:00"/>
    <x v="0"/>
    <x v="599"/>
    <x v="0"/>
    <x v="27"/>
    <x v="1"/>
    <x v="7"/>
    <s v="Global Leather Task Chair, Black"/>
    <n v="215.98"/>
    <n v="3"/>
    <x v="0"/>
    <n v="-2.7"/>
    <x v="0"/>
  </r>
  <r>
    <s v="CA-2014-166898"/>
    <x v="386"/>
    <x v="4"/>
    <d v="2014-09-14T00:00:00"/>
    <x v="0"/>
    <x v="359"/>
    <x v="0"/>
    <x v="46"/>
    <x v="0"/>
    <x v="11"/>
    <s v="OtterBox Defender Series Case - Samsung Galaxy S4"/>
    <n v="143.94999999999999"/>
    <n v="6"/>
    <x v="0"/>
    <n v="17.989999999999998"/>
    <x v="0"/>
  </r>
  <r>
    <s v="CA-2013-126102"/>
    <x v="789"/>
    <x v="4"/>
    <d v="2013-09-13T00:00:00"/>
    <x v="0"/>
    <x v="85"/>
    <x v="0"/>
    <x v="0"/>
    <x v="0"/>
    <x v="2"/>
    <s v="Ibico EB-19 Dual Function Manual Binding System"/>
    <n v="276.77999999999997"/>
    <n v="2"/>
    <x v="0"/>
    <n v="89.95"/>
    <x v="0"/>
  </r>
  <r>
    <s v="CA-2013-135461"/>
    <x v="807"/>
    <x v="11"/>
    <d v="2013-02-10T00:00:00"/>
    <x v="0"/>
    <x v="169"/>
    <x v="0"/>
    <x v="0"/>
    <x v="0"/>
    <x v="11"/>
    <s v="Motorola L703CM"/>
    <n v="623.96"/>
    <n v="5"/>
    <x v="0"/>
    <n v="39"/>
    <x v="2"/>
  </r>
  <r>
    <s v="US-2013-155971"/>
    <x v="808"/>
    <x v="0"/>
    <d v="2013-06-13T00:00:00"/>
    <x v="0"/>
    <x v="312"/>
    <x v="0"/>
    <x v="0"/>
    <x v="0"/>
    <x v="0"/>
    <s v="Avery 488"/>
    <n v="22.05"/>
    <n v="7"/>
    <x v="1"/>
    <n v="10.58"/>
    <x v="0"/>
  </r>
  <r>
    <s v="CA-2014-122007"/>
    <x v="794"/>
    <x v="9"/>
    <d v="2014-03-21T00:00:00"/>
    <x v="0"/>
    <x v="663"/>
    <x v="0"/>
    <x v="0"/>
    <x v="0"/>
    <x v="9"/>
    <s v="Fellowes Basic Home/Office Series Surge Protectors"/>
    <n v="90.86"/>
    <n v="7"/>
    <x v="1"/>
    <n v="26.35"/>
    <x v="0"/>
  </r>
  <r>
    <s v="CA-2014-162250"/>
    <x v="493"/>
    <x v="7"/>
    <d v="2014-11-25T00:00:00"/>
    <x v="0"/>
    <x v="387"/>
    <x v="0"/>
    <x v="3"/>
    <x v="0"/>
    <x v="8"/>
    <s v="Southworth 100% Résumé Paper, 24lb."/>
    <n v="7.78"/>
    <n v="1"/>
    <x v="2"/>
    <n v="3.5"/>
    <x v="0"/>
  </r>
  <r>
    <s v="CA-2012-157028"/>
    <x v="809"/>
    <x v="7"/>
    <d v="2012-12-03T00:00:00"/>
    <x v="0"/>
    <x v="439"/>
    <x v="0"/>
    <x v="101"/>
    <x v="6"/>
    <x v="4"/>
    <s v="BIC Brite Liner Highlighters"/>
    <n v="8.2799999999999994"/>
    <n v="2"/>
    <x v="0"/>
    <n v="3.48"/>
    <x v="0"/>
  </r>
  <r>
    <s v="US-2014-147655"/>
    <x v="321"/>
    <x v="4"/>
    <d v="2014-09-06T00:00:00"/>
    <x v="0"/>
    <x v="371"/>
    <x v="0"/>
    <x v="75"/>
    <x v="4"/>
    <x v="2"/>
    <s v="Avery Trapezoid Extra Heavy Duty 4&quot; Binders"/>
    <n v="88.07"/>
    <n v="7"/>
    <x v="1"/>
    <n v="-58.72"/>
    <x v="0"/>
  </r>
  <r>
    <s v="CA-2012-157805"/>
    <x v="108"/>
    <x v="3"/>
    <d v="2012-09-04T00:00:00"/>
    <x v="0"/>
    <x v="285"/>
    <x v="0"/>
    <x v="18"/>
    <x v="0"/>
    <x v="11"/>
    <s v="Toshiba IPT2010-SD IP Telephone"/>
    <n v="555.96"/>
    <n v="5"/>
    <x v="0"/>
    <n v="41.7"/>
    <x v="2"/>
  </r>
  <r>
    <s v="CA-2014-123029"/>
    <x v="567"/>
    <x v="8"/>
    <d v="2014-10-03T00:00:00"/>
    <x v="0"/>
    <x v="159"/>
    <x v="0"/>
    <x v="0"/>
    <x v="0"/>
    <x v="6"/>
    <s v="Razer Kraken PRO Over Ear PC and Music Headset"/>
    <n v="159.97999999999999"/>
    <n v="2"/>
    <x v="0"/>
    <n v="47.99"/>
    <x v="0"/>
  </r>
  <r>
    <s v="US-2014-166688"/>
    <x v="635"/>
    <x v="2"/>
    <d v="2014-05-27T00:00:00"/>
    <x v="0"/>
    <x v="212"/>
    <x v="0"/>
    <x v="28"/>
    <x v="7"/>
    <x v="2"/>
    <s v="Wilson Jones Impact Binders"/>
    <n v="8.2899999999999991"/>
    <n v="2"/>
    <x v="0"/>
    <n v="3"/>
    <x v="0"/>
  </r>
  <r>
    <s v="US-2012-106873"/>
    <x v="536"/>
    <x v="4"/>
    <d v="2012-09-29T00:00:00"/>
    <x v="0"/>
    <x v="8"/>
    <x v="0"/>
    <x v="127"/>
    <x v="3"/>
    <x v="4"/>
    <s v="Dixon Ticonderoga Core-Lock Colored Pencils"/>
    <n v="14.58"/>
    <n v="2"/>
    <x v="0"/>
    <n v="2.37"/>
    <x v="0"/>
  </r>
  <r>
    <s v="CA-2011-102645"/>
    <x v="810"/>
    <x v="5"/>
    <d v="2011-01-29T00:00:00"/>
    <x v="0"/>
    <x v="590"/>
    <x v="0"/>
    <x v="28"/>
    <x v="7"/>
    <x v="8"/>
    <s v="Xerox 195"/>
    <n v="40.08"/>
    <n v="6"/>
    <x v="0"/>
    <n v="19.239999999999998"/>
    <x v="0"/>
  </r>
  <r>
    <s v="CA-2013-100300"/>
    <x v="427"/>
    <x v="0"/>
    <d v="2013-06-27T00:00:00"/>
    <x v="0"/>
    <x v="27"/>
    <x v="0"/>
    <x v="18"/>
    <x v="0"/>
    <x v="16"/>
    <s v="Okidata MB760 Printer"/>
    <n v="4476.8"/>
    <n v="4"/>
    <x v="0"/>
    <n v="503.64"/>
    <x v="1"/>
  </r>
  <r>
    <s v="US-2013-155768"/>
    <x v="421"/>
    <x v="1"/>
    <d v="2013-12-02T00:00:00"/>
    <x v="0"/>
    <x v="618"/>
    <x v="0"/>
    <x v="149"/>
    <x v="0"/>
    <x v="1"/>
    <s v="Tenex Chairmats For Use With Carpeted Floors"/>
    <n v="31.96"/>
    <n v="2"/>
    <x v="0"/>
    <n v="1.6"/>
    <x v="0"/>
  </r>
  <r>
    <s v="CA-2014-119424"/>
    <x v="811"/>
    <x v="0"/>
    <d v="2014-06-15T00:00:00"/>
    <x v="0"/>
    <x v="639"/>
    <x v="0"/>
    <x v="72"/>
    <x v="1"/>
    <x v="11"/>
    <s v="OtterBox Defender Series Case - Samsung Galaxy S4"/>
    <n v="71.98"/>
    <n v="3"/>
    <x v="0"/>
    <n v="9"/>
    <x v="0"/>
  </r>
  <r>
    <s v="CA-2014-156776"/>
    <x v="472"/>
    <x v="3"/>
    <d v="2014-08-12T00:00:00"/>
    <x v="0"/>
    <x v="664"/>
    <x v="0"/>
    <x v="66"/>
    <x v="0"/>
    <x v="11"/>
    <s v="Polycom VoiceStation 500 Conference phone"/>
    <n v="707.88"/>
    <n v="3"/>
    <x v="0"/>
    <n v="44.24"/>
    <x v="2"/>
  </r>
  <r>
    <s v="CA-2011-146843"/>
    <x v="812"/>
    <x v="7"/>
    <d v="2011-12-06T00:00:00"/>
    <x v="0"/>
    <x v="58"/>
    <x v="0"/>
    <x v="127"/>
    <x v="3"/>
    <x v="14"/>
    <s v="Acme Office Executive Series Stainless Steel Trimmers"/>
    <n v="47.99"/>
    <n v="7"/>
    <x v="1"/>
    <n v="3.6"/>
    <x v="0"/>
  </r>
  <r>
    <s v="CA-2011-103310"/>
    <x v="561"/>
    <x v="2"/>
    <d v="2011-05-15T00:00:00"/>
    <x v="0"/>
    <x v="162"/>
    <x v="0"/>
    <x v="12"/>
    <x v="0"/>
    <x v="8"/>
    <s v="Southworth 25% Cotton Premium Laser Paper and Envelopes"/>
    <n v="39.96"/>
    <n v="2"/>
    <x v="0"/>
    <n v="19.18"/>
    <x v="0"/>
  </r>
  <r>
    <s v="CA-2013-104689"/>
    <x v="421"/>
    <x v="1"/>
    <d v="2013-12-06T00:00:00"/>
    <x v="0"/>
    <x v="218"/>
    <x v="0"/>
    <x v="0"/>
    <x v="0"/>
    <x v="4"/>
    <s v="Sanford Colorific Colored Pencils, 12/Box"/>
    <n v="23.04"/>
    <n v="8"/>
    <x v="1"/>
    <n v="6.91"/>
    <x v="0"/>
  </r>
  <r>
    <s v="CA-2014-141747"/>
    <x v="515"/>
    <x v="3"/>
    <d v="2014-08-09T00:00:00"/>
    <x v="0"/>
    <x v="593"/>
    <x v="0"/>
    <x v="1"/>
    <x v="1"/>
    <x v="3"/>
    <s v="Letter/Legal File Tote with Clear Snap-On Lid, Black Granite"/>
    <n v="16.059999999999999"/>
    <n v="1"/>
    <x v="2"/>
    <n v="4.18"/>
    <x v="0"/>
  </r>
  <r>
    <s v="CA-2012-167479"/>
    <x v="813"/>
    <x v="9"/>
    <d v="2012-03-19T00:00:00"/>
    <x v="0"/>
    <x v="496"/>
    <x v="0"/>
    <x v="9"/>
    <x v="0"/>
    <x v="8"/>
    <s v="Xerox 223"/>
    <n v="19.440000000000001"/>
    <n v="3"/>
    <x v="0"/>
    <n v="9.33"/>
    <x v="0"/>
  </r>
  <r>
    <s v="CA-2011-144071"/>
    <x v="434"/>
    <x v="1"/>
    <d v="2011-12-15T00:00:00"/>
    <x v="1"/>
    <x v="471"/>
    <x v="0"/>
    <x v="3"/>
    <x v="0"/>
    <x v="1"/>
    <s v="Luxo Economy Swing Arm Lamp"/>
    <n v="39.880000000000003"/>
    <n v="2"/>
    <x v="0"/>
    <n v="11.17"/>
    <x v="0"/>
  </r>
  <r>
    <s v="CA-2013-152646"/>
    <x v="384"/>
    <x v="7"/>
    <d v="2013-11-27T00:00:00"/>
    <x v="0"/>
    <x v="445"/>
    <x v="0"/>
    <x v="0"/>
    <x v="0"/>
    <x v="8"/>
    <s v="Xerox 222"/>
    <n v="32.4"/>
    <n v="5"/>
    <x v="0"/>
    <n v="15.55"/>
    <x v="0"/>
  </r>
  <r>
    <s v="CA-2014-140515"/>
    <x v="492"/>
    <x v="9"/>
    <d v="2014-03-25T00:00:00"/>
    <x v="0"/>
    <x v="613"/>
    <x v="0"/>
    <x v="0"/>
    <x v="0"/>
    <x v="9"/>
    <s v="Belkin 5 Outlet SurgeMaster Power Centers"/>
    <n v="381.36"/>
    <n v="7"/>
    <x v="1"/>
    <n v="106.78"/>
    <x v="0"/>
  </r>
  <r>
    <s v="CA-2011-153619"/>
    <x v="814"/>
    <x v="7"/>
    <d v="2011-11-03T00:00:00"/>
    <x v="0"/>
    <x v="488"/>
    <x v="0"/>
    <x v="0"/>
    <x v="0"/>
    <x v="4"/>
    <s v="Prang Dustless Chalk Sticks"/>
    <n v="6.72"/>
    <n v="4"/>
    <x v="0"/>
    <n v="3.36"/>
    <x v="0"/>
  </r>
  <r>
    <s v="CA-2014-133718"/>
    <x v="815"/>
    <x v="6"/>
    <d v="2014-07-27T00:00:00"/>
    <x v="0"/>
    <x v="41"/>
    <x v="0"/>
    <x v="0"/>
    <x v="0"/>
    <x v="2"/>
    <s v="Cardinal HOLDit! Binder Insert Strips,Extra Strips"/>
    <n v="15.19"/>
    <n v="3"/>
    <x v="0"/>
    <n v="5.51"/>
    <x v="0"/>
  </r>
  <r>
    <s v="CA-2011-148383"/>
    <x v="164"/>
    <x v="1"/>
    <d v="2011-12-31T00:00:00"/>
    <x v="0"/>
    <x v="644"/>
    <x v="0"/>
    <x v="8"/>
    <x v="3"/>
    <x v="2"/>
    <s v="GBC DocuBind 300 Electric Binding Machine"/>
    <n v="946.76"/>
    <n v="6"/>
    <x v="0"/>
    <n v="-694.29"/>
    <x v="2"/>
  </r>
  <r>
    <s v="CA-2013-126732"/>
    <x v="584"/>
    <x v="4"/>
    <d v="2013-09-07T00:00:00"/>
    <x v="0"/>
    <x v="87"/>
    <x v="0"/>
    <x v="0"/>
    <x v="0"/>
    <x v="1"/>
    <s v="Ultra Door Pull Handle"/>
    <n v="94.68"/>
    <n v="9"/>
    <x v="1"/>
    <n v="31.24"/>
    <x v="0"/>
  </r>
  <r>
    <s v="CA-2011-113271"/>
    <x v="767"/>
    <x v="6"/>
    <d v="2011-07-14T00:00:00"/>
    <x v="0"/>
    <x v="100"/>
    <x v="0"/>
    <x v="3"/>
    <x v="0"/>
    <x v="2"/>
    <s v="Avery Hidden Tab Dividers for Binding Systems"/>
    <n v="14.3"/>
    <n v="6"/>
    <x v="0"/>
    <n v="4.6500000000000004"/>
    <x v="0"/>
  </r>
  <r>
    <s v="CA-2014-130106"/>
    <x v="660"/>
    <x v="2"/>
    <d v="2014-05-27T00:00:00"/>
    <x v="0"/>
    <x v="408"/>
    <x v="0"/>
    <x v="3"/>
    <x v="0"/>
    <x v="4"/>
    <s v="Newell 350"/>
    <n v="9.84"/>
    <n v="3"/>
    <x v="0"/>
    <n v="2.85"/>
    <x v="0"/>
  </r>
  <r>
    <s v="CA-2014-155712"/>
    <x v="328"/>
    <x v="9"/>
    <d v="2014-03-09T00:00:00"/>
    <x v="0"/>
    <x v="322"/>
    <x v="0"/>
    <x v="0"/>
    <x v="0"/>
    <x v="2"/>
    <s v="Catalog Binders with Expanding Posts"/>
    <n v="107.65"/>
    <n v="2"/>
    <x v="0"/>
    <n v="33.64"/>
    <x v="0"/>
  </r>
  <r>
    <s v="CA-2014-111388"/>
    <x v="169"/>
    <x v="4"/>
    <d v="2014-09-03T00:00:00"/>
    <x v="0"/>
    <x v="665"/>
    <x v="0"/>
    <x v="1"/>
    <x v="1"/>
    <x v="7"/>
    <s v="Global Leather Task Chair, Black"/>
    <n v="215.98"/>
    <n v="3"/>
    <x v="0"/>
    <n v="-2.7"/>
    <x v="0"/>
  </r>
  <r>
    <s v="CA-2011-125759"/>
    <x v="816"/>
    <x v="11"/>
    <d v="2011-02-10T00:00:00"/>
    <x v="0"/>
    <x v="605"/>
    <x v="0"/>
    <x v="68"/>
    <x v="7"/>
    <x v="1"/>
    <s v="Master Caster Door Stop, Large Brown"/>
    <n v="14.56"/>
    <n v="2"/>
    <x v="0"/>
    <n v="5.53"/>
    <x v="0"/>
  </r>
  <r>
    <s v="US-2011-134054"/>
    <x v="509"/>
    <x v="8"/>
    <d v="2011-10-10T00:00:00"/>
    <x v="0"/>
    <x v="505"/>
    <x v="0"/>
    <x v="95"/>
    <x v="6"/>
    <x v="4"/>
    <s v="Dixon Ticonderoga Core-Lock Colored Pencils, 48-Color Set"/>
    <n v="255.85"/>
    <n v="7"/>
    <x v="1"/>
    <n v="112.57"/>
    <x v="0"/>
  </r>
  <r>
    <s v="CA-2013-166772"/>
    <x v="416"/>
    <x v="4"/>
    <d v="2013-09-25T00:00:00"/>
    <x v="0"/>
    <x v="434"/>
    <x v="0"/>
    <x v="1"/>
    <x v="1"/>
    <x v="15"/>
    <s v="O'Sullivan 5-Shelf Heavy-Duty Bookcases"/>
    <n v="163.88"/>
    <n v="2"/>
    <x v="0"/>
    <n v="40.97"/>
    <x v="0"/>
  </r>
  <r>
    <s v="CA-2014-102218"/>
    <x v="169"/>
    <x v="4"/>
    <d v="2014-09-05T00:00:00"/>
    <x v="0"/>
    <x v="257"/>
    <x v="0"/>
    <x v="92"/>
    <x v="5"/>
    <x v="0"/>
    <s v="Avery 519"/>
    <n v="11.7"/>
    <n v="2"/>
    <x v="0"/>
    <n v="3.95"/>
    <x v="0"/>
  </r>
  <r>
    <s v="CA-2011-111857"/>
    <x v="817"/>
    <x v="10"/>
    <d v="2011-04-26T00:00:00"/>
    <x v="0"/>
    <x v="605"/>
    <x v="0"/>
    <x v="3"/>
    <x v="0"/>
    <x v="8"/>
    <s v="Xerox 1891"/>
    <n v="48.91"/>
    <n v="1"/>
    <x v="2"/>
    <n v="22.99"/>
    <x v="0"/>
  </r>
  <r>
    <s v="CA-2012-137603"/>
    <x v="642"/>
    <x v="4"/>
    <d v="2012-09-24T00:00:00"/>
    <x v="0"/>
    <x v="524"/>
    <x v="0"/>
    <x v="115"/>
    <x v="6"/>
    <x v="4"/>
    <s v="Newell 323"/>
    <n v="8.4"/>
    <n v="5"/>
    <x v="0"/>
    <n v="2.1800000000000002"/>
    <x v="0"/>
  </r>
  <r>
    <s v="CA-2011-128237"/>
    <x v="818"/>
    <x v="9"/>
    <d v="2011-03-30T00:00:00"/>
    <x v="0"/>
    <x v="181"/>
    <x v="0"/>
    <x v="3"/>
    <x v="0"/>
    <x v="4"/>
    <s v="Newell 35"/>
    <n v="6.56"/>
    <n v="2"/>
    <x v="0"/>
    <n v="1.9"/>
    <x v="0"/>
  </r>
  <r>
    <s v="CA-2014-121853"/>
    <x v="151"/>
    <x v="4"/>
    <d v="2014-09-30T00:00:00"/>
    <x v="0"/>
    <x v="666"/>
    <x v="0"/>
    <x v="0"/>
    <x v="0"/>
    <x v="8"/>
    <s v="Xerox 1909"/>
    <n v="211.04"/>
    <n v="8"/>
    <x v="1"/>
    <n v="97.08"/>
    <x v="0"/>
  </r>
  <r>
    <s v="US-2014-130687"/>
    <x v="75"/>
    <x v="4"/>
    <d v="2014-09-11T00:00:00"/>
    <x v="0"/>
    <x v="164"/>
    <x v="0"/>
    <x v="45"/>
    <x v="1"/>
    <x v="1"/>
    <s v="DAX Two-Tone Silver Metal Document Frame"/>
    <n v="80.959999999999994"/>
    <n v="4"/>
    <x v="0"/>
    <n v="34.81"/>
    <x v="0"/>
  </r>
  <r>
    <s v="CA-2012-164497"/>
    <x v="809"/>
    <x v="7"/>
    <d v="2012-11-30T00:00:00"/>
    <x v="0"/>
    <x v="667"/>
    <x v="0"/>
    <x v="3"/>
    <x v="0"/>
    <x v="9"/>
    <s v="Holmes Visible Mist Ultrasonic Humidifier with 2.3-Gallon Output per Day, Replacement Filter"/>
    <n v="45.28"/>
    <n v="4"/>
    <x v="0"/>
    <n v="15.4"/>
    <x v="0"/>
  </r>
  <r>
    <s v="CA-2013-108056"/>
    <x v="230"/>
    <x v="4"/>
    <d v="2013-10-04T00:00:00"/>
    <x v="0"/>
    <x v="74"/>
    <x v="0"/>
    <x v="80"/>
    <x v="4"/>
    <x v="11"/>
    <s v="Wilson Electronics DB Pro Signal Booster"/>
    <n v="859.2"/>
    <n v="3"/>
    <x v="0"/>
    <n v="75.180000000000007"/>
    <x v="2"/>
  </r>
  <r>
    <s v="CA-2014-130715"/>
    <x v="40"/>
    <x v="4"/>
    <d v="2014-09-21T00:00:00"/>
    <x v="0"/>
    <x v="147"/>
    <x v="0"/>
    <x v="3"/>
    <x v="0"/>
    <x v="12"/>
    <s v="OIC Colored Binder Clips, Assorted Sizes"/>
    <n v="17.899999999999999"/>
    <n v="5"/>
    <x v="0"/>
    <n v="8.77"/>
    <x v="0"/>
  </r>
  <r>
    <s v="CA-2011-155264"/>
    <x v="220"/>
    <x v="8"/>
    <d v="2011-10-22T00:00:00"/>
    <x v="0"/>
    <x v="122"/>
    <x v="0"/>
    <x v="3"/>
    <x v="0"/>
    <x v="2"/>
    <s v="Accohide Poly Flexible Ring Binders"/>
    <n v="2.99"/>
    <n v="1"/>
    <x v="2"/>
    <n v="1.1200000000000001"/>
    <x v="0"/>
  </r>
  <r>
    <s v="CA-2013-119123"/>
    <x v="21"/>
    <x v="9"/>
    <d v="2013-03-19T00:00:00"/>
    <x v="0"/>
    <x v="633"/>
    <x v="0"/>
    <x v="49"/>
    <x v="0"/>
    <x v="2"/>
    <s v="Cardinal EasyOpen D-Ring Binders"/>
    <n v="51.18"/>
    <n v="7"/>
    <x v="1"/>
    <n v="19.190000000000001"/>
    <x v="0"/>
  </r>
  <r>
    <s v="CA-2013-114860"/>
    <x v="244"/>
    <x v="1"/>
    <d v="2013-12-29T00:00:00"/>
    <x v="0"/>
    <x v="10"/>
    <x v="0"/>
    <x v="131"/>
    <x v="0"/>
    <x v="1"/>
    <s v="Deflect-o DuraMat Antistatic Studded Beveled Mat for Medium Pile Carpeting"/>
    <n v="842.72"/>
    <n v="8"/>
    <x v="1"/>
    <n v="202.25"/>
    <x v="2"/>
  </r>
  <r>
    <s v="CA-2013-159009"/>
    <x v="563"/>
    <x v="4"/>
    <d v="2013-09-28T00:00:00"/>
    <x v="0"/>
    <x v="117"/>
    <x v="0"/>
    <x v="1"/>
    <x v="1"/>
    <x v="2"/>
    <s v="ACCOHIDE 3-Ring Binder, Blue, 1&quot;"/>
    <n v="13.22"/>
    <n v="4"/>
    <x v="0"/>
    <n v="4.46"/>
    <x v="0"/>
  </r>
  <r>
    <s v="CA-2014-111591"/>
    <x v="574"/>
    <x v="9"/>
    <d v="2014-03-26T00:00:00"/>
    <x v="0"/>
    <x v="622"/>
    <x v="0"/>
    <x v="1"/>
    <x v="1"/>
    <x v="2"/>
    <s v="C-Line Peel &amp; Stick Add-On Filing Pockets, 8-3/4 x 5-1/8, 10/Pack"/>
    <n v="30.58"/>
    <n v="6"/>
    <x v="0"/>
    <n v="10.32"/>
    <x v="0"/>
  </r>
  <r>
    <s v="CA-2014-102820"/>
    <x v="543"/>
    <x v="2"/>
    <d v="2014-05-12T00:00:00"/>
    <x v="0"/>
    <x v="342"/>
    <x v="0"/>
    <x v="10"/>
    <x v="0"/>
    <x v="11"/>
    <s v="Blue Parrot B250XT Professional Grade Wireless Bluetooth Headset with"/>
    <n v="419.94"/>
    <n v="7"/>
    <x v="1"/>
    <n v="52.49"/>
    <x v="0"/>
  </r>
  <r>
    <s v="CA-2013-149671"/>
    <x v="593"/>
    <x v="0"/>
    <d v="2013-06-10T00:00:00"/>
    <x v="0"/>
    <x v="668"/>
    <x v="0"/>
    <x v="1"/>
    <x v="1"/>
    <x v="14"/>
    <s v="Acme Box Cutter Scissors"/>
    <n v="61.38"/>
    <n v="6"/>
    <x v="0"/>
    <n v="15.96"/>
    <x v="0"/>
  </r>
  <r>
    <s v="CA-2012-126347"/>
    <x v="297"/>
    <x v="1"/>
    <d v="2012-12-19T00:00:00"/>
    <x v="0"/>
    <x v="667"/>
    <x v="0"/>
    <x v="0"/>
    <x v="0"/>
    <x v="6"/>
    <s v="Micro Innovations USB RF Wireless Keyboard with Mouse"/>
    <n v="50"/>
    <n v="2"/>
    <x v="0"/>
    <n v="10.5"/>
    <x v="0"/>
  </r>
  <r>
    <s v="CA-2014-163097"/>
    <x v="442"/>
    <x v="3"/>
    <d v="2014-09-01T00:00:00"/>
    <x v="0"/>
    <x v="82"/>
    <x v="0"/>
    <x v="35"/>
    <x v="3"/>
    <x v="1"/>
    <s v="Flat Face Poster Frame"/>
    <n v="120.58"/>
    <n v="8"/>
    <x v="1"/>
    <n v="33.159999999999997"/>
    <x v="0"/>
  </r>
  <r>
    <s v="CA-2012-130848"/>
    <x v="495"/>
    <x v="8"/>
    <d v="2012-10-25T00:00:00"/>
    <x v="0"/>
    <x v="627"/>
    <x v="0"/>
    <x v="15"/>
    <x v="5"/>
    <x v="7"/>
    <s v="Global Highback Leather Tilter in Burgundy"/>
    <n v="582.34"/>
    <n v="8"/>
    <x v="1"/>
    <n v="-29.12"/>
    <x v="2"/>
  </r>
  <r>
    <s v="CA-2011-159814"/>
    <x v="819"/>
    <x v="0"/>
    <d v="2011-06-28T00:00:00"/>
    <x v="0"/>
    <x v="78"/>
    <x v="0"/>
    <x v="26"/>
    <x v="3"/>
    <x v="1"/>
    <s v="Acrylic Self-Standing Desk Frames"/>
    <n v="4.2699999999999996"/>
    <n v="2"/>
    <x v="0"/>
    <n v="0.96"/>
    <x v="0"/>
  </r>
  <r>
    <s v="CA-2013-108959"/>
    <x v="631"/>
    <x v="9"/>
    <d v="2013-03-15T00:00:00"/>
    <x v="0"/>
    <x v="102"/>
    <x v="0"/>
    <x v="65"/>
    <x v="3"/>
    <x v="3"/>
    <s v="Mini 13-1/2 Capacity Data Binder Rack, Pearl"/>
    <n v="104.7"/>
    <n v="1"/>
    <x v="2"/>
    <n v="6.54"/>
    <x v="0"/>
  </r>
  <r>
    <s v="CA-2012-164777"/>
    <x v="820"/>
    <x v="5"/>
    <d v="2012-01-29T00:00:00"/>
    <x v="0"/>
    <x v="610"/>
    <x v="0"/>
    <x v="0"/>
    <x v="0"/>
    <x v="7"/>
    <s v="HON 5400 Series Task Chairs for Big and Tall"/>
    <n v="2803.92"/>
    <n v="5"/>
    <x v="0"/>
    <n v="0"/>
    <x v="1"/>
  </r>
  <r>
    <s v="CA-2012-127824"/>
    <x v="821"/>
    <x v="8"/>
    <d v="2012-10-22T00:00:00"/>
    <x v="0"/>
    <x v="638"/>
    <x v="0"/>
    <x v="1"/>
    <x v="1"/>
    <x v="11"/>
    <s v="Motorola L703CM"/>
    <n v="249.58"/>
    <n v="2"/>
    <x v="0"/>
    <n v="15.6"/>
    <x v="0"/>
  </r>
  <r>
    <s v="CA-2011-145254"/>
    <x v="52"/>
    <x v="6"/>
    <d v="2011-07-27T00:00:00"/>
    <x v="0"/>
    <x v="437"/>
    <x v="0"/>
    <x v="3"/>
    <x v="0"/>
    <x v="11"/>
    <s v="VTech DS6151"/>
    <n v="604.75"/>
    <n v="6"/>
    <x v="0"/>
    <n v="60.48"/>
    <x v="2"/>
  </r>
  <r>
    <s v="CA-2013-160479"/>
    <x v="508"/>
    <x v="4"/>
    <d v="2013-09-21T00:00:00"/>
    <x v="0"/>
    <x v="446"/>
    <x v="0"/>
    <x v="1"/>
    <x v="1"/>
    <x v="4"/>
    <s v="SANFORD Major Accent Highlighters"/>
    <n v="35.4"/>
    <n v="5"/>
    <x v="0"/>
    <n v="13.45"/>
    <x v="0"/>
  </r>
  <r>
    <s v="CA-2012-119627"/>
    <x v="822"/>
    <x v="3"/>
    <d v="2012-08-23T00:00:00"/>
    <x v="0"/>
    <x v="227"/>
    <x v="0"/>
    <x v="84"/>
    <x v="3"/>
    <x v="6"/>
    <s v="Imation Clip USB flash drive - 8 GB"/>
    <n v="30.08"/>
    <n v="2"/>
    <x v="0"/>
    <n v="-5.26"/>
    <x v="0"/>
  </r>
  <r>
    <s v="CA-2014-107853"/>
    <x v="823"/>
    <x v="2"/>
    <d v="2014-06-01T00:00:00"/>
    <x v="0"/>
    <x v="110"/>
    <x v="0"/>
    <x v="51"/>
    <x v="0"/>
    <x v="8"/>
    <s v="Xerox 201"/>
    <n v="12.96"/>
    <n v="2"/>
    <x v="0"/>
    <n v="6.22"/>
    <x v="0"/>
  </r>
  <r>
    <s v="US-2013-148957"/>
    <x v="11"/>
    <x v="4"/>
    <d v="2013-09-24T00:00:00"/>
    <x v="0"/>
    <x v="167"/>
    <x v="0"/>
    <x v="75"/>
    <x v="1"/>
    <x v="0"/>
    <s v="Avery 481"/>
    <n v="12.32"/>
    <n v="4"/>
    <x v="0"/>
    <n v="5.91"/>
    <x v="0"/>
  </r>
  <r>
    <s v="CA-2011-140032"/>
    <x v="105"/>
    <x v="4"/>
    <d v="2011-09-13T00:00:00"/>
    <x v="0"/>
    <x v="432"/>
    <x v="0"/>
    <x v="3"/>
    <x v="0"/>
    <x v="2"/>
    <s v="Acco PRESSTEX Data Binder with Storage Hooks, Light Blue, 9 1/2&quot; X 11&quot;"/>
    <n v="8.61"/>
    <n v="2"/>
    <x v="0"/>
    <n v="3.01"/>
    <x v="0"/>
  </r>
  <r>
    <s v="CA-2014-145506"/>
    <x v="622"/>
    <x v="0"/>
    <d v="2014-06-08T00:00:00"/>
    <x v="0"/>
    <x v="139"/>
    <x v="0"/>
    <x v="77"/>
    <x v="1"/>
    <x v="3"/>
    <s v="Eldon Gobal File Keepers"/>
    <n v="136.26"/>
    <n v="9"/>
    <x v="1"/>
    <n v="5.45"/>
    <x v="0"/>
  </r>
  <r>
    <s v="CA-2012-129546"/>
    <x v="300"/>
    <x v="4"/>
    <d v="2012-10-05T00:00:00"/>
    <x v="1"/>
    <x v="519"/>
    <x v="0"/>
    <x v="0"/>
    <x v="0"/>
    <x v="9"/>
    <s v="Acco Smartsocket Table Surge Protector, 6 Color-Coded Adapter Outlets"/>
    <n v="186.15"/>
    <n v="3"/>
    <x v="0"/>
    <n v="55.85"/>
    <x v="0"/>
  </r>
  <r>
    <s v="CA-2011-138240"/>
    <x v="824"/>
    <x v="8"/>
    <d v="2011-10-14T00:00:00"/>
    <x v="0"/>
    <x v="399"/>
    <x v="0"/>
    <x v="3"/>
    <x v="0"/>
    <x v="4"/>
    <s v="Boston Heavy-Duty Trimline Electric Pencil Sharpeners"/>
    <n v="144.6"/>
    <n v="3"/>
    <x v="0"/>
    <n v="41.93"/>
    <x v="0"/>
  </r>
  <r>
    <s v="CA-2011-100867"/>
    <x v="220"/>
    <x v="8"/>
    <d v="2011-10-24T00:00:00"/>
    <x v="0"/>
    <x v="422"/>
    <x v="0"/>
    <x v="118"/>
    <x v="0"/>
    <x v="11"/>
    <s v="RCA Visys Integrated PBX 8-Line Router"/>
    <n v="321.55"/>
    <n v="6"/>
    <x v="0"/>
    <n v="20.100000000000001"/>
    <x v="0"/>
  </r>
  <r>
    <s v="CA-2013-126858"/>
    <x v="825"/>
    <x v="7"/>
    <d v="2013-11-24T00:00:00"/>
    <x v="0"/>
    <x v="554"/>
    <x v="0"/>
    <x v="1"/>
    <x v="1"/>
    <x v="1"/>
    <s v="Tenex Chairmats For Use With Carpeted Floors"/>
    <n v="31.96"/>
    <n v="2"/>
    <x v="0"/>
    <n v="1.6"/>
    <x v="0"/>
  </r>
  <r>
    <s v="CA-2011-122679"/>
    <x v="703"/>
    <x v="6"/>
    <d v="2011-07-28T00:00:00"/>
    <x v="0"/>
    <x v="337"/>
    <x v="0"/>
    <x v="0"/>
    <x v="0"/>
    <x v="4"/>
    <s v="Crayola Colored Pencils"/>
    <n v="19.68"/>
    <n v="6"/>
    <x v="0"/>
    <n v="6.49"/>
    <x v="0"/>
  </r>
  <r>
    <s v="CA-2012-156566"/>
    <x v="191"/>
    <x v="8"/>
    <d v="2012-10-04T00:00:00"/>
    <x v="0"/>
    <x v="595"/>
    <x v="0"/>
    <x v="6"/>
    <x v="4"/>
    <x v="11"/>
    <s v="Wilson Electronics DB Pro Signal Booster"/>
    <n v="572.79999999999995"/>
    <n v="2"/>
    <x v="0"/>
    <n v="50.12"/>
    <x v="2"/>
  </r>
  <r>
    <s v="CA-2014-111738"/>
    <x v="565"/>
    <x v="5"/>
    <d v="2014-01-08T00:00:00"/>
    <x v="0"/>
    <x v="669"/>
    <x v="0"/>
    <x v="3"/>
    <x v="0"/>
    <x v="2"/>
    <s v="GBC ProClick 150 Presentation Binding System"/>
    <n v="2022.27"/>
    <n v="8"/>
    <x v="1"/>
    <n v="682.52"/>
    <x v="1"/>
  </r>
  <r>
    <s v="US-2013-123610"/>
    <x v="699"/>
    <x v="2"/>
    <d v="2013-05-17T00:00:00"/>
    <x v="0"/>
    <x v="670"/>
    <x v="0"/>
    <x v="40"/>
    <x v="0"/>
    <x v="6"/>
    <s v="Memorex Mini Travel Drive 32 GB USB 2.0 Flash Drive"/>
    <n v="120"/>
    <n v="6"/>
    <x v="0"/>
    <n v="46.8"/>
    <x v="0"/>
  </r>
  <r>
    <s v="US-2012-158589"/>
    <x v="148"/>
    <x v="7"/>
    <d v="2012-11-24T00:00:00"/>
    <x v="0"/>
    <x v="671"/>
    <x v="0"/>
    <x v="3"/>
    <x v="0"/>
    <x v="1"/>
    <s v="Dana Swing-Arm Lamps"/>
    <n v="32.04"/>
    <n v="3"/>
    <x v="0"/>
    <n v="8.01"/>
    <x v="0"/>
  </r>
  <r>
    <s v="US-2014-104451"/>
    <x v="405"/>
    <x v="2"/>
    <d v="2014-05-13T00:00:00"/>
    <x v="0"/>
    <x v="222"/>
    <x v="0"/>
    <x v="3"/>
    <x v="0"/>
    <x v="9"/>
    <s v="Fellowes Mighty 8 Compact Surge Protector"/>
    <n v="81.08"/>
    <n v="4"/>
    <x v="0"/>
    <n v="22.7"/>
    <x v="0"/>
  </r>
  <r>
    <s v="CA-2013-101189"/>
    <x v="633"/>
    <x v="11"/>
    <d v="2013-02-09T00:00:00"/>
    <x v="0"/>
    <x v="189"/>
    <x v="0"/>
    <x v="0"/>
    <x v="0"/>
    <x v="3"/>
    <s v="Safco Commercial Shelving"/>
    <n v="93.02"/>
    <n v="2"/>
    <x v="0"/>
    <n v="3.72"/>
    <x v="0"/>
  </r>
  <r>
    <s v="CA-2014-156958"/>
    <x v="257"/>
    <x v="1"/>
    <d v="2014-12-07T00:00:00"/>
    <x v="0"/>
    <x v="278"/>
    <x v="0"/>
    <x v="1"/>
    <x v="1"/>
    <x v="2"/>
    <s v="GBC Premium Transparent Covers with Diagonal Lined Pattern"/>
    <n v="83.92"/>
    <n v="5"/>
    <x v="0"/>
    <n v="29.37"/>
    <x v="0"/>
  </r>
  <r>
    <s v="CA-2014-111759"/>
    <x v="182"/>
    <x v="6"/>
    <d v="2014-07-13T00:00:00"/>
    <x v="0"/>
    <x v="672"/>
    <x v="0"/>
    <x v="1"/>
    <x v="1"/>
    <x v="8"/>
    <s v="Staples"/>
    <n v="52.76"/>
    <n v="2"/>
    <x v="0"/>
    <n v="24.27"/>
    <x v="0"/>
  </r>
  <r>
    <s v="CA-2013-148747"/>
    <x v="187"/>
    <x v="4"/>
    <d v="2013-09-28T00:00:00"/>
    <x v="0"/>
    <x v="371"/>
    <x v="0"/>
    <x v="3"/>
    <x v="0"/>
    <x v="15"/>
    <s v="Atlantic Metals Mobile 4-Shelf Bookcases, Custom Colors"/>
    <n v="477.67"/>
    <n v="2"/>
    <x v="0"/>
    <n v="84.29"/>
    <x v="0"/>
  </r>
  <r>
    <s v="CA-2012-135727"/>
    <x v="826"/>
    <x v="2"/>
    <d v="2012-05-16T00:00:00"/>
    <x v="0"/>
    <x v="622"/>
    <x v="0"/>
    <x v="8"/>
    <x v="3"/>
    <x v="7"/>
    <s v="Global Chrome Stack Chair"/>
    <n v="191.97"/>
    <n v="7"/>
    <x v="1"/>
    <n v="16.8"/>
    <x v="0"/>
  </r>
  <r>
    <s v="CA-2012-160864"/>
    <x v="444"/>
    <x v="2"/>
    <d v="2012-05-06T00:00:00"/>
    <x v="0"/>
    <x v="443"/>
    <x v="0"/>
    <x v="12"/>
    <x v="0"/>
    <x v="2"/>
    <s v="Avery Binding System Hidden Tab Executive Style Index Sets"/>
    <n v="13.85"/>
    <n v="3"/>
    <x v="0"/>
    <n v="5.19"/>
    <x v="0"/>
  </r>
  <r>
    <s v="CA-2013-125724"/>
    <x v="827"/>
    <x v="4"/>
    <d v="2013-09-28T00:00:00"/>
    <x v="0"/>
    <x v="643"/>
    <x v="0"/>
    <x v="81"/>
    <x v="5"/>
    <x v="1"/>
    <s v="Aluminum Document Frame"/>
    <n v="68.430000000000007"/>
    <n v="7"/>
    <x v="1"/>
    <n v="8.5500000000000007"/>
    <x v="0"/>
  </r>
  <r>
    <s v="CA-2012-161242"/>
    <x v="828"/>
    <x v="0"/>
    <d v="2012-06-08T00:00:00"/>
    <x v="1"/>
    <x v="673"/>
    <x v="0"/>
    <x v="0"/>
    <x v="0"/>
    <x v="8"/>
    <s v="Adams Telephone Message Book W/Dividers/Space For Phone Numbers, 5 1/4&quot;X8 1/2&quot;, 300/Messages"/>
    <n v="11.76"/>
    <n v="2"/>
    <x v="0"/>
    <n v="5.76"/>
    <x v="0"/>
  </r>
  <r>
    <s v="CA-2012-148495"/>
    <x v="410"/>
    <x v="3"/>
    <d v="2012-08-13T00:00:00"/>
    <x v="0"/>
    <x v="674"/>
    <x v="0"/>
    <x v="67"/>
    <x v="0"/>
    <x v="1"/>
    <s v="Ultra Door Pull Handle"/>
    <n v="31.56"/>
    <n v="3"/>
    <x v="0"/>
    <n v="10.41"/>
    <x v="0"/>
  </r>
  <r>
    <s v="CA-2013-108630"/>
    <x v="539"/>
    <x v="7"/>
    <d v="2013-11-19T00:00:00"/>
    <x v="0"/>
    <x v="675"/>
    <x v="0"/>
    <x v="31"/>
    <x v="0"/>
    <x v="2"/>
    <s v="Recycled Premium Regency Composition Covers"/>
    <n v="61.12"/>
    <n v="5"/>
    <x v="0"/>
    <n v="22.16"/>
    <x v="0"/>
  </r>
  <r>
    <s v="CA-2014-104619"/>
    <x v="829"/>
    <x v="5"/>
    <d v="2014-01-30T00:00:00"/>
    <x v="0"/>
    <x v="550"/>
    <x v="0"/>
    <x v="12"/>
    <x v="0"/>
    <x v="9"/>
    <s v="Acco Six-Outlet Power Strip, 4' Cord Length"/>
    <n v="25.86"/>
    <n v="3"/>
    <x v="0"/>
    <n v="6.72"/>
    <x v="0"/>
  </r>
  <r>
    <s v="CA-2012-149517"/>
    <x v="642"/>
    <x v="4"/>
    <d v="2012-09-23T00:00:00"/>
    <x v="0"/>
    <x v="579"/>
    <x v="0"/>
    <x v="93"/>
    <x v="0"/>
    <x v="1"/>
    <s v="Seth Thomas 8 1/2&quot; Cubicle Clock"/>
    <n v="60.84"/>
    <n v="3"/>
    <x v="0"/>
    <n v="19.47"/>
    <x v="0"/>
  </r>
  <r>
    <s v="CA-2012-116841"/>
    <x v="830"/>
    <x v="10"/>
    <d v="2012-04-18T00:00:00"/>
    <x v="0"/>
    <x v="676"/>
    <x v="0"/>
    <x v="80"/>
    <x v="4"/>
    <x v="9"/>
    <s v="Acco Smartsocket Color-Coded Six-Outlet AC Adapter Model Surge Protectors"/>
    <n v="35.21"/>
    <n v="1"/>
    <x v="2"/>
    <n v="2.64"/>
    <x v="0"/>
  </r>
  <r>
    <s v="CA-2013-130638"/>
    <x v="458"/>
    <x v="2"/>
    <d v="2013-05-20T00:00:00"/>
    <x v="0"/>
    <x v="61"/>
    <x v="0"/>
    <x v="0"/>
    <x v="0"/>
    <x v="1"/>
    <s v="Tenex Carpeted, Granite-Look or Clear Contemporary Contour Shape Chair Mats"/>
    <n v="282.83999999999997"/>
    <n v="4"/>
    <x v="0"/>
    <n v="19.8"/>
    <x v="0"/>
  </r>
  <r>
    <s v="CA-2013-110086"/>
    <x v="619"/>
    <x v="4"/>
    <d v="2013-09-23T00:00:00"/>
    <x v="0"/>
    <x v="75"/>
    <x v="0"/>
    <x v="110"/>
    <x v="0"/>
    <x v="11"/>
    <s v="Polycom CX300 Desktop Phone USB VoIP phone"/>
    <n v="239.98"/>
    <n v="2"/>
    <x v="0"/>
    <n v="24"/>
    <x v="0"/>
  </r>
  <r>
    <s v="CA-2011-128524"/>
    <x v="137"/>
    <x v="7"/>
    <d v="2011-11-13T00:00:00"/>
    <x v="0"/>
    <x v="30"/>
    <x v="0"/>
    <x v="1"/>
    <x v="1"/>
    <x v="9"/>
    <s v="Belkin F5C206VTEL 6 Outlet Surge"/>
    <n v="22.98"/>
    <n v="1"/>
    <x v="2"/>
    <n v="6.89"/>
    <x v="0"/>
  </r>
  <r>
    <s v="CA-2013-140256"/>
    <x v="535"/>
    <x v="3"/>
    <d v="2013-08-30T00:00:00"/>
    <x v="1"/>
    <x v="631"/>
    <x v="0"/>
    <x v="0"/>
    <x v="0"/>
    <x v="4"/>
    <s v="Newell 346"/>
    <n v="5.76"/>
    <n v="2"/>
    <x v="0"/>
    <n v="1.67"/>
    <x v="0"/>
  </r>
  <r>
    <s v="CA-2011-124702"/>
    <x v="318"/>
    <x v="7"/>
    <d v="2011-11-25T00:00:00"/>
    <x v="1"/>
    <x v="102"/>
    <x v="0"/>
    <x v="1"/>
    <x v="1"/>
    <x v="1"/>
    <s v="Howard Miller 13-1/2&quot; Diameter Rosebrook Wall Clock"/>
    <n v="137.54"/>
    <n v="2"/>
    <x v="0"/>
    <n v="55.02"/>
    <x v="0"/>
  </r>
  <r>
    <s v="US-2014-125808"/>
    <x v="34"/>
    <x v="7"/>
    <d v="2014-11-16T00:00:00"/>
    <x v="0"/>
    <x v="358"/>
    <x v="0"/>
    <x v="0"/>
    <x v="0"/>
    <x v="8"/>
    <s v="Xerox 1899"/>
    <n v="11.56"/>
    <n v="2"/>
    <x v="0"/>
    <n v="5.66"/>
    <x v="0"/>
  </r>
  <r>
    <s v="CA-2011-104563"/>
    <x v="540"/>
    <x v="9"/>
    <d v="2011-03-12T00:00:00"/>
    <x v="0"/>
    <x v="677"/>
    <x v="0"/>
    <x v="1"/>
    <x v="1"/>
    <x v="4"/>
    <s v="Newell Chalk Holder"/>
    <n v="20.65"/>
    <n v="5"/>
    <x v="0"/>
    <n v="9.5"/>
    <x v="0"/>
  </r>
  <r>
    <s v="US-2014-107979"/>
    <x v="741"/>
    <x v="0"/>
    <d v="2014-06-14T00:00:00"/>
    <x v="0"/>
    <x v="656"/>
    <x v="0"/>
    <x v="65"/>
    <x v="3"/>
    <x v="6"/>
    <s v="Memorex Micro Travel Drive 16 GB"/>
    <n v="89.54"/>
    <n v="7"/>
    <x v="1"/>
    <n v="12.31"/>
    <x v="0"/>
  </r>
  <r>
    <s v="CA-2013-107104"/>
    <x v="277"/>
    <x v="7"/>
    <d v="2013-12-01T00:00:00"/>
    <x v="0"/>
    <x v="266"/>
    <x v="0"/>
    <x v="0"/>
    <x v="0"/>
    <x v="15"/>
    <s v="DMI Eclipse Executive Suite Bookcases"/>
    <n v="3406.66"/>
    <n v="8"/>
    <x v="1"/>
    <n v="160.31"/>
    <x v="1"/>
  </r>
  <r>
    <s v="CA-2014-161893"/>
    <x v="655"/>
    <x v="5"/>
    <d v="2014-01-28T00:00:00"/>
    <x v="0"/>
    <x v="175"/>
    <x v="0"/>
    <x v="26"/>
    <x v="3"/>
    <x v="6"/>
    <s v="Logitech Wireless Anywhere Mouse MX for PC and Mac"/>
    <n v="95.98"/>
    <n v="2"/>
    <x v="0"/>
    <n v="12"/>
    <x v="0"/>
  </r>
  <r>
    <s v="CA-2011-100860"/>
    <x v="482"/>
    <x v="9"/>
    <d v="2011-03-30T00:00:00"/>
    <x v="0"/>
    <x v="350"/>
    <x v="0"/>
    <x v="67"/>
    <x v="0"/>
    <x v="0"/>
    <s v="Smead Alpha-Z Color-Coded Name Labels First Letter Starter Set"/>
    <n v="18.75"/>
    <n v="5"/>
    <x v="0"/>
    <n v="9"/>
    <x v="0"/>
  </r>
  <r>
    <s v="CA-2013-160717"/>
    <x v="808"/>
    <x v="0"/>
    <d v="2013-06-12T00:00:00"/>
    <x v="0"/>
    <x v="648"/>
    <x v="0"/>
    <x v="136"/>
    <x v="0"/>
    <x v="11"/>
    <s v="Samsung Galaxy Mega 6.3"/>
    <n v="3023.93"/>
    <n v="9"/>
    <x v="1"/>
    <n v="226.79"/>
    <x v="1"/>
  </r>
  <r>
    <s v="CA-2014-132619"/>
    <x v="207"/>
    <x v="4"/>
    <d v="2014-09-06T00:00:00"/>
    <x v="0"/>
    <x v="374"/>
    <x v="0"/>
    <x v="3"/>
    <x v="0"/>
    <x v="3"/>
    <s v="Space Solutions Commercial Steel Shelving"/>
    <n v="193.95"/>
    <n v="3"/>
    <x v="0"/>
    <n v="9.6999999999999993"/>
    <x v="0"/>
  </r>
  <r>
    <s v="US-2012-120957"/>
    <x v="82"/>
    <x v="1"/>
    <d v="2012-12-07T00:00:00"/>
    <x v="0"/>
    <x v="38"/>
    <x v="0"/>
    <x v="49"/>
    <x v="0"/>
    <x v="8"/>
    <s v="Xerox 218"/>
    <n v="12.96"/>
    <n v="2"/>
    <x v="0"/>
    <n v="6.22"/>
    <x v="0"/>
  </r>
  <r>
    <s v="CA-2014-157448"/>
    <x v="364"/>
    <x v="7"/>
    <d v="2014-11-21T00:00:00"/>
    <x v="0"/>
    <x v="18"/>
    <x v="0"/>
    <x v="0"/>
    <x v="0"/>
    <x v="1"/>
    <s v="Eldon Radial Chair Mat for Low to Medium Pile Carpets"/>
    <n v="119.94"/>
    <n v="3"/>
    <x v="0"/>
    <n v="23.99"/>
    <x v="0"/>
  </r>
  <r>
    <s v="CA-2013-126270"/>
    <x v="46"/>
    <x v="10"/>
    <d v="2013-04-28T00:00:00"/>
    <x v="0"/>
    <x v="532"/>
    <x v="0"/>
    <x v="165"/>
    <x v="0"/>
    <x v="2"/>
    <s v="Recycled Pressboard Report Cover with Reinforced Top Hinge"/>
    <n v="18.09"/>
    <n v="7"/>
    <x v="1"/>
    <n v="6.56"/>
    <x v="0"/>
  </r>
  <r>
    <s v="US-2014-140312"/>
    <x v="532"/>
    <x v="7"/>
    <d v="2014-11-20T00:00:00"/>
    <x v="0"/>
    <x v="48"/>
    <x v="0"/>
    <x v="166"/>
    <x v="0"/>
    <x v="11"/>
    <s v="Samsung Replacement EH64AVFWE Premium Headset"/>
    <n v="22"/>
    <n v="5"/>
    <x v="0"/>
    <n v="1.38"/>
    <x v="0"/>
  </r>
  <r>
    <s v="CA-2013-137393"/>
    <x v="831"/>
    <x v="2"/>
    <d v="2013-05-11T00:00:00"/>
    <x v="0"/>
    <x v="259"/>
    <x v="0"/>
    <x v="104"/>
    <x v="0"/>
    <x v="1"/>
    <s v="Executive Impressions 8-1/2&quot; Career Panel/Partition Cubicle Clock"/>
    <n v="41.6"/>
    <n v="4"/>
    <x v="0"/>
    <n v="14.14"/>
    <x v="0"/>
  </r>
  <r>
    <s v="CA-2012-130113"/>
    <x v="231"/>
    <x v="1"/>
    <d v="2012-12-31T00:00:00"/>
    <x v="0"/>
    <x v="517"/>
    <x v="0"/>
    <x v="3"/>
    <x v="0"/>
    <x v="3"/>
    <s v="Fellowes Super Stor/Drawer Files"/>
    <n v="323.10000000000002"/>
    <n v="2"/>
    <x v="0"/>
    <n v="61.39"/>
    <x v="0"/>
  </r>
  <r>
    <s v="CA-2014-122770"/>
    <x v="643"/>
    <x v="1"/>
    <d v="2014-12-19T00:00:00"/>
    <x v="0"/>
    <x v="358"/>
    <x v="0"/>
    <x v="3"/>
    <x v="0"/>
    <x v="0"/>
    <s v="Avery 49"/>
    <n v="8.64"/>
    <n v="3"/>
    <x v="0"/>
    <n v="4.2300000000000004"/>
    <x v="0"/>
  </r>
  <r>
    <s v="CA-2014-118668"/>
    <x v="832"/>
    <x v="5"/>
    <d v="2014-01-05T00:00:00"/>
    <x v="0"/>
    <x v="678"/>
    <x v="0"/>
    <x v="0"/>
    <x v="0"/>
    <x v="6"/>
    <s v="Kensington K72356US Mouse-in-a-Box USB Desktop Mouse"/>
    <n v="16.59"/>
    <n v="1"/>
    <x v="2"/>
    <n v="5.81"/>
    <x v="0"/>
  </r>
  <r>
    <s v="CA-2014-116498"/>
    <x v="714"/>
    <x v="2"/>
    <d v="2014-06-04T00:00:00"/>
    <x v="0"/>
    <x v="263"/>
    <x v="0"/>
    <x v="18"/>
    <x v="0"/>
    <x v="4"/>
    <s v="Dixon My First Ticonderoga Pencil, #2"/>
    <n v="35.1"/>
    <n v="6"/>
    <x v="0"/>
    <n v="10.18"/>
    <x v="0"/>
  </r>
  <r>
    <s v="CA-2014-130148"/>
    <x v="632"/>
    <x v="4"/>
    <d v="2014-09-29T00:00:00"/>
    <x v="0"/>
    <x v="23"/>
    <x v="0"/>
    <x v="3"/>
    <x v="0"/>
    <x v="8"/>
    <s v="Array Memo Cubes"/>
    <n v="31.08"/>
    <n v="6"/>
    <x v="0"/>
    <n v="15.23"/>
    <x v="0"/>
  </r>
  <r>
    <s v="CA-2014-154116"/>
    <x v="463"/>
    <x v="1"/>
    <d v="2014-12-20T00:00:00"/>
    <x v="0"/>
    <x v="566"/>
    <x v="0"/>
    <x v="20"/>
    <x v="0"/>
    <x v="8"/>
    <s v="Wirebound Message Books, Two 4 1/4&quot; x 5&quot; Forms per Page"/>
    <n v="22.83"/>
    <n v="3"/>
    <x v="0"/>
    <n v="10.73"/>
    <x v="0"/>
  </r>
  <r>
    <s v="CA-2013-105291"/>
    <x v="833"/>
    <x v="8"/>
    <d v="2013-11-05T00:00:00"/>
    <x v="0"/>
    <x v="423"/>
    <x v="0"/>
    <x v="167"/>
    <x v="0"/>
    <x v="12"/>
    <s v="Assorted Color Push Pins"/>
    <n v="3.62"/>
    <n v="2"/>
    <x v="0"/>
    <n v="1.19"/>
    <x v="0"/>
  </r>
  <r>
    <s v="CA-2014-125990"/>
    <x v="389"/>
    <x v="8"/>
    <d v="2014-10-24T00:00:00"/>
    <x v="0"/>
    <x v="679"/>
    <x v="0"/>
    <x v="3"/>
    <x v="0"/>
    <x v="2"/>
    <s v="JM Magazine Binder"/>
    <n v="39.619999999999997"/>
    <n v="3"/>
    <x v="0"/>
    <n v="13.87"/>
    <x v="0"/>
  </r>
  <r>
    <s v="CA-2013-161746"/>
    <x v="155"/>
    <x v="8"/>
    <d v="2013-10-28T00:00:00"/>
    <x v="0"/>
    <x v="342"/>
    <x v="0"/>
    <x v="0"/>
    <x v="0"/>
    <x v="7"/>
    <s v="Office Star Flex Back Scooter Chair with Aluminum Finish Frame"/>
    <n v="242.14"/>
    <n v="3"/>
    <x v="0"/>
    <n v="12.11"/>
    <x v="0"/>
  </r>
  <r>
    <s v="CA-2013-116379"/>
    <x v="27"/>
    <x v="7"/>
    <d v="2013-11-13T00:00:00"/>
    <x v="0"/>
    <x v="174"/>
    <x v="0"/>
    <x v="3"/>
    <x v="0"/>
    <x v="2"/>
    <s v="GBC VeloBinder Manual Binding System"/>
    <n v="57.58"/>
    <n v="2"/>
    <x v="0"/>
    <n v="20.149999999999999"/>
    <x v="0"/>
  </r>
  <r>
    <s v="CA-2014-142293"/>
    <x v="303"/>
    <x v="4"/>
    <d v="2014-09-21T00:00:00"/>
    <x v="0"/>
    <x v="316"/>
    <x v="0"/>
    <x v="120"/>
    <x v="9"/>
    <x v="6"/>
    <s v="Logitech Trackman Marble Mouse"/>
    <n v="89.97"/>
    <n v="3"/>
    <x v="0"/>
    <n v="37.79"/>
    <x v="0"/>
  </r>
  <r>
    <s v="CA-2011-111962"/>
    <x v="159"/>
    <x v="4"/>
    <d v="2011-10-04T00:00:00"/>
    <x v="0"/>
    <x v="680"/>
    <x v="0"/>
    <x v="1"/>
    <x v="1"/>
    <x v="2"/>
    <s v="GBC Standard Plastic Binding Systems' Combs"/>
    <n v="10.050000000000001"/>
    <n v="2"/>
    <x v="0"/>
    <n v="3.14"/>
    <x v="0"/>
  </r>
  <r>
    <s v="CA-2014-124261"/>
    <x v="134"/>
    <x v="7"/>
    <d v="2014-11-20T00:00:00"/>
    <x v="0"/>
    <x v="254"/>
    <x v="0"/>
    <x v="0"/>
    <x v="0"/>
    <x v="4"/>
    <s v="Newell 347"/>
    <n v="34.24"/>
    <n v="8"/>
    <x v="1"/>
    <n v="9.93"/>
    <x v="0"/>
  </r>
  <r>
    <s v="CA-2014-129294"/>
    <x v="261"/>
    <x v="9"/>
    <d v="2014-03-22T00:00:00"/>
    <x v="0"/>
    <x v="322"/>
    <x v="0"/>
    <x v="0"/>
    <x v="0"/>
    <x v="3"/>
    <s v="Dual Level, Single-Width Filing Carts"/>
    <n v="310.12"/>
    <n v="2"/>
    <x v="0"/>
    <n v="80.63"/>
    <x v="0"/>
  </r>
  <r>
    <s v="CA-2014-131303"/>
    <x v="260"/>
    <x v="7"/>
    <d v="2014-12-03T00:00:00"/>
    <x v="0"/>
    <x v="358"/>
    <x v="0"/>
    <x v="18"/>
    <x v="0"/>
    <x v="0"/>
    <s v="Round Specialty Laser Printer Labels"/>
    <n v="62.65"/>
    <n v="5"/>
    <x v="0"/>
    <n v="29.45"/>
    <x v="0"/>
  </r>
  <r>
    <s v="CA-2014-137505"/>
    <x v="493"/>
    <x v="7"/>
    <d v="2014-11-25T00:00:00"/>
    <x v="0"/>
    <x v="541"/>
    <x v="0"/>
    <x v="0"/>
    <x v="0"/>
    <x v="5"/>
    <s v="Hon Practical Foundations 30 x 60 Training Table, Light Gray/Charcoal"/>
    <n v="364.08"/>
    <n v="2"/>
    <x v="0"/>
    <n v="9.1"/>
    <x v="0"/>
  </r>
  <r>
    <s v="US-2013-158680"/>
    <x v="719"/>
    <x v="6"/>
    <d v="2013-07-03T00:00:00"/>
    <x v="0"/>
    <x v="106"/>
    <x v="0"/>
    <x v="1"/>
    <x v="1"/>
    <x v="2"/>
    <s v="Zipper Ring Binder Pockets"/>
    <n v="2.5"/>
    <n v="1"/>
    <x v="2"/>
    <n v="0.9"/>
    <x v="0"/>
  </r>
  <r>
    <s v="CA-2013-146913"/>
    <x v="445"/>
    <x v="7"/>
    <d v="2013-11-06T00:00:00"/>
    <x v="0"/>
    <x v="575"/>
    <x v="0"/>
    <x v="3"/>
    <x v="0"/>
    <x v="7"/>
    <s v="Office Star - Professional Matrix Back Chair with 2-to-1 Synchro Tilt and Mesh Fabric Seat"/>
    <n v="1403.92"/>
    <n v="5"/>
    <x v="0"/>
    <n v="70.2"/>
    <x v="1"/>
  </r>
  <r>
    <s v="CA-2011-121762"/>
    <x v="834"/>
    <x v="11"/>
    <d v="2011-02-19T00:00:00"/>
    <x v="0"/>
    <x v="213"/>
    <x v="0"/>
    <x v="1"/>
    <x v="1"/>
    <x v="6"/>
    <s v="Logitech G600 MMO Gaming Mouse"/>
    <n v="239.97"/>
    <n v="3"/>
    <x v="0"/>
    <n v="86.39"/>
    <x v="0"/>
  </r>
  <r>
    <s v="CA-2011-123855"/>
    <x v="835"/>
    <x v="0"/>
    <d v="2011-06-23T00:00:00"/>
    <x v="0"/>
    <x v="362"/>
    <x v="0"/>
    <x v="0"/>
    <x v="0"/>
    <x v="11"/>
    <s v="Plantronics Cordless Phone Headset with In-line Volume - M214C"/>
    <n v="139.80000000000001"/>
    <n v="5"/>
    <x v="0"/>
    <n v="12.23"/>
    <x v="0"/>
  </r>
  <r>
    <s v="CA-2014-142328"/>
    <x v="83"/>
    <x v="1"/>
    <d v="2014-12-15T00:00:00"/>
    <x v="1"/>
    <x v="488"/>
    <x v="0"/>
    <x v="3"/>
    <x v="0"/>
    <x v="8"/>
    <s v="REDIFORM Incoming/Outgoing Call Register, 11&quot; X 8 1/2&quot;, 100 Messages"/>
    <n v="50.04"/>
    <n v="6"/>
    <x v="0"/>
    <n v="25.02"/>
    <x v="0"/>
  </r>
  <r>
    <s v="CA-2014-137918"/>
    <x v="613"/>
    <x v="4"/>
    <d v="2014-10-07T00:00:00"/>
    <x v="1"/>
    <x v="548"/>
    <x v="0"/>
    <x v="168"/>
    <x v="0"/>
    <x v="14"/>
    <s v="Acme Hot Forged Carbon Steel Scissors with Nickel-Plated Handles, 3 7/8&quot; Cut, 8&quot;L"/>
    <n v="97.3"/>
    <n v="7"/>
    <x v="1"/>
    <n v="28.22"/>
    <x v="0"/>
  </r>
  <r>
    <s v="US-2011-139640"/>
    <x v="524"/>
    <x v="7"/>
    <d v="2011-11-11T00:00:00"/>
    <x v="0"/>
    <x v="681"/>
    <x v="0"/>
    <x v="6"/>
    <x v="4"/>
    <x v="8"/>
    <s v="Xerox 1995"/>
    <n v="25.92"/>
    <n v="5"/>
    <x v="0"/>
    <n v="9.07"/>
    <x v="0"/>
  </r>
  <r>
    <s v="US-2011-164406"/>
    <x v="836"/>
    <x v="3"/>
    <d v="2011-08-19T00:00:00"/>
    <x v="0"/>
    <x v="486"/>
    <x v="0"/>
    <x v="3"/>
    <x v="0"/>
    <x v="9"/>
    <s v="Tripp Lite TLP810NET Broadband Surge for Modem/Fax"/>
    <n v="152.91"/>
    <n v="3"/>
    <x v="0"/>
    <n v="42.81"/>
    <x v="0"/>
  </r>
  <r>
    <s v="US-2013-125402"/>
    <x v="187"/>
    <x v="4"/>
    <d v="2013-10-02T00:00:00"/>
    <x v="0"/>
    <x v="682"/>
    <x v="0"/>
    <x v="23"/>
    <x v="0"/>
    <x v="8"/>
    <s v="Ampad Evidence Wirebond Steno Books, 6&quot; x 9&quot;"/>
    <n v="10.9"/>
    <n v="5"/>
    <x v="0"/>
    <n v="5.12"/>
    <x v="0"/>
  </r>
  <r>
    <s v="CA-2014-169327"/>
    <x v="169"/>
    <x v="4"/>
    <d v="2014-09-05T00:00:00"/>
    <x v="0"/>
    <x v="524"/>
    <x v="0"/>
    <x v="0"/>
    <x v="0"/>
    <x v="9"/>
    <s v="Acco Six-Outlet Power Strip, 4' Cord Length"/>
    <n v="43.1"/>
    <n v="5"/>
    <x v="0"/>
    <n v="11.21"/>
    <x v="0"/>
  </r>
  <r>
    <s v="CA-2011-142979"/>
    <x v="357"/>
    <x v="10"/>
    <d v="2011-04-18T00:00:00"/>
    <x v="0"/>
    <x v="482"/>
    <x v="0"/>
    <x v="168"/>
    <x v="0"/>
    <x v="4"/>
    <s v="Prismacolor Color Pencil Set"/>
    <n v="39.68"/>
    <n v="2"/>
    <x v="0"/>
    <n v="16.27"/>
    <x v="0"/>
  </r>
  <r>
    <s v="CA-2014-138870"/>
    <x v="837"/>
    <x v="0"/>
    <d v="2014-06-24T00:00:00"/>
    <x v="0"/>
    <x v="344"/>
    <x v="0"/>
    <x v="3"/>
    <x v="0"/>
    <x v="1"/>
    <s v="DAX Copper Panel Document Frame, 5 x 7 Size"/>
    <n v="50.32"/>
    <n v="4"/>
    <x v="0"/>
    <n v="21.13"/>
    <x v="0"/>
  </r>
  <r>
    <s v="CA-2012-164301"/>
    <x v="838"/>
    <x v="9"/>
    <d v="2012-03-30T00:00:00"/>
    <x v="0"/>
    <x v="81"/>
    <x v="0"/>
    <x v="1"/>
    <x v="1"/>
    <x v="5"/>
    <s v="Bush Advantage Collection Racetrack Conference Table"/>
    <n v="3393.68"/>
    <n v="8"/>
    <x v="1"/>
    <n v="610.86"/>
    <x v="1"/>
  </r>
  <r>
    <s v="CA-2011-112291"/>
    <x v="839"/>
    <x v="10"/>
    <d v="2011-04-08T00:00:00"/>
    <x v="0"/>
    <x v="430"/>
    <x v="0"/>
    <x v="0"/>
    <x v="0"/>
    <x v="10"/>
    <s v="Staples"/>
    <n v="11.16"/>
    <n v="2"/>
    <x v="0"/>
    <n v="5.58"/>
    <x v="0"/>
  </r>
  <r>
    <s v="CA-2014-117646"/>
    <x v="409"/>
    <x v="3"/>
    <d v="2014-08-26T00:00:00"/>
    <x v="0"/>
    <x v="683"/>
    <x v="0"/>
    <x v="30"/>
    <x v="5"/>
    <x v="3"/>
    <s v="Recycled Data-Pak for Archival Bound Computer Printouts, 12-1/2 x 12-1/2 x 16"/>
    <n v="237.1"/>
    <n v="3"/>
    <x v="0"/>
    <n v="20.75"/>
    <x v="0"/>
  </r>
  <r>
    <s v="US-2012-129007"/>
    <x v="840"/>
    <x v="4"/>
    <d v="2012-09-15T00:00:00"/>
    <x v="0"/>
    <x v="322"/>
    <x v="0"/>
    <x v="36"/>
    <x v="0"/>
    <x v="1"/>
    <s v="Flat Face Poster Frame"/>
    <n v="131.88"/>
    <n v="7"/>
    <x v="1"/>
    <n v="55.39"/>
    <x v="0"/>
  </r>
  <r>
    <s v="CA-2012-132388"/>
    <x v="522"/>
    <x v="8"/>
    <d v="2012-10-12T00:00:00"/>
    <x v="0"/>
    <x v="192"/>
    <x v="0"/>
    <x v="136"/>
    <x v="0"/>
    <x v="7"/>
    <s v="Global Leather &amp; Oak Executive Chair, Burgundy"/>
    <n v="362.14"/>
    <n v="3"/>
    <x v="0"/>
    <n v="-54.32"/>
    <x v="0"/>
  </r>
  <r>
    <s v="CA-2013-129630"/>
    <x v="841"/>
    <x v="4"/>
    <d v="2013-09-05T00:00:00"/>
    <x v="0"/>
    <x v="590"/>
    <x v="0"/>
    <x v="3"/>
    <x v="0"/>
    <x v="1"/>
    <s v="6&quot; Cubicle Wall Clock, Black"/>
    <n v="24.27"/>
    <n v="3"/>
    <x v="0"/>
    <n v="8.74"/>
    <x v="0"/>
  </r>
  <r>
    <s v="CA-2012-104948"/>
    <x v="14"/>
    <x v="7"/>
    <d v="2012-11-17T00:00:00"/>
    <x v="0"/>
    <x v="55"/>
    <x v="0"/>
    <x v="82"/>
    <x v="0"/>
    <x v="2"/>
    <s v="Universal Recycled Hanging Pressboard Report Binders, Letter Size"/>
    <n v="9.8699999999999992"/>
    <n v="2"/>
    <x v="0"/>
    <n v="3.46"/>
    <x v="0"/>
  </r>
  <r>
    <s v="CA-2013-164889"/>
    <x v="842"/>
    <x v="0"/>
    <d v="2013-06-07T00:00:00"/>
    <x v="0"/>
    <x v="194"/>
    <x v="0"/>
    <x v="0"/>
    <x v="0"/>
    <x v="5"/>
    <s v="Hon 61000 Series Interactive Training Tables"/>
    <n v="71.09"/>
    <n v="2"/>
    <x v="0"/>
    <n v="-1.78"/>
    <x v="0"/>
  </r>
  <r>
    <s v="CA-2014-164028"/>
    <x v="493"/>
    <x v="7"/>
    <d v="2014-12-01T00:00:00"/>
    <x v="0"/>
    <x v="93"/>
    <x v="0"/>
    <x v="3"/>
    <x v="0"/>
    <x v="6"/>
    <s v="Memorex Mini Travel Drive 16 GB USB 2.0 Flash Drive"/>
    <n v="223.58"/>
    <n v="14"/>
    <x v="1"/>
    <n v="87.2"/>
    <x v="0"/>
  </r>
  <r>
    <s v="CA-2011-143371"/>
    <x v="843"/>
    <x v="1"/>
    <d v="2012-01-03T00:00:00"/>
    <x v="0"/>
    <x v="684"/>
    <x v="0"/>
    <x v="36"/>
    <x v="0"/>
    <x v="3"/>
    <s v="Carina Mini System Audio Rack, Model AR050B"/>
    <n v="998.82"/>
    <n v="9"/>
    <x v="1"/>
    <n v="29.96"/>
    <x v="2"/>
  </r>
  <r>
    <s v="CA-2012-145415"/>
    <x v="844"/>
    <x v="10"/>
    <d v="2012-04-17T00:00:00"/>
    <x v="0"/>
    <x v="581"/>
    <x v="0"/>
    <x v="1"/>
    <x v="1"/>
    <x v="3"/>
    <s v="Rogers Jumbo File, Granite"/>
    <n v="40.74"/>
    <n v="3"/>
    <x v="0"/>
    <n v="0.41"/>
    <x v="0"/>
  </r>
  <r>
    <s v="CA-2012-141593"/>
    <x v="297"/>
    <x v="1"/>
    <d v="2012-12-16T00:00:00"/>
    <x v="0"/>
    <x v="407"/>
    <x v="0"/>
    <x v="0"/>
    <x v="0"/>
    <x v="2"/>
    <s v="Ibico Recycled Grain-Textured Covers"/>
    <n v="55.26"/>
    <n v="2"/>
    <x v="0"/>
    <n v="20.72"/>
    <x v="0"/>
  </r>
  <r>
    <s v="CA-2014-137421"/>
    <x v="388"/>
    <x v="8"/>
    <d v="2014-10-12T00:00:00"/>
    <x v="0"/>
    <x v="667"/>
    <x v="0"/>
    <x v="133"/>
    <x v="3"/>
    <x v="4"/>
    <s v="Avery Hi-Liter Smear-Safe Highlighters"/>
    <n v="9.34"/>
    <n v="2"/>
    <x v="0"/>
    <n v="1.87"/>
    <x v="0"/>
  </r>
  <r>
    <s v="US-2013-103674"/>
    <x v="158"/>
    <x v="1"/>
    <d v="2013-12-11T00:00:00"/>
    <x v="0"/>
    <x v="685"/>
    <x v="0"/>
    <x v="0"/>
    <x v="0"/>
    <x v="11"/>
    <s v="Avaya 5410 Digital phone"/>
    <n v="271.95999999999998"/>
    <n v="5"/>
    <x v="0"/>
    <n v="27.2"/>
    <x v="0"/>
  </r>
  <r>
    <s v="CA-2013-125794"/>
    <x v="230"/>
    <x v="4"/>
    <d v="2013-10-04T00:00:00"/>
    <x v="0"/>
    <x v="421"/>
    <x v="0"/>
    <x v="0"/>
    <x v="0"/>
    <x v="6"/>
    <s v="Memorex Mini Travel Drive 64 GB USB 2.0 Flash Drive"/>
    <n v="36.24"/>
    <n v="1"/>
    <x v="2"/>
    <n v="15.22"/>
    <x v="0"/>
  </r>
  <r>
    <s v="CA-2014-121258"/>
    <x v="165"/>
    <x v="11"/>
    <d v="2014-03-04T00:00:00"/>
    <x v="0"/>
    <x v="24"/>
    <x v="0"/>
    <x v="32"/>
    <x v="0"/>
    <x v="1"/>
    <s v="Tenex B1-RE Series Chair Mats for Low Pile Carpets"/>
    <n v="91.96"/>
    <n v="2"/>
    <x v="0"/>
    <n v="15.63"/>
    <x v="0"/>
  </r>
  <r>
    <s v="CA-2014-119914"/>
    <x v="179"/>
    <x v="2"/>
    <d v="2014-05-10T00:00:00"/>
    <x v="0"/>
    <x v="381"/>
    <x v="0"/>
    <x v="66"/>
    <x v="0"/>
    <x v="9"/>
    <s v="Acco 7-Outlet Masterpiece Power Center, Wihtout Fax/Phone Line Protection"/>
    <n v="243.16"/>
    <n v="2"/>
    <x v="0"/>
    <n v="72.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9C4D93-B9C3-49E0-A63D-980D47F9904F}" name="PivotTable1"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C16" firstHeaderRow="0" firstDataRow="1" firstDataCol="1"/>
  <pivotFields count="16">
    <pivotField dataField="1"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axis="axisRow" showAll="0">
      <items count="13">
        <item x="5"/>
        <item x="11"/>
        <item x="9"/>
        <item x="10"/>
        <item x="2"/>
        <item x="0"/>
        <item x="6"/>
        <item x="3"/>
        <item x="4"/>
        <item x="8"/>
        <item x="7"/>
        <item x="1"/>
        <item t="default"/>
      </items>
    </pivotField>
    <pivotField numFmtId="14" showAll="0"/>
    <pivotField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pivotField showAll="0"/>
    <pivotField dataField="1"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Count of Order ID" fld="0" subtotal="count" baseField="0" baseItem="0"/>
    <dataField name="Sum of Sales"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562845-F2C6-41A4-B991-A04CD46AA4BC}" name="PivotTable2"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9"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showAll="0"/>
    <pivotField numFmtId="14" showAll="0"/>
    <pivotField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axis="axisRow" showAll="0" measureFilter="1">
      <items count="12">
        <item x="3"/>
        <item x="0"/>
        <item x="5"/>
        <item x="9"/>
        <item x="8"/>
        <item x="7"/>
        <item x="6"/>
        <item x="4"/>
        <item x="2"/>
        <item x="1"/>
        <item x="10"/>
        <item t="default"/>
      </items>
    </pivotField>
    <pivotField showAll="0"/>
    <pivotField showAll="0"/>
    <pivotField dataField="1" showAll="0"/>
    <pivotField showAll="0"/>
    <pivotField showAll="0"/>
    <pivotField showAll="0"/>
    <pivotField showAll="0"/>
  </pivotFields>
  <rowFields count="1">
    <field x="8"/>
  </rowFields>
  <rowItems count="6">
    <i>
      <x/>
    </i>
    <i>
      <x v="1"/>
    </i>
    <i>
      <x v="2"/>
    </i>
    <i>
      <x v="5"/>
    </i>
    <i>
      <x v="9"/>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754A2E-A8C1-471B-8515-0C4AF7C8947E}" name="PivotTable3"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21"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showAll="0"/>
    <pivotField numFmtId="14" showAll="0"/>
    <pivotField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axis="axisRow" showAll="0">
      <items count="18">
        <item x="6"/>
        <item x="9"/>
        <item x="4"/>
        <item x="2"/>
        <item x="15"/>
        <item x="7"/>
        <item x="13"/>
        <item x="10"/>
        <item x="12"/>
        <item x="1"/>
        <item x="0"/>
        <item x="16"/>
        <item x="8"/>
        <item x="11"/>
        <item x="3"/>
        <item x="14"/>
        <item x="5"/>
        <item t="default"/>
      </items>
    </pivotField>
    <pivotField showAll="0"/>
    <pivotField dataField="1" showAll="0"/>
    <pivotField showAll="0"/>
    <pivotField showAll="0"/>
    <pivotField showAll="0"/>
    <pivotField showAll="0"/>
  </pivotFields>
  <rowFields count="1">
    <field x="9"/>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4BA418-7998-4D39-A49C-9DD11C92D467}" name="PivotTable4"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6" firstHeaderRow="1" firstDataRow="1" firstDataCol="1"/>
  <pivotFields count="16">
    <pivotField dataField="1"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showAll="0"/>
    <pivotField numFmtId="14" showAll="0"/>
    <pivotField axis="axisRow" showAll="0">
      <items count="3">
        <item x="1"/>
        <item x="0"/>
        <item t="default"/>
      </items>
    </pivotField>
    <pivotField showAll="0"/>
    <pivotField showAll="0">
      <items count="2">
        <item x="0"/>
        <item t="default"/>
      </items>
    </pivotField>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Ord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872EF1-27D6-4027-9A11-60CD72F9FF0F}" name="PivotTable5"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16">
    <pivotField dataField="1"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showAll="0"/>
    <pivotField numFmtId="14" showAll="0"/>
    <pivotField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s>
  <rowFields count="1">
    <field x="15"/>
  </rowFields>
  <rowItems count="4">
    <i>
      <x/>
    </i>
    <i>
      <x v="1"/>
    </i>
    <i>
      <x v="2"/>
    </i>
    <i t="grand">
      <x/>
    </i>
  </rowItems>
  <colItems count="1">
    <i/>
  </colItems>
  <dataFields count="1">
    <dataField name="Count of Ord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E92E28-F951-413B-86E8-8C924BF659C8}" name="PivotTable6"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7" firstHeaderRow="1" firstDataRow="1" firstDataCol="1"/>
  <pivotFields count="16">
    <pivotField dataField="1"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showAll="0"/>
    <pivotField numFmtId="14" showAll="0"/>
    <pivotField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pivotField showAll="0"/>
    <pivotField showAll="0"/>
    <pivotField showAll="0"/>
    <pivotField axis="axisRow" showAll="0">
      <items count="4">
        <item x="1"/>
        <item x="0"/>
        <item x="2"/>
        <item t="default"/>
      </items>
    </pivotField>
    <pivotField showAll="0"/>
    <pivotField showAll="0"/>
  </pivotFields>
  <rowFields count="1">
    <field x="13"/>
  </rowFields>
  <rowItems count="4">
    <i>
      <x/>
    </i>
    <i>
      <x v="1"/>
    </i>
    <i>
      <x v="2"/>
    </i>
    <i t="grand">
      <x/>
    </i>
  </rowItems>
  <colItems count="1">
    <i/>
  </colItems>
  <dataFields count="1">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3" count="1" selected="0">
            <x v="0"/>
          </reference>
        </references>
      </pivotArea>
    </chartFormat>
    <chartFormat chart="4" format="8">
      <pivotArea type="data" outline="0" fieldPosition="0">
        <references count="2">
          <reference field="4294967294" count="1" selected="0">
            <x v="0"/>
          </reference>
          <reference field="13" count="1" selected="0">
            <x v="1"/>
          </reference>
        </references>
      </pivotArea>
    </chartFormat>
    <chartFormat chart="4" format="9">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D49BD4-00FF-4738-93B9-5BD9FCBB8C9C}" name="PivotTable7" cacheId="3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4"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showAll="0"/>
    <pivotField numFmtId="14" showAll="0"/>
    <pivotField showAll="0"/>
    <pivotField axis="axisRow" showAll="0" measureFilter="1">
      <items count="687">
        <item x="489"/>
        <item x="517"/>
        <item x="371"/>
        <item x="493"/>
        <item x="244"/>
        <item x="658"/>
        <item x="183"/>
        <item x="270"/>
        <item x="235"/>
        <item x="95"/>
        <item x="70"/>
        <item x="37"/>
        <item x="330"/>
        <item x="280"/>
        <item x="337"/>
        <item x="3"/>
        <item x="52"/>
        <item x="326"/>
        <item x="170"/>
        <item x="451"/>
        <item x="299"/>
        <item x="73"/>
        <item x="559"/>
        <item x="292"/>
        <item x="47"/>
        <item x="157"/>
        <item x="431"/>
        <item x="536"/>
        <item x="442"/>
        <item x="105"/>
        <item x="518"/>
        <item x="366"/>
        <item x="446"/>
        <item x="178"/>
        <item x="560"/>
        <item x="456"/>
        <item x="455"/>
        <item x="567"/>
        <item x="454"/>
        <item x="315"/>
        <item x="685"/>
        <item x="88"/>
        <item x="574"/>
        <item x="516"/>
        <item x="336"/>
        <item x="564"/>
        <item x="94"/>
        <item x="268"/>
        <item x="496"/>
        <item x="532"/>
        <item x="51"/>
        <item x="154"/>
        <item x="491"/>
        <item x="667"/>
        <item x="418"/>
        <item x="39"/>
        <item x="287"/>
        <item x="511"/>
        <item x="660"/>
        <item x="453"/>
        <item x="580"/>
        <item x="296"/>
        <item x="599"/>
        <item x="538"/>
        <item x="161"/>
        <item x="43"/>
        <item x="294"/>
        <item x="372"/>
        <item x="246"/>
        <item x="477"/>
        <item x="258"/>
        <item x="355"/>
        <item x="541"/>
        <item x="184"/>
        <item x="75"/>
        <item x="307"/>
        <item x="325"/>
        <item x="636"/>
        <item x="468"/>
        <item x="319"/>
        <item x="675"/>
        <item x="283"/>
        <item x="594"/>
        <item x="499"/>
        <item x="69"/>
        <item x="159"/>
        <item x="573"/>
        <item x="647"/>
        <item x="591"/>
        <item x="9"/>
        <item x="486"/>
        <item x="142"/>
        <item x="389"/>
        <item x="547"/>
        <item x="589"/>
        <item x="166"/>
        <item x="1"/>
        <item x="466"/>
        <item x="436"/>
        <item x="31"/>
        <item x="652"/>
        <item x="598"/>
        <item x="318"/>
        <item x="510"/>
        <item x="376"/>
        <item x="398"/>
        <item x="261"/>
        <item x="110"/>
        <item x="628"/>
        <item x="342"/>
        <item x="621"/>
        <item x="248"/>
        <item x="335"/>
        <item x="57"/>
        <item x="514"/>
        <item x="673"/>
        <item x="400"/>
        <item x="561"/>
        <item x="375"/>
        <item x="608"/>
        <item x="28"/>
        <item x="84"/>
        <item x="413"/>
        <item x="545"/>
        <item x="392"/>
        <item x="529"/>
        <item x="381"/>
        <item x="653"/>
        <item x="447"/>
        <item x="181"/>
        <item x="220"/>
        <item x="303"/>
        <item x="484"/>
        <item x="98"/>
        <item x="194"/>
        <item x="475"/>
        <item x="425"/>
        <item x="669"/>
        <item x="210"/>
        <item x="614"/>
        <item x="167"/>
        <item x="118"/>
        <item x="494"/>
        <item x="350"/>
        <item x="226"/>
        <item x="49"/>
        <item x="107"/>
        <item x="571"/>
        <item x="267"/>
        <item x="635"/>
        <item x="470"/>
        <item x="195"/>
        <item x="252"/>
        <item x="490"/>
        <item x="677"/>
        <item x="147"/>
        <item x="120"/>
        <item x="126"/>
        <item x="228"/>
        <item x="130"/>
        <item x="186"/>
        <item x="682"/>
        <item x="370"/>
        <item x="640"/>
        <item x="604"/>
        <item x="128"/>
        <item x="646"/>
        <item x="401"/>
        <item x="407"/>
        <item x="506"/>
        <item x="233"/>
        <item x="352"/>
        <item x="100"/>
        <item x="0"/>
        <item x="24"/>
        <item x="539"/>
        <item x="15"/>
        <item x="117"/>
        <item x="34"/>
        <item x="339"/>
        <item x="467"/>
        <item x="444"/>
        <item x="526"/>
        <item x="76"/>
        <item x="345"/>
        <item x="472"/>
        <item x="205"/>
        <item x="230"/>
        <item x="627"/>
        <item x="513"/>
        <item x="349"/>
        <item x="523"/>
        <item x="633"/>
        <item x="304"/>
        <item x="397"/>
        <item x="471"/>
        <item x="410"/>
        <item x="85"/>
        <item x="275"/>
        <item x="152"/>
        <item x="354"/>
        <item x="146"/>
        <item x="616"/>
        <item x="537"/>
        <item x="97"/>
        <item x="46"/>
        <item x="284"/>
        <item x="546"/>
        <item x="666"/>
        <item x="527"/>
        <item x="10"/>
        <item x="262"/>
        <item x="416"/>
        <item x="208"/>
        <item x="482"/>
        <item x="435"/>
        <item x="308"/>
        <item x="596"/>
        <item x="81"/>
        <item x="346"/>
        <item x="5"/>
        <item x="231"/>
        <item x="358"/>
        <item x="224"/>
        <item x="6"/>
        <item x="595"/>
        <item x="169"/>
        <item x="301"/>
        <item x="144"/>
        <item x="109"/>
        <item x="530"/>
        <item x="582"/>
        <item x="74"/>
        <item x="116"/>
        <item x="509"/>
        <item x="422"/>
        <item x="364"/>
        <item x="512"/>
        <item x="680"/>
        <item x="242"/>
        <item x="44"/>
        <item x="579"/>
        <item x="173"/>
        <item x="241"/>
        <item x="29"/>
        <item x="656"/>
        <item x="80"/>
        <item x="505"/>
        <item x="340"/>
        <item x="218"/>
        <item x="90"/>
        <item x="678"/>
        <item x="377"/>
        <item x="203"/>
        <item x="112"/>
        <item x="101"/>
        <item x="259"/>
        <item x="344"/>
        <item x="155"/>
        <item x="613"/>
        <item x="458"/>
        <item x="552"/>
        <item x="240"/>
        <item x="45"/>
        <item x="153"/>
        <item x="162"/>
        <item x="317"/>
        <item x="361"/>
        <item x="348"/>
        <item x="404"/>
        <item x="140"/>
        <item x="175"/>
        <item x="158"/>
        <item x="313"/>
        <item x="434"/>
        <item x="279"/>
        <item x="469"/>
        <item x="20"/>
        <item x="111"/>
        <item x="172"/>
        <item x="601"/>
        <item x="343"/>
        <item x="219"/>
        <item x="588"/>
        <item x="590"/>
        <item x="2"/>
        <item x="206"/>
        <item x="277"/>
        <item x="53"/>
        <item x="379"/>
        <item x="427"/>
        <item x="216"/>
        <item x="503"/>
        <item x="176"/>
        <item x="229"/>
        <item x="196"/>
        <item x="617"/>
        <item x="457"/>
        <item x="554"/>
        <item x="40"/>
        <item x="328"/>
        <item x="568"/>
        <item x="663"/>
        <item x="72"/>
        <item x="419"/>
        <item x="96"/>
        <item x="215"/>
        <item x="189"/>
        <item x="570"/>
        <item x="528"/>
        <item x="141"/>
        <item x="409"/>
        <item x="207"/>
        <item x="79"/>
        <item x="664"/>
        <item x="64"/>
        <item x="198"/>
        <item x="211"/>
        <item x="429"/>
        <item x="500"/>
        <item x="119"/>
        <item x="481"/>
        <item x="293"/>
        <item x="405"/>
        <item x="327"/>
        <item x="180"/>
        <item x="11"/>
        <item x="254"/>
        <item x="548"/>
        <item x="60"/>
        <item x="638"/>
        <item x="542"/>
        <item x="520"/>
        <item x="93"/>
        <item x="125"/>
        <item x="323"/>
        <item x="138"/>
        <item x="415"/>
        <item x="33"/>
        <item x="626"/>
        <item x="232"/>
        <item x="127"/>
        <item x="62"/>
        <item x="534"/>
        <item x="487"/>
        <item x="679"/>
        <item x="414"/>
        <item x="50"/>
        <item x="462"/>
        <item x="543"/>
        <item x="165"/>
        <item x="289"/>
        <item x="540"/>
        <item x="544"/>
        <item x="378"/>
        <item x="168"/>
        <item x="288"/>
        <item x="562"/>
        <item x="662"/>
        <item x="71"/>
        <item x="123"/>
        <item x="637"/>
        <item x="276"/>
        <item x="485"/>
        <item x="649"/>
        <item x="615"/>
        <item x="13"/>
        <item x="302"/>
        <item x="192"/>
        <item x="373"/>
        <item x="430"/>
        <item x="347"/>
        <item x="177"/>
        <item x="269"/>
        <item x="550"/>
        <item x="55"/>
        <item x="263"/>
        <item x="36"/>
        <item x="42"/>
        <item x="671"/>
        <item x="440"/>
        <item x="668"/>
        <item x="322"/>
        <item x="359"/>
        <item x="48"/>
        <item x="566"/>
        <item x="56"/>
        <item x="38"/>
        <item x="297"/>
        <item x="8"/>
        <item x="274"/>
        <item x="525"/>
        <item x="156"/>
        <item x="298"/>
        <item x="618"/>
        <item x="32"/>
        <item x="255"/>
        <item x="237"/>
        <item x="14"/>
        <item x="18"/>
        <item x="473"/>
        <item x="87"/>
        <item x="310"/>
        <item x="160"/>
        <item x="657"/>
        <item x="17"/>
        <item x="129"/>
        <item x="174"/>
        <item x="363"/>
        <item x="556"/>
        <item x="390"/>
        <item x="78"/>
        <item x="460"/>
        <item x="108"/>
        <item x="576"/>
        <item x="89"/>
        <item x="35"/>
        <item x="321"/>
        <item x="394"/>
        <item x="504"/>
        <item x="257"/>
        <item x="515"/>
        <item x="549"/>
        <item x="645"/>
        <item x="260"/>
        <item x="524"/>
        <item x="191"/>
        <item x="648"/>
        <item x="290"/>
        <item x="684"/>
        <item x="266"/>
        <item x="68"/>
        <item x="213"/>
        <item x="421"/>
        <item x="634"/>
        <item x="650"/>
        <item x="654"/>
        <item x="450"/>
        <item x="30"/>
        <item x="341"/>
        <item x="672"/>
        <item x="555"/>
        <item x="238"/>
        <item x="311"/>
        <item x="521"/>
        <item x="282"/>
        <item x="368"/>
        <item x="391"/>
        <item x="412"/>
        <item x="630"/>
        <item x="145"/>
        <item x="91"/>
        <item x="27"/>
        <item x="256"/>
        <item x="374"/>
        <item x="102"/>
        <item x="139"/>
        <item x="135"/>
        <item x="104"/>
        <item x="200"/>
        <item x="324"/>
        <item x="426"/>
        <item x="187"/>
        <item x="439"/>
        <item x="245"/>
        <item x="351"/>
        <item x="309"/>
        <item x="222"/>
        <item x="66"/>
        <item x="498"/>
        <item x="362"/>
        <item x="463"/>
        <item x="305"/>
        <item x="193"/>
        <item x="204"/>
        <item x="584"/>
        <item x="569"/>
        <item x="386"/>
        <item x="479"/>
        <item x="522"/>
        <item x="441"/>
        <item x="641"/>
        <item x="332"/>
        <item x="148"/>
        <item x="353"/>
        <item x="217"/>
        <item x="565"/>
        <item x="480"/>
        <item x="605"/>
        <item x="661"/>
        <item x="655"/>
        <item x="23"/>
        <item x="281"/>
        <item x="151"/>
        <item x="437"/>
        <item x="478"/>
        <item x="106"/>
        <item x="443"/>
        <item x="199"/>
        <item x="243"/>
        <item x="149"/>
        <item x="577"/>
        <item x="592"/>
        <item x="253"/>
        <item x="163"/>
        <item x="388"/>
        <item x="77"/>
        <item x="121"/>
        <item x="225"/>
        <item x="501"/>
        <item x="278"/>
        <item x="115"/>
        <item x="535"/>
        <item x="578"/>
        <item x="402"/>
        <item x="387"/>
        <item x="247"/>
        <item x="209"/>
        <item x="424"/>
        <item x="533"/>
        <item x="622"/>
        <item x="150"/>
        <item x="197"/>
        <item x="114"/>
        <item x="631"/>
        <item x="384"/>
        <item x="651"/>
        <item x="331"/>
        <item x="420"/>
        <item x="58"/>
        <item x="137"/>
        <item x="365"/>
        <item x="395"/>
        <item x="164"/>
        <item x="314"/>
        <item x="122"/>
        <item x="406"/>
        <item x="320"/>
        <item x="558"/>
        <item x="609"/>
        <item x="234"/>
        <item x="644"/>
        <item x="295"/>
        <item x="474"/>
        <item x="507"/>
        <item x="92"/>
        <item x="212"/>
        <item x="250"/>
        <item x="285"/>
        <item x="185"/>
        <item x="461"/>
        <item x="385"/>
        <item x="611"/>
        <item x="124"/>
        <item x="223"/>
        <item x="581"/>
        <item x="465"/>
        <item x="553"/>
        <item x="12"/>
        <item x="583"/>
        <item x="133"/>
        <item x="411"/>
        <item x="572"/>
        <item x="312"/>
        <item x="99"/>
        <item x="171"/>
        <item x="531"/>
        <item x="519"/>
        <item x="7"/>
        <item x="26"/>
        <item x="113"/>
        <item x="600"/>
        <item x="134"/>
        <item x="367"/>
        <item x="19"/>
        <item x="606"/>
        <item x="179"/>
        <item x="492"/>
        <item x="674"/>
        <item x="271"/>
        <item x="61"/>
        <item x="338"/>
        <item x="380"/>
        <item x="563"/>
        <item x="629"/>
        <item x="612"/>
        <item x="639"/>
        <item x="82"/>
        <item x="383"/>
        <item x="593"/>
        <item x="272"/>
        <item x="300"/>
        <item x="357"/>
        <item x="586"/>
        <item x="610"/>
        <item x="632"/>
        <item x="603"/>
        <item x="642"/>
        <item x="316"/>
        <item x="619"/>
        <item x="495"/>
        <item x="369"/>
        <item x="188"/>
        <item x="502"/>
        <item x="483"/>
        <item x="587"/>
        <item x="399"/>
        <item x="448"/>
        <item x="143"/>
        <item x="623"/>
        <item x="67"/>
        <item x="607"/>
        <item x="236"/>
        <item x="597"/>
        <item x="22"/>
        <item x="665"/>
        <item x="551"/>
        <item x="428"/>
        <item x="227"/>
        <item x="438"/>
        <item x="620"/>
        <item x="249"/>
        <item x="334"/>
        <item x="356"/>
        <item x="625"/>
        <item x="239"/>
        <item x="683"/>
        <item x="59"/>
        <item x="449"/>
        <item x="423"/>
        <item x="557"/>
        <item x="643"/>
        <item x="575"/>
        <item x="264"/>
        <item x="131"/>
        <item x="306"/>
        <item x="21"/>
        <item x="63"/>
        <item x="25"/>
        <item x="190"/>
        <item x="221"/>
        <item x="676"/>
        <item x="476"/>
        <item x="602"/>
        <item x="382"/>
        <item x="360"/>
        <item x="445"/>
        <item x="396"/>
        <item x="329"/>
        <item x="659"/>
        <item x="333"/>
        <item x="286"/>
        <item x="265"/>
        <item x="432"/>
        <item x="417"/>
        <item x="201"/>
        <item x="291"/>
        <item x="464"/>
        <item x="497"/>
        <item x="393"/>
        <item x="508"/>
        <item x="403"/>
        <item x="41"/>
        <item x="488"/>
        <item x="433"/>
        <item x="132"/>
        <item x="681"/>
        <item x="16"/>
        <item x="452"/>
        <item x="83"/>
        <item x="624"/>
        <item x="182"/>
        <item x="251"/>
        <item x="408"/>
        <item x="54"/>
        <item x="585"/>
        <item x="202"/>
        <item x="136"/>
        <item x="459"/>
        <item x="670"/>
        <item x="273"/>
        <item x="65"/>
        <item x="214"/>
        <item x="103"/>
        <item x="86"/>
        <item x="4"/>
        <item t="default"/>
      </items>
    </pivotField>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pivotField showAll="0"/>
    <pivotField showAll="0"/>
    <pivotField dataField="1" showAll="0"/>
    <pivotField showAll="0"/>
    <pivotField showAll="0"/>
    <pivotField showAll="0"/>
    <pivotField showAll="0"/>
  </pivotFields>
  <rowFields count="1">
    <field x="5"/>
  </rowFields>
  <rowItems count="11">
    <i>
      <x v="10"/>
    </i>
    <i>
      <x v="218"/>
    </i>
    <i>
      <x v="263"/>
    </i>
    <i>
      <x v="272"/>
    </i>
    <i>
      <x v="427"/>
    </i>
    <i>
      <x v="430"/>
    </i>
    <i>
      <x v="452"/>
    </i>
    <i>
      <x v="525"/>
    </i>
    <i>
      <x v="556"/>
    </i>
    <i>
      <x v="682"/>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F02D7E-7716-48EC-9362-823C27C39843}" autoFormatId="16" applyNumberFormats="0" applyBorderFormats="0" applyFontFormats="0" applyPatternFormats="0" applyAlignmentFormats="0" applyWidthHeightFormats="0">
  <queryTableRefresh nextId="17" unboundColumnsRight="1">
    <queryTableFields count="16">
      <queryTableField id="1" name="Order ID" tableColumnId="1"/>
      <queryTableField id="2" name="Order Date" tableColumnId="2"/>
      <queryTableField id="13" dataBound="0" tableColumnId="14"/>
      <queryTableField id="3" name="Ship Date" tableColumnId="3"/>
      <queryTableField id="14" dataBound="0" tableColumnId="15"/>
      <queryTableField id="4" name="Customer Name" tableColumnId="4"/>
      <queryTableField id="5" name="Country" tableColumnId="5"/>
      <queryTableField id="6" name="City" tableColumnId="6"/>
      <queryTableField id="7" name="State" tableColumnId="7"/>
      <queryTableField id="8" name="Category" tableColumnId="8"/>
      <queryTableField id="9" name="Product Name" tableColumnId="9"/>
      <queryTableField id="10" name="Sales" tableColumnId="10"/>
      <queryTableField id="11" name="Quantity" tableColumnId="11"/>
      <queryTableField id="16" dataBound="0" tableColumnId="17"/>
      <queryTableField id="12" name="Profit" tableColumnId="12"/>
      <queryTableField id="15"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8D0B482-8847-47B5-A717-1E0E3AE519F6}" sourceName="City">
  <pivotTables>
    <pivotTable tabId="33" name="PivotTable7"/>
    <pivotTable tabId="26" name="PivotTable1"/>
    <pivotTable tabId="28" name="PivotTable2"/>
    <pivotTable tabId="29" name="PivotTable3"/>
    <pivotTable tabId="30" name="PivotTable4"/>
    <pivotTable tabId="31" name="PivotTable5"/>
    <pivotTable tabId="32" name="PivotTable6"/>
  </pivotTables>
  <data>
    <tabular pivotCacheId="1129743104">
      <items count="169">
        <i x="95" s="1"/>
        <i x="36" s="1"/>
        <i x="56" s="1"/>
        <i x="109" s="1"/>
        <i x="22" s="1"/>
        <i x="74" s="1"/>
        <i x="7" s="1"/>
        <i x="127" s="1"/>
        <i x="104" s="1"/>
        <i x="71" s="1"/>
        <i x="99" s="1"/>
        <i x="106" s="1"/>
        <i x="120" s="1"/>
        <i x="83" s="1"/>
        <i x="19" s="1"/>
        <i x="81" s="1"/>
        <i x="122" s="1"/>
        <i x="158" s="1"/>
        <i x="144" s="1"/>
        <i x="156" s="1"/>
        <i x="13" s="1"/>
        <i x="133" s="1"/>
        <i x="143" s="1"/>
        <i x="142" s="1"/>
        <i x="116" s="1"/>
        <i x="121" s="1"/>
        <i x="135" s="1"/>
        <i x="97" s="1"/>
        <i x="21" s="1"/>
        <i x="151" s="1"/>
        <i x="31" s="1"/>
        <i x="32" s="1"/>
        <i x="119" s="1"/>
        <i x="125" s="1"/>
        <i x="161" s="1"/>
        <i x="15" s="1"/>
        <i x="27" s="1"/>
        <i x="137" s="1"/>
        <i x="166" s="1"/>
        <i x="45" s="1"/>
        <i x="155" s="1"/>
        <i x="55" s="1"/>
        <i x="100" s="1"/>
        <i x="58" s="1"/>
        <i x="148" s="1"/>
        <i x="153" s="1"/>
        <i x="61" s="1"/>
        <i x="48" s="1"/>
        <i x="92" s="1"/>
        <i x="59" s="1"/>
        <i x="5" s="1"/>
        <i x="65" s="1"/>
        <i x="34" s="1"/>
        <i x="163" s="1"/>
        <i x="107" s="1"/>
        <i x="134" s="1"/>
        <i x="76" s="1"/>
        <i x="24" s="1"/>
        <i x="157" s="1"/>
        <i x="29" s="1"/>
        <i x="20" s="1"/>
        <i x="72" s="1"/>
        <i x="138" s="1"/>
        <i x="98" s="1"/>
        <i x="70" s="1"/>
        <i x="44" s="1"/>
        <i x="140" s="1"/>
        <i x="118" s="1"/>
        <i x="43" s="1"/>
        <i x="101" s="1"/>
        <i x="28" s="1"/>
        <i x="25" s="1"/>
        <i x="130" s="1"/>
        <i x="124" s="1"/>
        <i x="91" s="1"/>
        <i x="168" s="1"/>
        <i x="126" s="1"/>
        <i x="23" s="1"/>
        <i x="160" s="1"/>
        <i x="147" s="1"/>
        <i x="0" s="1"/>
        <i x="30" s="1"/>
        <i x="132" s="1"/>
        <i x="89" s="1"/>
        <i x="37" s="1"/>
        <i x="78" s="1"/>
        <i x="108" s="1"/>
        <i x="35" s="1"/>
        <i x="40" s="1"/>
        <i x="79" s="1"/>
        <i x="159" s="1"/>
        <i x="154" s="1"/>
        <i x="131" s="1"/>
        <i x="162" s="1"/>
        <i x="103" s="1"/>
        <i x="52" s="1"/>
        <i x="68" s="1"/>
        <i x="54" s="1"/>
        <i x="51" s="1"/>
        <i x="53" s="1"/>
        <i x="85" s="1"/>
        <i x="4" s="1"/>
        <i x="149" s="1"/>
        <i x="33" s="1"/>
        <i x="10" s="1"/>
        <i x="129" s="1"/>
        <i x="84" s="1"/>
        <i x="8" s="1"/>
        <i x="62" s="1"/>
        <i x="64" s="1"/>
        <i x="139" s="1"/>
        <i x="67" s="1"/>
        <i x="6" s="1"/>
        <i x="63" s="1"/>
        <i x="60" s="1"/>
        <i x="86" s="1"/>
        <i x="141" s="1"/>
        <i x="14" s="1"/>
        <i x="75" s="1"/>
        <i x="105" s="1"/>
        <i x="145" s="1"/>
        <i x="57" s="1"/>
        <i x="150" s="1"/>
        <i x="152" s="1"/>
        <i x="49" s="1"/>
        <i x="9" s="1"/>
        <i x="93" s="1"/>
        <i x="38" s="1"/>
        <i x="47" s="1"/>
        <i x="90" s="1"/>
        <i x="82" s="1"/>
        <i x="165" s="1"/>
        <i x="18" s="1"/>
        <i x="3" s="1"/>
        <i x="123" s="1"/>
        <i x="12" s="1"/>
        <i x="167" s="1"/>
        <i x="111" s="1"/>
        <i x="46" s="1"/>
        <i x="136" s="1"/>
        <i x="17" s="1"/>
        <i x="115" s="1"/>
        <i x="146" s="1"/>
        <i x="11" s="1"/>
        <i x="1" s="1"/>
        <i x="41" s="1"/>
        <i x="96" s="1"/>
        <i x="77" s="1"/>
        <i x="80" s="1"/>
        <i x="87" s="1"/>
        <i x="88" s="1"/>
        <i x="113" s="1"/>
        <i x="69" s="1"/>
        <i x="117" s="1"/>
        <i x="94" s="1"/>
        <i x="73" s="1"/>
        <i x="50" s="1"/>
        <i x="26" s="1"/>
        <i x="164" s="1"/>
        <i x="102" s="1"/>
        <i x="39" s="1"/>
        <i x="42" s="1"/>
        <i x="112" s="1"/>
        <i x="2" s="1"/>
        <i x="66" s="1"/>
        <i x="16" s="1"/>
        <i x="110" s="1"/>
        <i x="114" s="1"/>
        <i x="12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FAD7B2E-7C7B-4A91-833B-CF4E8046C797}" cache="Slicer_City" caption="Cit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09839-B98F-4A55-9C98-3D97D5F0B322}" name="Walmart" displayName="Walmart" ref="A1:P1612" tableType="queryTable" totalsRowShown="0">
  <autoFilter ref="A1:P1612" xr:uid="{47B09839-B98F-4A55-9C98-3D97D5F0B322}">
    <filterColumn colId="1">
      <filters>
        <dateGroupItem year="2014" dateTimeGrouping="year"/>
      </filters>
    </filterColumn>
  </autoFilter>
  <sortState xmlns:xlrd2="http://schemas.microsoft.com/office/spreadsheetml/2017/richdata2" ref="A14:P1612">
    <sortCondition descending="1" ref="B1:B1612"/>
  </sortState>
  <tableColumns count="16">
    <tableColumn id="1" xr3:uid="{7E283786-5F24-4701-B4F4-0106A12846C9}" uniqueName="1" name="Order ID" queryTableFieldId="1" dataDxfId="12"/>
    <tableColumn id="2" xr3:uid="{1162CF2A-C588-493A-9BAC-2C40F1B1FC83}" uniqueName="2" name="Order Date" queryTableFieldId="2" dataDxfId="3"/>
    <tableColumn id="14" xr3:uid="{9B4F45DA-077C-47AB-9FEA-54CACFBEC844}" uniqueName="14" name="Month" queryTableFieldId="13" dataDxfId="2">
      <calculatedColumnFormula>TEXT(Walmart[[#This Row],[Order Date]],"mmmm")</calculatedColumnFormula>
    </tableColumn>
    <tableColumn id="3" xr3:uid="{8894A71F-E0CD-4416-A2BB-A970F8A6E837}" uniqueName="3" name="Ship Date" queryTableFieldId="3" dataDxfId="1"/>
    <tableColumn id="15" xr3:uid="{4CEF82D9-293C-41AD-94A5-BCF2A7E1D52C}" uniqueName="15" name="Delivery Status" queryTableFieldId="14" dataDxfId="0">
      <calculatedColumnFormula>IF(DATEDIF(Walmart[[#This Row],[Order Date]],Walmart[[#This Row],[Ship Date]],"D")&lt;7,"On time","Delayed")</calculatedColumnFormula>
    </tableColumn>
    <tableColumn id="4" xr3:uid="{C40C7889-1423-488F-839B-E0720401DA1A}" uniqueName="4" name="Customer Name" queryTableFieldId="4" dataDxfId="11"/>
    <tableColumn id="5" xr3:uid="{D106BEA7-C4E7-42CE-8778-33933CD965BB}" uniqueName="5" name="Country" queryTableFieldId="5" dataDxfId="10"/>
    <tableColumn id="6" xr3:uid="{A4815072-40FD-4DEA-8072-0D22A125EA4E}" uniqueName="6" name="City" queryTableFieldId="6" dataDxfId="9"/>
    <tableColumn id="7" xr3:uid="{99550185-D1C6-4567-8714-37A97533A57F}" uniqueName="7" name="State" queryTableFieldId="7" dataDxfId="8"/>
    <tableColumn id="8" xr3:uid="{F0B809F7-A785-400B-AA76-FA5D965D0959}" uniqueName="8" name="Category" queryTableFieldId="8" dataDxfId="7"/>
    <tableColumn id="9" xr3:uid="{AF6F490A-853E-457D-A7E6-260E67B66A95}" uniqueName="9" name="Product Name" queryTableFieldId="9" dataDxfId="6"/>
    <tableColumn id="10" xr3:uid="{245CAD30-D133-478E-878C-2BC7E9B497F1}" uniqueName="10" name="Sales" queryTableFieldId="10"/>
    <tableColumn id="11" xr3:uid="{B438161D-9D14-4601-8913-04473A73CBA3}" uniqueName="11" name="Quantity" queryTableFieldId="11"/>
    <tableColumn id="17" xr3:uid="{C47D397A-B271-4140-8C96-71397910A71C}" uniqueName="17" name="Order Type " queryTableFieldId="16" dataDxfId="5">
      <calculatedColumnFormula>IF(Walmart[[#This Row],[Quantity]]&gt;=7,"Bulk",IF(Walmart[[#This Row],[Quantity]]&gt;=2,"Multi","Single"))</calculatedColumnFormula>
    </tableColumn>
    <tableColumn id="12" xr3:uid="{284860A6-3F6F-4E07-8884-B14E7D9CF05A}" uniqueName="12" name="Profit" queryTableFieldId="12"/>
    <tableColumn id="16" xr3:uid="{A26D5C92-2D1F-42D5-A387-B482E0CB1BC6}" uniqueName="16" name="Sales Value" queryTableFieldId="15" dataDxfId="4">
      <calculatedColumnFormula>IF(Walmart[[#This Row],[Sales]]&gt;=1000,"High Value", IF(Walmart[[#This Row],[Sales]]&gt;=500,"Medium Value","Low Value"))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1D35D75-0474-4577-BECE-6B5AEE7AD5AD}" sourceName="Order Date">
  <pivotTables>
    <pivotTable tabId="26" name="PivotTable1"/>
    <pivotTable tabId="28" name="PivotTable2"/>
    <pivotTable tabId="29" name="PivotTable3"/>
    <pivotTable tabId="30" name="PivotTable4"/>
    <pivotTable tabId="31" name="PivotTable5"/>
    <pivotTable tabId="32" name="PivotTable6"/>
    <pivotTable tabId="33" name="PivotTable7"/>
  </pivotTables>
  <state minimalRefreshVersion="6" lastRefreshVersion="6" pivotCacheId="1129743104"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7A2E748-747F-4072-8B51-21F83FC15907}" cache="NativeTimeline_Order_Date" caption="Order Date" level="0" selectionLevel="0" scrollPosition="2011-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C970F3F-73D7-4F94-9F51-E6043F3BF6F6}">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A7E39-B9E3-4F33-9249-052736F9DC67}">
  <dimension ref="A1:W27"/>
  <sheetViews>
    <sheetView zoomScale="96" workbookViewId="0">
      <selection activeCell="D18" sqref="D18"/>
    </sheetView>
  </sheetViews>
  <sheetFormatPr defaultRowHeight="14.4" x14ac:dyDescent="0.3"/>
  <sheetData>
    <row r="1" spans="1:23" ht="23.4" x14ac:dyDescent="0.45">
      <c r="A1" s="5" t="s">
        <v>3573</v>
      </c>
      <c r="B1" s="5"/>
      <c r="C1" s="5"/>
      <c r="D1" s="5"/>
      <c r="E1" s="5"/>
      <c r="F1" s="5"/>
      <c r="G1" s="5"/>
      <c r="H1" s="5"/>
      <c r="I1" s="5"/>
      <c r="J1" s="5"/>
      <c r="K1" s="5"/>
      <c r="L1" s="5"/>
      <c r="M1" s="5"/>
      <c r="N1" s="5"/>
      <c r="O1" s="5"/>
      <c r="P1" s="5"/>
      <c r="Q1" s="5"/>
      <c r="R1" s="5"/>
      <c r="S1" s="5"/>
      <c r="T1" s="5"/>
      <c r="U1" s="5"/>
      <c r="V1" s="5"/>
      <c r="W1" s="5"/>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sheetData>
  <mergeCells count="1">
    <mergeCell ref="A1:W1"/>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928BF-940C-45B6-9E56-03C400A32DCD}">
  <dimension ref="A3:C16"/>
  <sheetViews>
    <sheetView workbookViewId="0">
      <selection activeCell="A3" sqref="A3"/>
    </sheetView>
  </sheetViews>
  <sheetFormatPr defaultRowHeight="14.4" x14ac:dyDescent="0.3"/>
  <cols>
    <col min="1" max="1" width="12.44140625" bestFit="1" customWidth="1"/>
    <col min="2" max="2" width="15.109375" bestFit="1" customWidth="1"/>
    <col min="3" max="3" width="11.5546875" bestFit="1" customWidth="1"/>
  </cols>
  <sheetData>
    <row r="3" spans="1:3" x14ac:dyDescent="0.3">
      <c r="A3" s="2" t="s">
        <v>3556</v>
      </c>
      <c r="B3" t="s">
        <v>3554</v>
      </c>
      <c r="C3" t="s">
        <v>3555</v>
      </c>
    </row>
    <row r="4" spans="1:3" x14ac:dyDescent="0.3">
      <c r="A4" s="3" t="s">
        <v>3557</v>
      </c>
      <c r="B4" s="6">
        <v>58</v>
      </c>
      <c r="C4" s="6">
        <v>15856.630000000001</v>
      </c>
    </row>
    <row r="5" spans="1:3" x14ac:dyDescent="0.3">
      <c r="A5" s="3" t="s">
        <v>3558</v>
      </c>
      <c r="B5" s="6">
        <v>54</v>
      </c>
      <c r="C5" s="6">
        <v>8331.1099999999988</v>
      </c>
    </row>
    <row r="6" spans="1:3" x14ac:dyDescent="0.3">
      <c r="A6" s="3" t="s">
        <v>3559</v>
      </c>
      <c r="B6" s="6">
        <v>108</v>
      </c>
      <c r="C6" s="6">
        <v>23531.74</v>
      </c>
    </row>
    <row r="7" spans="1:3" x14ac:dyDescent="0.3">
      <c r="A7" s="3" t="s">
        <v>3560</v>
      </c>
      <c r="B7" s="6">
        <v>103</v>
      </c>
      <c r="C7" s="6">
        <v>18767.529999999992</v>
      </c>
    </row>
    <row r="8" spans="1:3" x14ac:dyDescent="0.3">
      <c r="A8" s="3" t="s">
        <v>3561</v>
      </c>
      <c r="B8" s="6">
        <v>119</v>
      </c>
      <c r="C8" s="6">
        <v>25339.149999999987</v>
      </c>
    </row>
    <row r="9" spans="1:3" x14ac:dyDescent="0.3">
      <c r="A9" s="3" t="s">
        <v>3562</v>
      </c>
      <c r="B9" s="6">
        <v>106</v>
      </c>
      <c r="C9" s="6">
        <v>28907.519999999993</v>
      </c>
    </row>
    <row r="10" spans="1:3" x14ac:dyDescent="0.3">
      <c r="A10" s="3" t="s">
        <v>3563</v>
      </c>
      <c r="B10" s="6">
        <v>111</v>
      </c>
      <c r="C10" s="6">
        <v>25746.659999999993</v>
      </c>
    </row>
    <row r="11" spans="1:3" x14ac:dyDescent="0.3">
      <c r="A11" s="3" t="s">
        <v>3564</v>
      </c>
      <c r="B11" s="6">
        <v>112</v>
      </c>
      <c r="C11" s="6">
        <v>29396.589999999997</v>
      </c>
    </row>
    <row r="12" spans="1:3" x14ac:dyDescent="0.3">
      <c r="A12" s="3" t="s">
        <v>3565</v>
      </c>
      <c r="B12" s="6">
        <v>227</v>
      </c>
      <c r="C12" s="6">
        <v>32379.450000000012</v>
      </c>
    </row>
    <row r="13" spans="1:3" x14ac:dyDescent="0.3">
      <c r="A13" s="3" t="s">
        <v>3566</v>
      </c>
      <c r="B13" s="6">
        <v>145</v>
      </c>
      <c r="C13" s="6">
        <v>21163.289999999986</v>
      </c>
    </row>
    <row r="14" spans="1:3" x14ac:dyDescent="0.3">
      <c r="A14" s="3" t="s">
        <v>3567</v>
      </c>
      <c r="B14" s="6">
        <v>234</v>
      </c>
      <c r="C14" s="6">
        <v>45597.220000000008</v>
      </c>
    </row>
    <row r="15" spans="1:3" x14ac:dyDescent="0.3">
      <c r="A15" s="3" t="s">
        <v>3568</v>
      </c>
      <c r="B15" s="6">
        <v>234</v>
      </c>
      <c r="C15" s="6">
        <v>57426.899999999994</v>
      </c>
    </row>
    <row r="16" spans="1:3" x14ac:dyDescent="0.3">
      <c r="A16" s="3" t="s">
        <v>3569</v>
      </c>
      <c r="B16" s="6">
        <v>1611</v>
      </c>
      <c r="C16" s="6">
        <v>332443.79000000015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C35C-C0F7-4EE1-82CF-F2B9A091A4AD}">
  <dimension ref="A3:B9"/>
  <sheetViews>
    <sheetView workbookViewId="0">
      <selection activeCell="A4" sqref="A4"/>
    </sheetView>
  </sheetViews>
  <sheetFormatPr defaultRowHeight="14.4" x14ac:dyDescent="0.3"/>
  <cols>
    <col min="1" max="1" width="12.44140625" bestFit="1" customWidth="1"/>
    <col min="2" max="2" width="11.5546875" bestFit="1" customWidth="1"/>
  </cols>
  <sheetData>
    <row r="3" spans="1:2" x14ac:dyDescent="0.3">
      <c r="A3" s="2" t="s">
        <v>3556</v>
      </c>
      <c r="B3" t="s">
        <v>3555</v>
      </c>
    </row>
    <row r="4" spans="1:2" x14ac:dyDescent="0.3">
      <c r="A4" s="3" t="s">
        <v>58</v>
      </c>
      <c r="B4" s="6">
        <v>16393.22</v>
      </c>
    </row>
    <row r="5" spans="1:2" x14ac:dyDescent="0.3">
      <c r="A5" s="3" t="s">
        <v>16</v>
      </c>
      <c r="B5" s="6">
        <v>213274.66000000027</v>
      </c>
    </row>
    <row r="6" spans="1:2" x14ac:dyDescent="0.3">
      <c r="A6" s="3" t="s">
        <v>77</v>
      </c>
      <c r="B6" s="6">
        <v>12211.46000000001</v>
      </c>
    </row>
    <row r="7" spans="1:2" x14ac:dyDescent="0.3">
      <c r="A7" s="3" t="s">
        <v>227</v>
      </c>
      <c r="B7" s="6">
        <v>8177.1999999999989</v>
      </c>
    </row>
    <row r="8" spans="1:2" x14ac:dyDescent="0.3">
      <c r="A8" s="3" t="s">
        <v>26</v>
      </c>
      <c r="B8" s="6">
        <v>57309.15</v>
      </c>
    </row>
    <row r="9" spans="1:2" x14ac:dyDescent="0.3">
      <c r="A9" s="3" t="s">
        <v>3569</v>
      </c>
      <c r="B9" s="6">
        <v>307365.69000000029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E98C0-F606-4D73-AD81-902B8AA8C213}">
  <dimension ref="A3:B21"/>
  <sheetViews>
    <sheetView workbookViewId="0">
      <selection activeCell="K21" sqref="K21"/>
    </sheetView>
  </sheetViews>
  <sheetFormatPr defaultRowHeight="14.4" x14ac:dyDescent="0.3"/>
  <cols>
    <col min="1" max="1" width="12.44140625" bestFit="1" customWidth="1"/>
    <col min="2" max="2" width="11.5546875" bestFit="1" customWidth="1"/>
  </cols>
  <sheetData>
    <row r="3" spans="1:2" x14ac:dyDescent="0.3">
      <c r="A3" s="2" t="s">
        <v>3556</v>
      </c>
      <c r="B3" t="s">
        <v>3555</v>
      </c>
    </row>
    <row r="4" spans="1:2" x14ac:dyDescent="0.3">
      <c r="A4" s="3" t="s">
        <v>53</v>
      </c>
      <c r="B4" s="6">
        <v>26541.569999999996</v>
      </c>
    </row>
    <row r="5" spans="1:2" x14ac:dyDescent="0.3">
      <c r="A5" s="3" t="s">
        <v>105</v>
      </c>
      <c r="B5" s="6">
        <v>12788.890000000001</v>
      </c>
    </row>
    <row r="6" spans="1:2" x14ac:dyDescent="0.3">
      <c r="A6" s="3" t="s">
        <v>38</v>
      </c>
      <c r="B6" s="6">
        <v>5967.8300000000045</v>
      </c>
    </row>
    <row r="7" spans="1:2" x14ac:dyDescent="0.3">
      <c r="A7" s="3" t="s">
        <v>27</v>
      </c>
      <c r="B7" s="6">
        <v>25200.969999999994</v>
      </c>
    </row>
    <row r="8" spans="1:2" x14ac:dyDescent="0.3">
      <c r="A8" s="3" t="s">
        <v>671</v>
      </c>
      <c r="B8" s="6">
        <v>22775.429999999997</v>
      </c>
    </row>
    <row r="9" spans="1:2" x14ac:dyDescent="0.3">
      <c r="A9" s="3" t="s">
        <v>88</v>
      </c>
      <c r="B9" s="6">
        <v>52765.659999999953</v>
      </c>
    </row>
    <row r="10" spans="1:2" x14ac:dyDescent="0.3">
      <c r="A10" s="3" t="s">
        <v>287</v>
      </c>
      <c r="B10" s="6">
        <v>18439.599999999999</v>
      </c>
    </row>
    <row r="11" spans="1:2" x14ac:dyDescent="0.3">
      <c r="A11" s="3" t="s">
        <v>124</v>
      </c>
      <c r="B11" s="6">
        <v>2115.46</v>
      </c>
    </row>
    <row r="12" spans="1:2" x14ac:dyDescent="0.3">
      <c r="A12" s="3" t="s">
        <v>191</v>
      </c>
      <c r="B12" s="6">
        <v>525.08000000000004</v>
      </c>
    </row>
    <row r="13" spans="1:2" x14ac:dyDescent="0.3">
      <c r="A13" s="3" t="s">
        <v>21</v>
      </c>
      <c r="B13" s="6">
        <v>17813.38</v>
      </c>
    </row>
    <row r="14" spans="1:2" x14ac:dyDescent="0.3">
      <c r="A14" s="3" t="s">
        <v>17</v>
      </c>
      <c r="B14" s="6">
        <v>1533.3600000000006</v>
      </c>
    </row>
    <row r="15" spans="1:2" x14ac:dyDescent="0.3">
      <c r="A15" s="3" t="s">
        <v>1168</v>
      </c>
      <c r="B15" s="6">
        <v>12878.419999999998</v>
      </c>
    </row>
    <row r="16" spans="1:2" x14ac:dyDescent="0.3">
      <c r="A16" s="3" t="s">
        <v>93</v>
      </c>
      <c r="B16" s="6">
        <v>12246.739999999989</v>
      </c>
    </row>
    <row r="17" spans="1:2" x14ac:dyDescent="0.3">
      <c r="A17" s="3" t="s">
        <v>146</v>
      </c>
      <c r="B17" s="6">
        <v>44671.78</v>
      </c>
    </row>
    <row r="18" spans="1:2" x14ac:dyDescent="0.3">
      <c r="A18" s="3" t="s">
        <v>33</v>
      </c>
      <c r="B18" s="6">
        <v>34158.359999999979</v>
      </c>
    </row>
    <row r="19" spans="1:2" x14ac:dyDescent="0.3">
      <c r="A19" s="3" t="s">
        <v>334</v>
      </c>
      <c r="B19" s="6">
        <v>2616.9199999999996</v>
      </c>
    </row>
    <row r="20" spans="1:2" x14ac:dyDescent="0.3">
      <c r="A20" s="3" t="s">
        <v>43</v>
      </c>
      <c r="B20" s="6">
        <v>39404.339999999997</v>
      </c>
    </row>
    <row r="21" spans="1:2" x14ac:dyDescent="0.3">
      <c r="A21" s="3" t="s">
        <v>3569</v>
      </c>
      <c r="B21" s="6">
        <v>332443.7899999998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27E58-90D7-4566-9C6B-E36E182C0B53}">
  <dimension ref="A3:B6"/>
  <sheetViews>
    <sheetView workbookViewId="0">
      <selection activeCell="A3" sqref="A3"/>
    </sheetView>
  </sheetViews>
  <sheetFormatPr defaultRowHeight="14.4" x14ac:dyDescent="0.3"/>
  <cols>
    <col min="1" max="1" width="12.44140625" bestFit="1" customWidth="1"/>
    <col min="2" max="2" width="15.109375" bestFit="1" customWidth="1"/>
  </cols>
  <sheetData>
    <row r="3" spans="1:2" x14ac:dyDescent="0.3">
      <c r="A3" s="2" t="s">
        <v>3556</v>
      </c>
      <c r="B3" t="s">
        <v>3554</v>
      </c>
    </row>
    <row r="4" spans="1:2" x14ac:dyDescent="0.3">
      <c r="A4" s="3" t="s">
        <v>3574</v>
      </c>
      <c r="B4" s="6">
        <v>112</v>
      </c>
    </row>
    <row r="5" spans="1:2" x14ac:dyDescent="0.3">
      <c r="A5" s="3" t="s">
        <v>3575</v>
      </c>
      <c r="B5" s="6">
        <v>1499</v>
      </c>
    </row>
    <row r="6" spans="1:2" x14ac:dyDescent="0.3">
      <c r="A6" s="3" t="s">
        <v>3569</v>
      </c>
      <c r="B6" s="6">
        <v>1611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44409-7FF8-499A-A408-0C036EEF643B}">
  <dimension ref="A3:B7"/>
  <sheetViews>
    <sheetView workbookViewId="0">
      <selection activeCell="A3" sqref="A3"/>
    </sheetView>
  </sheetViews>
  <sheetFormatPr defaultRowHeight="14.4" x14ac:dyDescent="0.3"/>
  <cols>
    <col min="1" max="1" width="12.44140625" bestFit="1" customWidth="1"/>
    <col min="2" max="2" width="15.109375" bestFit="1" customWidth="1"/>
  </cols>
  <sheetData>
    <row r="3" spans="1:2" x14ac:dyDescent="0.3">
      <c r="A3" s="2" t="s">
        <v>3556</v>
      </c>
      <c r="B3" t="s">
        <v>3554</v>
      </c>
    </row>
    <row r="4" spans="1:2" x14ac:dyDescent="0.3">
      <c r="A4" s="3" t="s">
        <v>3576</v>
      </c>
      <c r="B4" s="6">
        <v>75</v>
      </c>
    </row>
    <row r="5" spans="1:2" x14ac:dyDescent="0.3">
      <c r="A5" s="3" t="s">
        <v>3577</v>
      </c>
      <c r="B5" s="6">
        <v>1434</v>
      </c>
    </row>
    <row r="6" spans="1:2" x14ac:dyDescent="0.3">
      <c r="A6" s="3" t="s">
        <v>3578</v>
      </c>
      <c r="B6" s="6">
        <v>102</v>
      </c>
    </row>
    <row r="7" spans="1:2" x14ac:dyDescent="0.3">
      <c r="A7" s="3" t="s">
        <v>3569</v>
      </c>
      <c r="B7" s="6">
        <v>1611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C5C0-CC58-4C52-BCCD-213BDBF72E15}">
  <dimension ref="A3:B7"/>
  <sheetViews>
    <sheetView workbookViewId="0">
      <selection activeCell="A3" sqref="A3"/>
    </sheetView>
  </sheetViews>
  <sheetFormatPr defaultRowHeight="14.4" x14ac:dyDescent="0.3"/>
  <cols>
    <col min="1" max="1" width="12.44140625" bestFit="1" customWidth="1"/>
    <col min="2" max="2" width="15.109375" bestFit="1" customWidth="1"/>
  </cols>
  <sheetData>
    <row r="3" spans="1:2" x14ac:dyDescent="0.3">
      <c r="A3" s="2" t="s">
        <v>3556</v>
      </c>
      <c r="B3" t="s">
        <v>3554</v>
      </c>
    </row>
    <row r="4" spans="1:2" x14ac:dyDescent="0.3">
      <c r="A4" s="3" t="s">
        <v>3579</v>
      </c>
      <c r="B4" s="6">
        <v>219</v>
      </c>
    </row>
    <row r="5" spans="1:2" x14ac:dyDescent="0.3">
      <c r="A5" s="3" t="s">
        <v>3580</v>
      </c>
      <c r="B5" s="6">
        <v>1254</v>
      </c>
    </row>
    <row r="6" spans="1:2" x14ac:dyDescent="0.3">
      <c r="A6" s="3" t="s">
        <v>3581</v>
      </c>
      <c r="B6" s="6">
        <v>138</v>
      </c>
    </row>
    <row r="7" spans="1:2" x14ac:dyDescent="0.3">
      <c r="A7" s="3" t="s">
        <v>3569</v>
      </c>
      <c r="B7" s="6">
        <v>1611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74107-0E42-4893-9F74-37E88D52D7DC}">
  <dimension ref="A3:B14"/>
  <sheetViews>
    <sheetView workbookViewId="0">
      <selection activeCell="B3" sqref="B3"/>
    </sheetView>
  </sheetViews>
  <sheetFormatPr defaultRowHeight="14.4" x14ac:dyDescent="0.3"/>
  <cols>
    <col min="1" max="1" width="16.77734375" bestFit="1" customWidth="1"/>
    <col min="2" max="3" width="11.5546875" bestFit="1" customWidth="1"/>
  </cols>
  <sheetData>
    <row r="3" spans="1:2" x14ac:dyDescent="0.3">
      <c r="A3" s="2" t="s">
        <v>3556</v>
      </c>
      <c r="B3" t="s">
        <v>3555</v>
      </c>
    </row>
    <row r="4" spans="1:2" x14ac:dyDescent="0.3">
      <c r="A4" s="3" t="s">
        <v>284</v>
      </c>
      <c r="B4" s="6">
        <v>3163.91</v>
      </c>
    </row>
    <row r="5" spans="1:2" x14ac:dyDescent="0.3">
      <c r="A5" s="3" t="s">
        <v>324</v>
      </c>
      <c r="B5" s="6">
        <v>3485.52</v>
      </c>
    </row>
    <row r="6" spans="1:2" x14ac:dyDescent="0.3">
      <c r="A6" s="3" t="s">
        <v>194</v>
      </c>
      <c r="B6" s="6">
        <v>3668.2200000000003</v>
      </c>
    </row>
    <row r="7" spans="1:2" x14ac:dyDescent="0.3">
      <c r="A7" s="3" t="s">
        <v>597</v>
      </c>
      <c r="B7" s="6">
        <v>3295.9</v>
      </c>
    </row>
    <row r="8" spans="1:2" x14ac:dyDescent="0.3">
      <c r="A8" s="3" t="s">
        <v>3144</v>
      </c>
      <c r="B8" s="6">
        <v>3265.35</v>
      </c>
    </row>
    <row r="9" spans="1:2" x14ac:dyDescent="0.3">
      <c r="A9" s="3" t="s">
        <v>1006</v>
      </c>
      <c r="B9" s="6">
        <v>3529.45</v>
      </c>
    </row>
    <row r="10" spans="1:2" x14ac:dyDescent="0.3">
      <c r="A10" s="3" t="s">
        <v>127</v>
      </c>
      <c r="B10" s="6">
        <v>4517.4400000000005</v>
      </c>
    </row>
    <row r="11" spans="1:2" x14ac:dyDescent="0.3">
      <c r="A11" s="3" t="s">
        <v>1506</v>
      </c>
      <c r="B11" s="6">
        <v>3372.85</v>
      </c>
    </row>
    <row r="12" spans="1:2" x14ac:dyDescent="0.3">
      <c r="A12" s="3" t="s">
        <v>1911</v>
      </c>
      <c r="B12" s="6">
        <v>4520.6499999999996</v>
      </c>
    </row>
    <row r="13" spans="1:2" x14ac:dyDescent="0.3">
      <c r="A13" s="3" t="s">
        <v>801</v>
      </c>
      <c r="B13" s="6">
        <v>4452.21</v>
      </c>
    </row>
    <row r="14" spans="1:2" x14ac:dyDescent="0.3">
      <c r="A14" s="3" t="s">
        <v>3569</v>
      </c>
      <c r="B14" s="6">
        <v>37271.5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8566C-9ADC-4B56-8969-04090DF34852}">
  <dimension ref="A1:P1612"/>
  <sheetViews>
    <sheetView tabSelected="1" topLeftCell="A185" workbookViewId="0">
      <selection activeCell="D40" sqref="D40"/>
    </sheetView>
  </sheetViews>
  <sheetFormatPr defaultRowHeight="14.4" x14ac:dyDescent="0.3"/>
  <cols>
    <col min="1" max="1" width="14.77734375" bestFit="1" customWidth="1"/>
    <col min="2" max="2" width="12.21875" bestFit="1" customWidth="1"/>
    <col min="3" max="3" width="9.77734375" bestFit="1" customWidth="1"/>
    <col min="4" max="4" width="11.21875" bestFit="1" customWidth="1"/>
    <col min="5" max="5" width="15.77734375" bestFit="1" customWidth="1"/>
    <col min="6" max="6" width="20.44140625" bestFit="1" customWidth="1"/>
    <col min="7" max="7" width="11.5546875" bestFit="1" customWidth="1"/>
    <col min="8" max="8" width="17.33203125" bestFit="1" customWidth="1"/>
    <col min="9" max="9" width="10.6640625" bestFit="1" customWidth="1"/>
    <col min="10" max="10" width="10.88671875" bestFit="1" customWidth="1"/>
    <col min="11" max="11" width="80.88671875" bestFit="1" customWidth="1"/>
    <col min="12" max="12" width="8" bestFit="1" customWidth="1"/>
    <col min="13" max="13" width="10.33203125" bestFit="1" customWidth="1"/>
    <col min="14" max="14" width="12.5546875" bestFit="1" customWidth="1"/>
    <col min="15" max="15" width="8" bestFit="1" customWidth="1"/>
    <col min="16" max="16" width="12.77734375" bestFit="1" customWidth="1"/>
  </cols>
  <sheetData>
    <row r="1" spans="1:16" x14ac:dyDescent="0.3">
      <c r="A1" t="s">
        <v>0</v>
      </c>
      <c r="B1" t="s">
        <v>1</v>
      </c>
      <c r="C1" t="s">
        <v>3553</v>
      </c>
      <c r="D1" t="s">
        <v>2</v>
      </c>
      <c r="E1" t="s">
        <v>3570</v>
      </c>
      <c r="F1" t="s">
        <v>3</v>
      </c>
      <c r="G1" t="s">
        <v>4</v>
      </c>
      <c r="H1" t="s">
        <v>5</v>
      </c>
      <c r="I1" t="s">
        <v>6</v>
      </c>
      <c r="J1" t="s">
        <v>7</v>
      </c>
      <c r="K1" t="s">
        <v>8</v>
      </c>
      <c r="L1" t="s">
        <v>9</v>
      </c>
      <c r="M1" t="s">
        <v>10</v>
      </c>
      <c r="N1" t="s">
        <v>3572</v>
      </c>
      <c r="O1" t="s">
        <v>11</v>
      </c>
      <c r="P1" t="s">
        <v>3571</v>
      </c>
    </row>
    <row r="2" spans="1:16" hidden="1" x14ac:dyDescent="0.3">
      <c r="A2" t="s">
        <v>12</v>
      </c>
      <c r="B2" s="1">
        <v>41438</v>
      </c>
      <c r="C2" s="1" t="str">
        <f>TEXT(Walmart[[#This Row],[Order Date]],"mmmm")</f>
        <v>June</v>
      </c>
      <c r="D2" s="1">
        <v>41442</v>
      </c>
      <c r="E2" s="1" t="str">
        <f>IF(DATEDIF(Walmart[[#This Row],[Order Date]],Walmart[[#This Row],[Ship Date]],"D")&lt;7,"On time","Delayed")</f>
        <v>On time</v>
      </c>
      <c r="F2" t="s">
        <v>13</v>
      </c>
      <c r="G2" t="s">
        <v>14</v>
      </c>
      <c r="H2" t="s">
        <v>15</v>
      </c>
      <c r="I2" t="s">
        <v>16</v>
      </c>
      <c r="J2" t="s">
        <v>17</v>
      </c>
      <c r="K2" t="s">
        <v>18</v>
      </c>
      <c r="L2">
        <v>14.62</v>
      </c>
      <c r="M2">
        <v>2</v>
      </c>
      <c r="N2" t="str">
        <f>IF(Walmart[[#This Row],[Quantity]]&gt;=7,"Bulk",IF(Walmart[[#This Row],[Quantity]]&gt;=2,"Multi","Single"))</f>
        <v>Multi</v>
      </c>
      <c r="O2">
        <v>6.87</v>
      </c>
      <c r="P2" t="str">
        <f>IF(Walmart[[#This Row],[Sales]]&gt;=1000,"High Value", IF(Walmart[[#This Row],[Sales]]&gt;=500,"Medium Value","Low Value"))</f>
        <v>Low Value</v>
      </c>
    </row>
    <row r="3" spans="1:16" hidden="1" x14ac:dyDescent="0.3">
      <c r="A3" t="s">
        <v>19</v>
      </c>
      <c r="B3" s="1">
        <v>40703</v>
      </c>
      <c r="C3" s="1" t="str">
        <f>TEXT(Walmart[[#This Row],[Order Date]],"mmmm")</f>
        <v>June</v>
      </c>
      <c r="D3" s="1">
        <v>40708</v>
      </c>
      <c r="E3" s="1" t="str">
        <f>IF(DATEDIF(Walmart[[#This Row],[Order Date]],Walmart[[#This Row],[Ship Date]],"D")&lt;7,"On time","Delayed")</f>
        <v>On time</v>
      </c>
      <c r="F3" t="s">
        <v>20</v>
      </c>
      <c r="G3" t="s">
        <v>14</v>
      </c>
      <c r="H3" t="s">
        <v>15</v>
      </c>
      <c r="I3" t="s">
        <v>16</v>
      </c>
      <c r="J3" t="s">
        <v>21</v>
      </c>
      <c r="K3" t="s">
        <v>22</v>
      </c>
      <c r="L3">
        <v>48.86</v>
      </c>
      <c r="M3">
        <v>7</v>
      </c>
      <c r="N3" t="str">
        <f>IF(Walmart[[#This Row],[Quantity]]&gt;=7,"Bulk",IF(Walmart[[#This Row],[Quantity]]&gt;=2,"Multi","Single"))</f>
        <v>Bulk</v>
      </c>
      <c r="O3">
        <v>14.17</v>
      </c>
      <c r="P3" t="str">
        <f>IF(Walmart[[#This Row],[Sales]]&gt;=1000,"High Value", IF(Walmart[[#This Row],[Sales]]&gt;=500,"Medium Value","Low Value"))</f>
        <v>Low Value</v>
      </c>
    </row>
    <row r="4" spans="1:16" hidden="1" x14ac:dyDescent="0.3">
      <c r="A4" t="s">
        <v>23</v>
      </c>
      <c r="B4" s="1">
        <v>41614</v>
      </c>
      <c r="C4" s="1" t="str">
        <f>TEXT(Walmart[[#This Row],[Order Date]],"mmmm")</f>
        <v>December</v>
      </c>
      <c r="D4" s="1">
        <v>41619</v>
      </c>
      <c r="E4" s="1" t="str">
        <f>IF(DATEDIF(Walmart[[#This Row],[Order Date]],Walmart[[#This Row],[Ship Date]],"D")&lt;7,"On time","Delayed")</f>
        <v>On time</v>
      </c>
      <c r="F4" t="s">
        <v>24</v>
      </c>
      <c r="G4" t="s">
        <v>14</v>
      </c>
      <c r="H4" t="s">
        <v>25</v>
      </c>
      <c r="I4" t="s">
        <v>26</v>
      </c>
      <c r="J4" t="s">
        <v>27</v>
      </c>
      <c r="K4" t="s">
        <v>28</v>
      </c>
      <c r="L4">
        <v>407.98</v>
      </c>
      <c r="M4">
        <v>3</v>
      </c>
      <c r="N4" t="str">
        <f>IF(Walmart[[#This Row],[Quantity]]&gt;=7,"Bulk",IF(Walmart[[#This Row],[Quantity]]&gt;=2,"Multi","Single"))</f>
        <v>Multi</v>
      </c>
      <c r="O4">
        <v>132.59</v>
      </c>
      <c r="P4" t="str">
        <f>IF(Walmart[[#This Row],[Sales]]&gt;=1000,"High Value", IF(Walmart[[#This Row],[Sales]]&gt;=500,"Medium Value","Low Value"))</f>
        <v>Low Value</v>
      </c>
    </row>
    <row r="5" spans="1:16" hidden="1" x14ac:dyDescent="0.3">
      <c r="A5" t="s">
        <v>29</v>
      </c>
      <c r="B5" s="1">
        <v>40676</v>
      </c>
      <c r="C5" s="1" t="str">
        <f>TEXT(Walmart[[#This Row],[Order Date]],"mmmm")</f>
        <v>May</v>
      </c>
      <c r="D5" s="1">
        <v>40678</v>
      </c>
      <c r="E5" s="1" t="str">
        <f>IF(DATEDIF(Walmart[[#This Row],[Order Date]],Walmart[[#This Row],[Ship Date]],"D")&lt;7,"On time","Delayed")</f>
        <v>On time</v>
      </c>
      <c r="F5" t="s">
        <v>30</v>
      </c>
      <c r="G5" t="s">
        <v>14</v>
      </c>
      <c r="H5" t="s">
        <v>31</v>
      </c>
      <c r="I5" t="s">
        <v>32</v>
      </c>
      <c r="J5" t="s">
        <v>33</v>
      </c>
      <c r="K5" t="s">
        <v>34</v>
      </c>
      <c r="L5">
        <v>55.5</v>
      </c>
      <c r="M5">
        <v>2</v>
      </c>
      <c r="N5" t="str">
        <f>IF(Walmart[[#This Row],[Quantity]]&gt;=7,"Bulk",IF(Walmart[[#This Row],[Quantity]]&gt;=2,"Multi","Single"))</f>
        <v>Multi</v>
      </c>
      <c r="O5">
        <v>9.99</v>
      </c>
      <c r="P5" t="str">
        <f>IF(Walmart[[#This Row],[Sales]]&gt;=1000,"High Value", IF(Walmart[[#This Row],[Sales]]&gt;=500,"Medium Value","Low Value"))</f>
        <v>Low Value</v>
      </c>
    </row>
    <row r="6" spans="1:16" hidden="1" x14ac:dyDescent="0.3">
      <c r="A6" t="s">
        <v>35</v>
      </c>
      <c r="B6" s="1">
        <v>40782</v>
      </c>
      <c r="C6" s="1" t="str">
        <f>TEXT(Walmart[[#This Row],[Order Date]],"mmmm")</f>
        <v>August</v>
      </c>
      <c r="D6" s="1">
        <v>40787</v>
      </c>
      <c r="E6" s="1" t="str">
        <f>IF(DATEDIF(Walmart[[#This Row],[Order Date]],Walmart[[#This Row],[Ship Date]],"D")&lt;7,"On time","Delayed")</f>
        <v>On time</v>
      </c>
      <c r="F6" t="s">
        <v>36</v>
      </c>
      <c r="G6" t="s">
        <v>14</v>
      </c>
      <c r="H6" t="s">
        <v>37</v>
      </c>
      <c r="I6" t="s">
        <v>16</v>
      </c>
      <c r="J6" t="s">
        <v>38</v>
      </c>
      <c r="K6" t="s">
        <v>39</v>
      </c>
      <c r="L6">
        <v>8.56</v>
      </c>
      <c r="M6">
        <v>2</v>
      </c>
      <c r="N6" t="str">
        <f>IF(Walmart[[#This Row],[Quantity]]&gt;=7,"Bulk",IF(Walmart[[#This Row],[Quantity]]&gt;=2,"Multi","Single"))</f>
        <v>Multi</v>
      </c>
      <c r="O6">
        <v>2.48</v>
      </c>
      <c r="P6" t="str">
        <f>IF(Walmart[[#This Row],[Sales]]&gt;=1000,"High Value", IF(Walmart[[#This Row],[Sales]]&gt;=500,"Medium Value","Low Value"))</f>
        <v>Low Value</v>
      </c>
    </row>
    <row r="7" spans="1:16" hidden="1" x14ac:dyDescent="0.3">
      <c r="A7" t="s">
        <v>40</v>
      </c>
      <c r="B7" s="1">
        <v>41177</v>
      </c>
      <c r="C7" s="1" t="str">
        <f>TEXT(Walmart[[#This Row],[Order Date]],"mmmm")</f>
        <v>September</v>
      </c>
      <c r="D7" s="1">
        <v>41182</v>
      </c>
      <c r="E7" s="1" t="str">
        <f>IF(DATEDIF(Walmart[[#This Row],[Order Date]],Walmart[[#This Row],[Ship Date]],"D")&lt;7,"On time","Delayed")</f>
        <v>On time</v>
      </c>
      <c r="F7" t="s">
        <v>41</v>
      </c>
      <c r="G7" t="s">
        <v>14</v>
      </c>
      <c r="H7" t="s">
        <v>42</v>
      </c>
      <c r="I7" t="s">
        <v>32</v>
      </c>
      <c r="J7" t="s">
        <v>43</v>
      </c>
      <c r="K7" t="s">
        <v>44</v>
      </c>
      <c r="L7">
        <v>1044.6300000000001</v>
      </c>
      <c r="M7">
        <v>3</v>
      </c>
      <c r="N7" t="str">
        <f>IF(Walmart[[#This Row],[Quantity]]&gt;=7,"Bulk",IF(Walmart[[#This Row],[Quantity]]&gt;=2,"Multi","Single"))</f>
        <v>Multi</v>
      </c>
      <c r="O7">
        <v>240.26</v>
      </c>
      <c r="P7" t="str">
        <f>IF(Walmart[[#This Row],[Sales]]&gt;=1000,"High Value", IF(Walmart[[#This Row],[Sales]]&gt;=500,"Medium Value","Low Value"))</f>
        <v>High Value</v>
      </c>
    </row>
    <row r="8" spans="1:16" hidden="1" x14ac:dyDescent="0.3">
      <c r="A8" t="s">
        <v>45</v>
      </c>
      <c r="B8" s="1">
        <v>41290</v>
      </c>
      <c r="C8" s="1" t="str">
        <f>TEXT(Walmart[[#This Row],[Order Date]],"mmmm")</f>
        <v>January</v>
      </c>
      <c r="D8" s="1">
        <v>41294</v>
      </c>
      <c r="E8" s="1" t="str">
        <f>IF(DATEDIF(Walmart[[#This Row],[Order Date]],Walmart[[#This Row],[Ship Date]],"D")&lt;7,"On time","Delayed")</f>
        <v>On time</v>
      </c>
      <c r="F8" t="s">
        <v>46</v>
      </c>
      <c r="G8" t="s">
        <v>14</v>
      </c>
      <c r="H8" t="s">
        <v>15</v>
      </c>
      <c r="I8" t="s">
        <v>16</v>
      </c>
      <c r="J8" t="s">
        <v>27</v>
      </c>
      <c r="K8" t="s">
        <v>47</v>
      </c>
      <c r="L8">
        <v>11.65</v>
      </c>
      <c r="M8">
        <v>2</v>
      </c>
      <c r="N8" t="str">
        <f>IF(Walmart[[#This Row],[Quantity]]&gt;=7,"Bulk",IF(Walmart[[#This Row],[Quantity]]&gt;=2,"Multi","Single"))</f>
        <v>Multi</v>
      </c>
      <c r="O8">
        <v>4.22</v>
      </c>
      <c r="P8" t="str">
        <f>IF(Walmart[[#This Row],[Sales]]&gt;=1000,"High Value", IF(Walmart[[#This Row],[Sales]]&gt;=500,"Medium Value","Low Value"))</f>
        <v>Low Value</v>
      </c>
    </row>
    <row r="9" spans="1:16" hidden="1" x14ac:dyDescent="0.3">
      <c r="A9" t="s">
        <v>48</v>
      </c>
      <c r="B9" s="1">
        <v>41473</v>
      </c>
      <c r="C9" s="1" t="str">
        <f>TEXT(Walmart[[#This Row],[Order Date]],"mmmm")</f>
        <v>July</v>
      </c>
      <c r="D9" s="1">
        <v>41478</v>
      </c>
      <c r="E9" s="1" t="str">
        <f>IF(DATEDIF(Walmart[[#This Row],[Order Date]],Walmart[[#This Row],[Ship Date]],"D")&lt;7,"On time","Delayed")</f>
        <v>On time</v>
      </c>
      <c r="F9" t="s">
        <v>49</v>
      </c>
      <c r="G9" t="s">
        <v>14</v>
      </c>
      <c r="H9" t="s">
        <v>15</v>
      </c>
      <c r="I9" t="s">
        <v>16</v>
      </c>
      <c r="J9" t="s">
        <v>33</v>
      </c>
      <c r="K9" t="s">
        <v>50</v>
      </c>
      <c r="L9">
        <v>77.88</v>
      </c>
      <c r="M9">
        <v>2</v>
      </c>
      <c r="N9" t="str">
        <f>IF(Walmart[[#This Row],[Quantity]]&gt;=7,"Bulk",IF(Walmart[[#This Row],[Quantity]]&gt;=2,"Multi","Single"))</f>
        <v>Multi</v>
      </c>
      <c r="O9">
        <v>3.89</v>
      </c>
      <c r="P9" t="str">
        <f>IF(Walmart[[#This Row],[Sales]]&gt;=1000,"High Value", IF(Walmart[[#This Row],[Sales]]&gt;=500,"Medium Value","Low Value"))</f>
        <v>Low Value</v>
      </c>
    </row>
    <row r="10" spans="1:16" hidden="1" x14ac:dyDescent="0.3">
      <c r="A10" t="s">
        <v>51</v>
      </c>
      <c r="B10" s="1">
        <v>41237</v>
      </c>
      <c r="C10" s="1" t="str">
        <f>TEXT(Walmart[[#This Row],[Order Date]],"mmmm")</f>
        <v>November</v>
      </c>
      <c r="D10" s="1">
        <v>41243</v>
      </c>
      <c r="E10" s="1" t="str">
        <f>IF(DATEDIF(Walmart[[#This Row],[Order Date]],Walmart[[#This Row],[Ship Date]],"D")&lt;7,"On time","Delayed")</f>
        <v>On time</v>
      </c>
      <c r="F10" t="s">
        <v>52</v>
      </c>
      <c r="G10" t="s">
        <v>14</v>
      </c>
      <c r="H10" t="s">
        <v>15</v>
      </c>
      <c r="I10" t="s">
        <v>16</v>
      </c>
      <c r="J10" t="s">
        <v>53</v>
      </c>
      <c r="K10" t="s">
        <v>54</v>
      </c>
      <c r="L10">
        <v>13.98</v>
      </c>
      <c r="M10">
        <v>2</v>
      </c>
      <c r="N10" t="str">
        <f>IF(Walmart[[#This Row],[Quantity]]&gt;=7,"Bulk",IF(Walmart[[#This Row],[Quantity]]&gt;=2,"Multi","Single"))</f>
        <v>Multi</v>
      </c>
      <c r="O10">
        <v>6.15</v>
      </c>
      <c r="P10" t="str">
        <f>IF(Walmart[[#This Row],[Sales]]&gt;=1000,"High Value", IF(Walmart[[#This Row],[Sales]]&gt;=500,"Medium Value","Low Value"))</f>
        <v>Low Value</v>
      </c>
    </row>
    <row r="11" spans="1:16" hidden="1" x14ac:dyDescent="0.3">
      <c r="A11" t="s">
        <v>55</v>
      </c>
      <c r="B11" s="1">
        <v>40882</v>
      </c>
      <c r="C11" s="1" t="str">
        <f>TEXT(Walmart[[#This Row],[Order Date]],"mmmm")</f>
        <v>December</v>
      </c>
      <c r="D11" s="1">
        <v>40887</v>
      </c>
      <c r="E11" s="1" t="str">
        <f>IF(DATEDIF(Walmart[[#This Row],[Order Date]],Walmart[[#This Row],[Ship Date]],"D")&lt;7,"On time","Delayed")</f>
        <v>On time</v>
      </c>
      <c r="F11" t="s">
        <v>56</v>
      </c>
      <c r="G11" t="s">
        <v>14</v>
      </c>
      <c r="H11" t="s">
        <v>57</v>
      </c>
      <c r="I11" t="s">
        <v>58</v>
      </c>
      <c r="J11" t="s">
        <v>38</v>
      </c>
      <c r="K11" t="s">
        <v>59</v>
      </c>
      <c r="L11">
        <v>1113.02</v>
      </c>
      <c r="M11">
        <v>8</v>
      </c>
      <c r="N11" t="str">
        <f>IF(Walmart[[#This Row],[Quantity]]&gt;=7,"Bulk",IF(Walmart[[#This Row],[Quantity]]&gt;=2,"Multi","Single"))</f>
        <v>Bulk</v>
      </c>
      <c r="O11">
        <v>111.3</v>
      </c>
      <c r="P11" t="str">
        <f>IF(Walmart[[#This Row],[Sales]]&gt;=1000,"High Value", IF(Walmart[[#This Row],[Sales]]&gt;=500,"Medium Value","Low Value"))</f>
        <v>High Value</v>
      </c>
    </row>
    <row r="12" spans="1:16" hidden="1" x14ac:dyDescent="0.3">
      <c r="A12" t="s">
        <v>60</v>
      </c>
      <c r="B12" s="1">
        <v>40828</v>
      </c>
      <c r="C12" s="1" t="str">
        <f>TEXT(Walmart[[#This Row],[Order Date]],"mmmm")</f>
        <v>October</v>
      </c>
      <c r="D12" s="1">
        <v>40832</v>
      </c>
      <c r="E12" s="1" t="str">
        <f>IF(DATEDIF(Walmart[[#This Row],[Order Date]],Walmart[[#This Row],[Ship Date]],"D")&lt;7,"On time","Delayed")</f>
        <v>On time</v>
      </c>
      <c r="F12" t="s">
        <v>61</v>
      </c>
      <c r="G12" t="s">
        <v>14</v>
      </c>
      <c r="H12" t="s">
        <v>37</v>
      </c>
      <c r="I12" t="s">
        <v>16</v>
      </c>
      <c r="J12" t="s">
        <v>38</v>
      </c>
      <c r="K12" t="s">
        <v>62</v>
      </c>
      <c r="L12">
        <v>14.9</v>
      </c>
      <c r="M12">
        <v>5</v>
      </c>
      <c r="N12" t="str">
        <f>IF(Walmart[[#This Row],[Quantity]]&gt;=7,"Bulk",IF(Walmart[[#This Row],[Quantity]]&gt;=2,"Multi","Single"))</f>
        <v>Multi</v>
      </c>
      <c r="O12">
        <v>4.17</v>
      </c>
      <c r="P12" t="str">
        <f>IF(Walmart[[#This Row],[Sales]]&gt;=1000,"High Value", IF(Walmart[[#This Row],[Sales]]&gt;=500,"Medium Value","Low Value"))</f>
        <v>Low Value</v>
      </c>
    </row>
    <row r="13" spans="1:16" hidden="1" x14ac:dyDescent="0.3">
      <c r="A13" t="s">
        <v>63</v>
      </c>
      <c r="B13" s="1">
        <v>41535</v>
      </c>
      <c r="C13" s="1" t="str">
        <f>TEXT(Walmart[[#This Row],[Order Date]],"mmmm")</f>
        <v>September</v>
      </c>
      <c r="D13" s="1">
        <v>41540</v>
      </c>
      <c r="E13" s="1" t="str">
        <f>IF(DATEDIF(Walmart[[#This Row],[Order Date]],Walmart[[#This Row],[Ship Date]],"D")&lt;7,"On time","Delayed")</f>
        <v>On time</v>
      </c>
      <c r="F13" t="s">
        <v>64</v>
      </c>
      <c r="G13" t="s">
        <v>14</v>
      </c>
      <c r="H13" t="s">
        <v>15</v>
      </c>
      <c r="I13" t="s">
        <v>16</v>
      </c>
      <c r="J13" t="s">
        <v>38</v>
      </c>
      <c r="K13" t="s">
        <v>65</v>
      </c>
      <c r="L13">
        <v>20.100000000000001</v>
      </c>
      <c r="M13">
        <v>3</v>
      </c>
      <c r="N13" t="str">
        <f>IF(Walmart[[#This Row],[Quantity]]&gt;=7,"Bulk",IF(Walmart[[#This Row],[Quantity]]&gt;=2,"Multi","Single"))</f>
        <v>Multi</v>
      </c>
      <c r="O13">
        <v>6.63</v>
      </c>
      <c r="P13" t="str">
        <f>IF(Walmart[[#This Row],[Sales]]&gt;=1000,"High Value", IF(Walmart[[#This Row],[Sales]]&gt;=500,"Medium Value","Low Value"))</f>
        <v>Low Value</v>
      </c>
    </row>
    <row r="14" spans="1:16" x14ac:dyDescent="0.3">
      <c r="A14" t="s">
        <v>633</v>
      </c>
      <c r="B14" s="1">
        <v>42004</v>
      </c>
      <c r="C14" s="1" t="str">
        <f>TEXT(Walmart[[#This Row],[Order Date]],"mmmm")</f>
        <v>December</v>
      </c>
      <c r="D14" s="1">
        <v>42008</v>
      </c>
      <c r="E14" s="1" t="str">
        <f>IF(DATEDIF(Walmart[[#This Row],[Order Date]],Walmart[[#This Row],[Ship Date]],"D")&lt;7,"On time","Delayed")</f>
        <v>On time</v>
      </c>
      <c r="F14" t="s">
        <v>634</v>
      </c>
      <c r="G14" t="s">
        <v>14</v>
      </c>
      <c r="H14" t="s">
        <v>635</v>
      </c>
      <c r="I14" t="s">
        <v>16</v>
      </c>
      <c r="J14" t="s">
        <v>27</v>
      </c>
      <c r="K14" t="s">
        <v>636</v>
      </c>
      <c r="L14">
        <v>13.9</v>
      </c>
      <c r="M14">
        <v>2</v>
      </c>
      <c r="N14" t="str">
        <f>IF(Walmart[[#This Row],[Quantity]]&gt;=7,"Bulk",IF(Walmart[[#This Row],[Quantity]]&gt;=2,"Multi","Single"))</f>
        <v>Multi</v>
      </c>
      <c r="O14">
        <v>4.5199999999999996</v>
      </c>
      <c r="P14" t="str">
        <f>IF(Walmart[[#This Row],[Sales]]&gt;=1000,"High Value", IF(Walmart[[#This Row],[Sales]]&gt;=500,"Medium Value","Low Value"))</f>
        <v>Low Value</v>
      </c>
    </row>
    <row r="15" spans="1:16" x14ac:dyDescent="0.3">
      <c r="A15" t="s">
        <v>2081</v>
      </c>
      <c r="B15" s="1">
        <v>42004</v>
      </c>
      <c r="C15" s="1" t="str">
        <f>TEXT(Walmart[[#This Row],[Order Date]],"mmmm")</f>
        <v>December</v>
      </c>
      <c r="D15" s="1">
        <v>42008</v>
      </c>
      <c r="E15" s="1" t="str">
        <f>IF(DATEDIF(Walmart[[#This Row],[Order Date]],Walmart[[#This Row],[Ship Date]],"D")&lt;7,"On time","Delayed")</f>
        <v>On time</v>
      </c>
      <c r="F15" t="s">
        <v>2082</v>
      </c>
      <c r="G15" t="s">
        <v>14</v>
      </c>
      <c r="H15" t="s">
        <v>2079</v>
      </c>
      <c r="I15" t="s">
        <v>77</v>
      </c>
      <c r="J15" t="s">
        <v>191</v>
      </c>
      <c r="K15" t="s">
        <v>2083</v>
      </c>
      <c r="L15">
        <v>3.02</v>
      </c>
      <c r="M15">
        <v>3</v>
      </c>
      <c r="N15" t="str">
        <f>IF(Walmart[[#This Row],[Quantity]]&gt;=7,"Bulk",IF(Walmart[[#This Row],[Quantity]]&gt;=2,"Multi","Single"))</f>
        <v>Multi</v>
      </c>
      <c r="O15">
        <v>-0.6</v>
      </c>
      <c r="P15" t="str">
        <f>IF(Walmart[[#This Row],[Sales]]&gt;=1000,"High Value", IF(Walmart[[#This Row],[Sales]]&gt;=500,"Medium Value","Low Value"))</f>
        <v>Low Value</v>
      </c>
    </row>
    <row r="16" spans="1:16" hidden="1" x14ac:dyDescent="0.3">
      <c r="A16" t="s">
        <v>74</v>
      </c>
      <c r="B16" s="1">
        <v>41226</v>
      </c>
      <c r="C16" s="1" t="str">
        <f>TEXT(Walmart[[#This Row],[Order Date]],"mmmm")</f>
        <v>November</v>
      </c>
      <c r="D16" s="1">
        <v>41230</v>
      </c>
      <c r="E16" s="1" t="str">
        <f>IF(DATEDIF(Walmart[[#This Row],[Order Date]],Walmart[[#This Row],[Ship Date]],"D")&lt;7,"On time","Delayed")</f>
        <v>On time</v>
      </c>
      <c r="F16" t="s">
        <v>75</v>
      </c>
      <c r="G16" t="s">
        <v>14</v>
      </c>
      <c r="H16" t="s">
        <v>76</v>
      </c>
      <c r="I16" t="s">
        <v>77</v>
      </c>
      <c r="J16" t="s">
        <v>53</v>
      </c>
      <c r="K16" t="s">
        <v>78</v>
      </c>
      <c r="L16">
        <v>238.9</v>
      </c>
      <c r="M16">
        <v>6</v>
      </c>
      <c r="N16" t="str">
        <f>IF(Walmart[[#This Row],[Quantity]]&gt;=7,"Bulk",IF(Walmart[[#This Row],[Quantity]]&gt;=2,"Multi","Single"))</f>
        <v>Multi</v>
      </c>
      <c r="O16">
        <v>-26.88</v>
      </c>
      <c r="P16" t="str">
        <f>IF(Walmart[[#This Row],[Sales]]&gt;=1000,"High Value", IF(Walmart[[#This Row],[Sales]]&gt;=500,"Medium Value","Low Value"))</f>
        <v>Low Value</v>
      </c>
    </row>
    <row r="17" spans="1:16" hidden="1" x14ac:dyDescent="0.3">
      <c r="A17" t="s">
        <v>79</v>
      </c>
      <c r="B17" s="1">
        <v>40970</v>
      </c>
      <c r="C17" s="1" t="str">
        <f>TEXT(Walmart[[#This Row],[Order Date]],"mmmm")</f>
        <v>March</v>
      </c>
      <c r="D17" s="1">
        <v>40974</v>
      </c>
      <c r="E17" s="1" t="str">
        <f>IF(DATEDIF(Walmart[[#This Row],[Order Date]],Walmart[[#This Row],[Ship Date]],"D")&lt;7,"On time","Delayed")</f>
        <v>On time</v>
      </c>
      <c r="F17" t="s">
        <v>80</v>
      </c>
      <c r="G17" t="s">
        <v>14</v>
      </c>
      <c r="H17" t="s">
        <v>25</v>
      </c>
      <c r="I17" t="s">
        <v>26</v>
      </c>
      <c r="J17" t="s">
        <v>43</v>
      </c>
      <c r="K17" t="s">
        <v>81</v>
      </c>
      <c r="L17">
        <v>787.53</v>
      </c>
      <c r="M17">
        <v>3</v>
      </c>
      <c r="N17" t="str">
        <f>IF(Walmart[[#This Row],[Quantity]]&gt;=7,"Bulk",IF(Walmart[[#This Row],[Quantity]]&gt;=2,"Multi","Single"))</f>
        <v>Multi</v>
      </c>
      <c r="O17">
        <v>165.38</v>
      </c>
      <c r="P17" t="str">
        <f>IF(Walmart[[#This Row],[Sales]]&gt;=1000,"High Value", IF(Walmart[[#This Row],[Sales]]&gt;=500,"Medium Value","Low Value"))</f>
        <v>Medium Value</v>
      </c>
    </row>
    <row r="18" spans="1:16" x14ac:dyDescent="0.3">
      <c r="A18" t="s">
        <v>911</v>
      </c>
      <c r="B18" s="1">
        <v>42003</v>
      </c>
      <c r="C18" s="1" t="str">
        <f>TEXT(Walmart[[#This Row],[Order Date]],"mmmm")</f>
        <v>December</v>
      </c>
      <c r="D18" s="1">
        <v>42007</v>
      </c>
      <c r="E18" s="1" t="str">
        <f>IF(DATEDIF(Walmart[[#This Row],[Order Date]],Walmart[[#This Row],[Ship Date]],"D")&lt;7,"On time","Delayed")</f>
        <v>On time</v>
      </c>
      <c r="F18" t="s">
        <v>807</v>
      </c>
      <c r="G18" t="s">
        <v>14</v>
      </c>
      <c r="H18" t="s">
        <v>15</v>
      </c>
      <c r="I18" t="s">
        <v>16</v>
      </c>
      <c r="J18" t="s">
        <v>88</v>
      </c>
      <c r="K18" t="s">
        <v>912</v>
      </c>
      <c r="L18">
        <v>393.57</v>
      </c>
      <c r="M18">
        <v>4</v>
      </c>
      <c r="N18" t="str">
        <f>IF(Walmart[[#This Row],[Quantity]]&gt;=7,"Bulk",IF(Walmart[[#This Row],[Quantity]]&gt;=2,"Multi","Single"))</f>
        <v>Multi</v>
      </c>
      <c r="O18">
        <v>-44.28</v>
      </c>
      <c r="P18" t="str">
        <f>IF(Walmart[[#This Row],[Sales]]&gt;=1000,"High Value", IF(Walmart[[#This Row],[Sales]]&gt;=500,"Medium Value","Low Value"))</f>
        <v>Low Value</v>
      </c>
    </row>
    <row r="19" spans="1:16" hidden="1" x14ac:dyDescent="0.3">
      <c r="A19" t="s">
        <v>86</v>
      </c>
      <c r="B19" s="1">
        <v>41585</v>
      </c>
      <c r="C19" s="1" t="str">
        <f>TEXT(Walmart[[#This Row],[Order Date]],"mmmm")</f>
        <v>November</v>
      </c>
      <c r="D19" s="1">
        <v>41589</v>
      </c>
      <c r="E19" s="1" t="str">
        <f>IF(DATEDIF(Walmart[[#This Row],[Order Date]],Walmart[[#This Row],[Ship Date]],"D")&lt;7,"On time","Delayed")</f>
        <v>On time</v>
      </c>
      <c r="F19" t="s">
        <v>87</v>
      </c>
      <c r="G19" t="s">
        <v>14</v>
      </c>
      <c r="H19" t="s">
        <v>15</v>
      </c>
      <c r="I19" t="s">
        <v>16</v>
      </c>
      <c r="J19" t="s">
        <v>88</v>
      </c>
      <c r="K19" t="s">
        <v>89</v>
      </c>
      <c r="L19">
        <v>81.42</v>
      </c>
      <c r="M19">
        <v>2</v>
      </c>
      <c r="N19" t="str">
        <f>IF(Walmart[[#This Row],[Quantity]]&gt;=7,"Bulk",IF(Walmart[[#This Row],[Quantity]]&gt;=2,"Multi","Single"))</f>
        <v>Multi</v>
      </c>
      <c r="O19">
        <v>-9.16</v>
      </c>
      <c r="P19" t="str">
        <f>IF(Walmart[[#This Row],[Sales]]&gt;=1000,"High Value", IF(Walmart[[#This Row],[Sales]]&gt;=500,"Medium Value","Low Value"))</f>
        <v>Low Value</v>
      </c>
    </row>
    <row r="20" spans="1:16" hidden="1" x14ac:dyDescent="0.3">
      <c r="A20" t="s">
        <v>90</v>
      </c>
      <c r="B20" s="1">
        <v>41561</v>
      </c>
      <c r="C20" s="1" t="str">
        <f>TEXT(Walmart[[#This Row],[Order Date]],"mmmm")</f>
        <v>October</v>
      </c>
      <c r="D20" s="1">
        <v>41567</v>
      </c>
      <c r="E20" s="1" t="str">
        <f>IF(DATEDIF(Walmart[[#This Row],[Order Date]],Walmart[[#This Row],[Ship Date]],"D")&lt;7,"On time","Delayed")</f>
        <v>On time</v>
      </c>
      <c r="F20" t="s">
        <v>91</v>
      </c>
      <c r="G20" t="s">
        <v>14</v>
      </c>
      <c r="H20" t="s">
        <v>92</v>
      </c>
      <c r="I20" t="s">
        <v>16</v>
      </c>
      <c r="J20" t="s">
        <v>93</v>
      </c>
      <c r="K20" t="s">
        <v>94</v>
      </c>
      <c r="L20">
        <v>20.04</v>
      </c>
      <c r="M20">
        <v>3</v>
      </c>
      <c r="N20" t="str">
        <f>IF(Walmart[[#This Row],[Quantity]]&gt;=7,"Bulk",IF(Walmart[[#This Row],[Quantity]]&gt;=2,"Multi","Single"))</f>
        <v>Multi</v>
      </c>
      <c r="O20">
        <v>9.6199999999999992</v>
      </c>
      <c r="P20" t="str">
        <f>IF(Walmart[[#This Row],[Sales]]&gt;=1000,"High Value", IF(Walmart[[#This Row],[Sales]]&gt;=500,"Medium Value","Low Value"))</f>
        <v>Low Value</v>
      </c>
    </row>
    <row r="21" spans="1:16" x14ac:dyDescent="0.3">
      <c r="A21" t="s">
        <v>2088</v>
      </c>
      <c r="B21" s="1">
        <v>42003</v>
      </c>
      <c r="C21" s="1" t="str">
        <f>TEXT(Walmart[[#This Row],[Order Date]],"mmmm")</f>
        <v>December</v>
      </c>
      <c r="D21" s="1">
        <v>42010</v>
      </c>
      <c r="E21" s="1" t="str">
        <f>IF(DATEDIF(Walmart[[#This Row],[Order Date]],Walmart[[#This Row],[Ship Date]],"D")&lt;7,"On time","Delayed")</f>
        <v>Delayed</v>
      </c>
      <c r="F21" t="s">
        <v>185</v>
      </c>
      <c r="G21" t="s">
        <v>14</v>
      </c>
      <c r="H21" t="s">
        <v>309</v>
      </c>
      <c r="I21" t="s">
        <v>16</v>
      </c>
      <c r="J21" t="s">
        <v>21</v>
      </c>
      <c r="K21" t="s">
        <v>2089</v>
      </c>
      <c r="L21">
        <v>101.12</v>
      </c>
      <c r="M21">
        <v>8</v>
      </c>
      <c r="N21" t="str">
        <f>IF(Walmart[[#This Row],[Quantity]]&gt;=7,"Bulk",IF(Walmart[[#This Row],[Quantity]]&gt;=2,"Multi","Single"))</f>
        <v>Bulk</v>
      </c>
      <c r="O21">
        <v>37.409999999999997</v>
      </c>
      <c r="P21" t="str">
        <f>IF(Walmart[[#This Row],[Sales]]&gt;=1000,"High Value", IF(Walmart[[#This Row],[Sales]]&gt;=500,"Medium Value","Low Value"))</f>
        <v>Low Value</v>
      </c>
    </row>
    <row r="22" spans="1:16" hidden="1" x14ac:dyDescent="0.3">
      <c r="A22" t="s">
        <v>98</v>
      </c>
      <c r="B22" s="1">
        <v>41159</v>
      </c>
      <c r="C22" s="1" t="str">
        <f>TEXT(Walmart[[#This Row],[Order Date]],"mmmm")</f>
        <v>September</v>
      </c>
      <c r="D22" s="1">
        <v>41164</v>
      </c>
      <c r="E22" s="1" t="str">
        <f>IF(DATEDIF(Walmart[[#This Row],[Order Date]],Walmart[[#This Row],[Ship Date]],"D")&lt;7,"On time","Delayed")</f>
        <v>On time</v>
      </c>
      <c r="F22" t="s">
        <v>99</v>
      </c>
      <c r="G22" t="s">
        <v>14</v>
      </c>
      <c r="H22" t="s">
        <v>100</v>
      </c>
      <c r="I22" t="s">
        <v>16</v>
      </c>
      <c r="J22" t="s">
        <v>33</v>
      </c>
      <c r="K22" t="s">
        <v>101</v>
      </c>
      <c r="L22">
        <v>671.93</v>
      </c>
      <c r="M22">
        <v>7</v>
      </c>
      <c r="N22" t="str">
        <f>IF(Walmart[[#This Row],[Quantity]]&gt;=7,"Bulk",IF(Walmart[[#This Row],[Quantity]]&gt;=2,"Multi","Single"))</f>
        <v>Bulk</v>
      </c>
      <c r="O22">
        <v>20.16</v>
      </c>
      <c r="P22" t="str">
        <f>IF(Walmart[[#This Row],[Sales]]&gt;=1000,"High Value", IF(Walmart[[#This Row],[Sales]]&gt;=500,"Medium Value","Low Value"))</f>
        <v>Medium Value</v>
      </c>
    </row>
    <row r="23" spans="1:16" hidden="1" x14ac:dyDescent="0.3">
      <c r="A23" t="s">
        <v>102</v>
      </c>
      <c r="B23" s="1">
        <v>41347</v>
      </c>
      <c r="C23" s="1" t="str">
        <f>TEXT(Walmart[[#This Row],[Order Date]],"mmmm")</f>
        <v>March</v>
      </c>
      <c r="D23" s="1">
        <v>41350</v>
      </c>
      <c r="E23" s="1" t="str">
        <f>IF(DATEDIF(Walmart[[#This Row],[Order Date]],Walmart[[#This Row],[Ship Date]],"D")&lt;7,"On time","Delayed")</f>
        <v>On time</v>
      </c>
      <c r="F23" t="s">
        <v>103</v>
      </c>
      <c r="G23" t="s">
        <v>14</v>
      </c>
      <c r="H23" t="s">
        <v>104</v>
      </c>
      <c r="I23" t="s">
        <v>58</v>
      </c>
      <c r="J23" t="s">
        <v>105</v>
      </c>
      <c r="K23" t="s">
        <v>106</v>
      </c>
      <c r="L23">
        <v>157.91999999999999</v>
      </c>
      <c r="M23">
        <v>5</v>
      </c>
      <c r="N23" t="str">
        <f>IF(Walmart[[#This Row],[Quantity]]&gt;=7,"Bulk",IF(Walmart[[#This Row],[Quantity]]&gt;=2,"Multi","Single"))</f>
        <v>Multi</v>
      </c>
      <c r="O23">
        <v>17.77</v>
      </c>
      <c r="P23" t="str">
        <f>IF(Walmart[[#This Row],[Sales]]&gt;=1000,"High Value", IF(Walmart[[#This Row],[Sales]]&gt;=500,"Medium Value","Low Value"))</f>
        <v>Low Value</v>
      </c>
    </row>
    <row r="24" spans="1:16" hidden="1" x14ac:dyDescent="0.3">
      <c r="A24" t="s">
        <v>107</v>
      </c>
      <c r="B24" s="1">
        <v>41060</v>
      </c>
      <c r="C24" s="1" t="str">
        <f>TEXT(Walmart[[#This Row],[Order Date]],"mmmm")</f>
        <v>May</v>
      </c>
      <c r="D24" s="1">
        <v>41062</v>
      </c>
      <c r="E24" s="1" t="str">
        <f>IF(DATEDIF(Walmart[[#This Row],[Order Date]],Walmart[[#This Row],[Ship Date]],"D")&lt;7,"On time","Delayed")</f>
        <v>On time</v>
      </c>
      <c r="F24" t="s">
        <v>108</v>
      </c>
      <c r="G24" t="s">
        <v>14</v>
      </c>
      <c r="H24" t="s">
        <v>109</v>
      </c>
      <c r="I24" t="s">
        <v>16</v>
      </c>
      <c r="J24" t="s">
        <v>93</v>
      </c>
      <c r="K24" t="s">
        <v>110</v>
      </c>
      <c r="L24">
        <v>58.38</v>
      </c>
      <c r="M24">
        <v>7</v>
      </c>
      <c r="N24" t="str">
        <f>IF(Walmart[[#This Row],[Quantity]]&gt;=7,"Bulk",IF(Walmart[[#This Row],[Quantity]]&gt;=2,"Multi","Single"))</f>
        <v>Bulk</v>
      </c>
      <c r="O24">
        <v>26.27</v>
      </c>
      <c r="P24" t="str">
        <f>IF(Walmart[[#This Row],[Sales]]&gt;=1000,"High Value", IF(Walmart[[#This Row],[Sales]]&gt;=500,"Medium Value","Low Value"))</f>
        <v>Low Value</v>
      </c>
    </row>
    <row r="25" spans="1:16" hidden="1" x14ac:dyDescent="0.3">
      <c r="A25" t="s">
        <v>111</v>
      </c>
      <c r="B25" s="1">
        <v>41057</v>
      </c>
      <c r="C25" s="1" t="str">
        <f>TEXT(Walmart[[#This Row],[Order Date]],"mmmm")</f>
        <v>May</v>
      </c>
      <c r="D25" s="1">
        <v>41063</v>
      </c>
      <c r="E25" s="1" t="str">
        <f>IF(DATEDIF(Walmart[[#This Row],[Order Date]],Walmart[[#This Row],[Ship Date]],"D")&lt;7,"On time","Delayed")</f>
        <v>On time</v>
      </c>
      <c r="F25" t="s">
        <v>112</v>
      </c>
      <c r="G25" t="s">
        <v>14</v>
      </c>
      <c r="H25" t="s">
        <v>25</v>
      </c>
      <c r="I25" t="s">
        <v>26</v>
      </c>
      <c r="J25" t="s">
        <v>38</v>
      </c>
      <c r="K25" t="s">
        <v>113</v>
      </c>
      <c r="L25">
        <v>6.63</v>
      </c>
      <c r="M25">
        <v>3</v>
      </c>
      <c r="N25" t="str">
        <f>IF(Walmart[[#This Row],[Quantity]]&gt;=7,"Bulk",IF(Walmart[[#This Row],[Quantity]]&gt;=2,"Multi","Single"))</f>
        <v>Multi</v>
      </c>
      <c r="O25">
        <v>1.79</v>
      </c>
      <c r="P25" t="str">
        <f>IF(Walmart[[#This Row],[Sales]]&gt;=1000,"High Value", IF(Walmart[[#This Row],[Sales]]&gt;=500,"Medium Value","Low Value"))</f>
        <v>Low Value</v>
      </c>
    </row>
    <row r="26" spans="1:16" hidden="1" x14ac:dyDescent="0.3">
      <c r="A26" t="s">
        <v>114</v>
      </c>
      <c r="B26" s="1">
        <v>40603</v>
      </c>
      <c r="C26" s="1" t="str">
        <f>TEXT(Walmart[[#This Row],[Order Date]],"mmmm")</f>
        <v>March</v>
      </c>
      <c r="D26" s="1">
        <v>40608</v>
      </c>
      <c r="E26" s="1" t="str">
        <f>IF(DATEDIF(Walmart[[#This Row],[Order Date]],Walmart[[#This Row],[Ship Date]],"D")&lt;7,"On time","Delayed")</f>
        <v>On time</v>
      </c>
      <c r="F26" t="s">
        <v>115</v>
      </c>
      <c r="G26" t="s">
        <v>14</v>
      </c>
      <c r="H26" t="s">
        <v>25</v>
      </c>
      <c r="I26" t="s">
        <v>26</v>
      </c>
      <c r="J26" t="s">
        <v>88</v>
      </c>
      <c r="K26" t="s">
        <v>116</v>
      </c>
      <c r="L26">
        <v>457.57</v>
      </c>
      <c r="M26">
        <v>2</v>
      </c>
      <c r="N26" t="str">
        <f>IF(Walmart[[#This Row],[Quantity]]&gt;=7,"Bulk",IF(Walmart[[#This Row],[Quantity]]&gt;=2,"Multi","Single"))</f>
        <v>Multi</v>
      </c>
      <c r="O26">
        <v>51.48</v>
      </c>
      <c r="P26" t="str">
        <f>IF(Walmart[[#This Row],[Sales]]&gt;=1000,"High Value", IF(Walmart[[#This Row],[Sales]]&gt;=500,"Medium Value","Low Value"))</f>
        <v>Low Value</v>
      </c>
    </row>
    <row r="27" spans="1:16" hidden="1" x14ac:dyDescent="0.3">
      <c r="A27" t="s">
        <v>117</v>
      </c>
      <c r="B27" s="1">
        <v>41406</v>
      </c>
      <c r="C27" s="1" t="str">
        <f>TEXT(Walmart[[#This Row],[Order Date]],"mmmm")</f>
        <v>May</v>
      </c>
      <c r="D27" s="1">
        <v>41407</v>
      </c>
      <c r="E27" s="1" t="str">
        <f>IF(DATEDIF(Walmart[[#This Row],[Order Date]],Walmart[[#This Row],[Ship Date]],"D")&lt;7,"On time","Delayed")</f>
        <v>On time</v>
      </c>
      <c r="F27" t="s">
        <v>118</v>
      </c>
      <c r="G27" t="s">
        <v>14</v>
      </c>
      <c r="H27" t="s">
        <v>15</v>
      </c>
      <c r="I27" t="s">
        <v>16</v>
      </c>
      <c r="J27" t="s">
        <v>93</v>
      </c>
      <c r="K27" t="s">
        <v>119</v>
      </c>
      <c r="L27">
        <v>5.98</v>
      </c>
      <c r="M27">
        <v>1</v>
      </c>
      <c r="N27" t="str">
        <f>IF(Walmart[[#This Row],[Quantity]]&gt;=7,"Bulk",IF(Walmart[[#This Row],[Quantity]]&gt;=2,"Multi","Single"))</f>
        <v>Single</v>
      </c>
      <c r="O27">
        <v>2.69</v>
      </c>
      <c r="P27" t="str">
        <f>IF(Walmart[[#This Row],[Sales]]&gt;=1000,"High Value", IF(Walmart[[#This Row],[Sales]]&gt;=500,"Medium Value","Low Value"))</f>
        <v>Low Value</v>
      </c>
    </row>
    <row r="28" spans="1:16" hidden="1" x14ac:dyDescent="0.3">
      <c r="A28" t="s">
        <v>120</v>
      </c>
      <c r="B28" s="1">
        <v>41595</v>
      </c>
      <c r="C28" s="1" t="str">
        <f>TEXT(Walmart[[#This Row],[Order Date]],"mmmm")</f>
        <v>November</v>
      </c>
      <c r="D28" s="1">
        <v>41599</v>
      </c>
      <c r="E28" s="1" t="str">
        <f>IF(DATEDIF(Walmart[[#This Row],[Order Date]],Walmart[[#This Row],[Ship Date]],"D")&lt;7,"On time","Delayed")</f>
        <v>On time</v>
      </c>
      <c r="F28" t="s">
        <v>121</v>
      </c>
      <c r="G28" t="s">
        <v>14</v>
      </c>
      <c r="H28" t="s">
        <v>122</v>
      </c>
      <c r="I28" t="s">
        <v>123</v>
      </c>
      <c r="J28" t="s">
        <v>124</v>
      </c>
      <c r="K28" t="s">
        <v>125</v>
      </c>
      <c r="L28">
        <v>28.4</v>
      </c>
      <c r="M28">
        <v>5</v>
      </c>
      <c r="N28" t="str">
        <f>IF(Walmart[[#This Row],[Quantity]]&gt;=7,"Bulk",IF(Walmart[[#This Row],[Quantity]]&gt;=2,"Multi","Single"))</f>
        <v>Multi</v>
      </c>
      <c r="O28">
        <v>13.35</v>
      </c>
      <c r="P28" t="str">
        <f>IF(Walmart[[#This Row],[Sales]]&gt;=1000,"High Value", IF(Walmart[[#This Row],[Sales]]&gt;=500,"Medium Value","Low Value"))</f>
        <v>Low Value</v>
      </c>
    </row>
    <row r="29" spans="1:16" hidden="1" x14ac:dyDescent="0.3">
      <c r="A29" t="s">
        <v>126</v>
      </c>
      <c r="B29" s="1">
        <v>41586</v>
      </c>
      <c r="C29" s="1" t="str">
        <f>TEXT(Walmart[[#This Row],[Order Date]],"mmmm")</f>
        <v>November</v>
      </c>
      <c r="D29" s="1">
        <v>41590</v>
      </c>
      <c r="E29" s="1" t="str">
        <f>IF(DATEDIF(Walmart[[#This Row],[Order Date]],Walmart[[#This Row],[Ship Date]],"D")&lt;7,"On time","Delayed")</f>
        <v>On time</v>
      </c>
      <c r="F29" t="s">
        <v>127</v>
      </c>
      <c r="G29" t="s">
        <v>14</v>
      </c>
      <c r="H29" t="s">
        <v>25</v>
      </c>
      <c r="I29" t="s">
        <v>26</v>
      </c>
      <c r="J29" t="s">
        <v>27</v>
      </c>
      <c r="K29" t="s">
        <v>128</v>
      </c>
      <c r="L29">
        <v>27.68</v>
      </c>
      <c r="M29">
        <v>2</v>
      </c>
      <c r="N29" t="str">
        <f>IF(Walmart[[#This Row],[Quantity]]&gt;=7,"Bulk",IF(Walmart[[#This Row],[Quantity]]&gt;=2,"Multi","Single"))</f>
        <v>Multi</v>
      </c>
      <c r="O29">
        <v>9.69</v>
      </c>
      <c r="P29" t="str">
        <f>IF(Walmart[[#This Row],[Sales]]&gt;=1000,"High Value", IF(Walmart[[#This Row],[Sales]]&gt;=500,"Medium Value","Low Value"))</f>
        <v>Low Value</v>
      </c>
    </row>
    <row r="30" spans="1:16" hidden="1" x14ac:dyDescent="0.3">
      <c r="A30" t="s">
        <v>129</v>
      </c>
      <c r="B30" s="1">
        <v>40760</v>
      </c>
      <c r="C30" s="1" t="str">
        <f>TEXT(Walmart[[#This Row],[Order Date]],"mmmm")</f>
        <v>August</v>
      </c>
      <c r="D30" s="1">
        <v>40764</v>
      </c>
      <c r="E30" s="1" t="str">
        <f>IF(DATEDIF(Walmart[[#This Row],[Order Date]],Walmart[[#This Row],[Ship Date]],"D")&lt;7,"On time","Delayed")</f>
        <v>On time</v>
      </c>
      <c r="F30" t="s">
        <v>130</v>
      </c>
      <c r="G30" t="s">
        <v>14</v>
      </c>
      <c r="H30" t="s">
        <v>15</v>
      </c>
      <c r="I30" t="s">
        <v>16</v>
      </c>
      <c r="J30" t="s">
        <v>93</v>
      </c>
      <c r="K30" t="s">
        <v>131</v>
      </c>
      <c r="L30">
        <v>20.94</v>
      </c>
      <c r="M30">
        <v>3</v>
      </c>
      <c r="N30" t="str">
        <f>IF(Walmart[[#This Row],[Quantity]]&gt;=7,"Bulk",IF(Walmart[[#This Row],[Quantity]]&gt;=2,"Multi","Single"))</f>
        <v>Multi</v>
      </c>
      <c r="O30">
        <v>9.84</v>
      </c>
      <c r="P30" t="str">
        <f>IF(Walmart[[#This Row],[Sales]]&gt;=1000,"High Value", IF(Walmart[[#This Row],[Sales]]&gt;=500,"Medium Value","Low Value"))</f>
        <v>Low Value</v>
      </c>
    </row>
    <row r="31" spans="1:16" hidden="1" x14ac:dyDescent="0.3">
      <c r="A31" t="s">
        <v>132</v>
      </c>
      <c r="B31" s="1">
        <v>40781</v>
      </c>
      <c r="C31" s="1" t="str">
        <f>TEXT(Walmart[[#This Row],[Order Date]],"mmmm")</f>
        <v>August</v>
      </c>
      <c r="D31" s="1">
        <v>40785</v>
      </c>
      <c r="E31" s="1" t="str">
        <f>IF(DATEDIF(Walmart[[#This Row],[Order Date]],Walmart[[#This Row],[Ship Date]],"D")&lt;7,"On time","Delayed")</f>
        <v>On time</v>
      </c>
      <c r="F31" t="s">
        <v>133</v>
      </c>
      <c r="G31" t="s">
        <v>14</v>
      </c>
      <c r="H31" t="s">
        <v>15</v>
      </c>
      <c r="I31" t="s">
        <v>16</v>
      </c>
      <c r="J31" t="s">
        <v>53</v>
      </c>
      <c r="K31" t="s">
        <v>134</v>
      </c>
      <c r="L31">
        <v>176.8</v>
      </c>
      <c r="M31">
        <v>8</v>
      </c>
      <c r="N31" t="str">
        <f>IF(Walmart[[#This Row],[Quantity]]&gt;=7,"Bulk",IF(Walmart[[#This Row],[Quantity]]&gt;=2,"Multi","Single"))</f>
        <v>Bulk</v>
      </c>
      <c r="O31">
        <v>22.98</v>
      </c>
      <c r="P31" t="str">
        <f>IF(Walmart[[#This Row],[Sales]]&gt;=1000,"High Value", IF(Walmart[[#This Row],[Sales]]&gt;=500,"Medium Value","Low Value"))</f>
        <v>Low Value</v>
      </c>
    </row>
    <row r="32" spans="1:16" hidden="1" x14ac:dyDescent="0.3">
      <c r="A32" t="s">
        <v>135</v>
      </c>
      <c r="B32" s="1">
        <v>41213</v>
      </c>
      <c r="C32" s="1" t="str">
        <f>TEXT(Walmart[[#This Row],[Order Date]],"mmmm")</f>
        <v>October</v>
      </c>
      <c r="D32" s="1">
        <v>41219</v>
      </c>
      <c r="E32" s="1" t="str">
        <f>IF(DATEDIF(Walmart[[#This Row],[Order Date]],Walmart[[#This Row],[Ship Date]],"D")&lt;7,"On time","Delayed")</f>
        <v>On time</v>
      </c>
      <c r="F32" t="s">
        <v>136</v>
      </c>
      <c r="G32" t="s">
        <v>14</v>
      </c>
      <c r="H32" t="s">
        <v>137</v>
      </c>
      <c r="I32" t="s">
        <v>16</v>
      </c>
      <c r="J32" t="s">
        <v>124</v>
      </c>
      <c r="K32" t="s">
        <v>138</v>
      </c>
      <c r="L32">
        <v>14.28</v>
      </c>
      <c r="M32">
        <v>7</v>
      </c>
      <c r="N32" t="str">
        <f>IF(Walmart[[#This Row],[Quantity]]&gt;=7,"Bulk",IF(Walmart[[#This Row],[Quantity]]&gt;=2,"Multi","Single"))</f>
        <v>Bulk</v>
      </c>
      <c r="O32">
        <v>6.71</v>
      </c>
      <c r="P32" t="str">
        <f>IF(Walmart[[#This Row],[Sales]]&gt;=1000,"High Value", IF(Walmart[[#This Row],[Sales]]&gt;=500,"Medium Value","Low Value"))</f>
        <v>Low Value</v>
      </c>
    </row>
    <row r="33" spans="1:16" hidden="1" x14ac:dyDescent="0.3">
      <c r="A33" t="s">
        <v>139</v>
      </c>
      <c r="B33" s="1">
        <v>40758</v>
      </c>
      <c r="C33" s="1" t="str">
        <f>TEXT(Walmart[[#This Row],[Order Date]],"mmmm")</f>
        <v>August</v>
      </c>
      <c r="D33" s="1">
        <v>40760</v>
      </c>
      <c r="E33" s="1" t="str">
        <f>IF(DATEDIF(Walmart[[#This Row],[Order Date]],Walmart[[#This Row],[Ship Date]],"D")&lt;7,"On time","Delayed")</f>
        <v>On time</v>
      </c>
      <c r="F33" t="s">
        <v>140</v>
      </c>
      <c r="G33" t="s">
        <v>14</v>
      </c>
      <c r="H33" t="s">
        <v>141</v>
      </c>
      <c r="I33" t="s">
        <v>77</v>
      </c>
      <c r="J33" t="s">
        <v>43</v>
      </c>
      <c r="K33" t="s">
        <v>142</v>
      </c>
      <c r="L33">
        <v>218.75</v>
      </c>
      <c r="M33">
        <v>2</v>
      </c>
      <c r="N33" t="str">
        <f>IF(Walmart[[#This Row],[Quantity]]&gt;=7,"Bulk",IF(Walmart[[#This Row],[Quantity]]&gt;=2,"Multi","Single"))</f>
        <v>Multi</v>
      </c>
      <c r="O33">
        <v>-161.88</v>
      </c>
      <c r="P33" t="str">
        <f>IF(Walmart[[#This Row],[Sales]]&gt;=1000,"High Value", IF(Walmart[[#This Row],[Sales]]&gt;=500,"Medium Value","Low Value"))</f>
        <v>Low Value</v>
      </c>
    </row>
    <row r="34" spans="1:16" x14ac:dyDescent="0.3">
      <c r="A34" t="s">
        <v>2224</v>
      </c>
      <c r="B34" s="1">
        <v>42003</v>
      </c>
      <c r="C34" s="1" t="str">
        <f>TEXT(Walmart[[#This Row],[Order Date]],"mmmm")</f>
        <v>December</v>
      </c>
      <c r="D34" s="1">
        <v>42007</v>
      </c>
      <c r="E34" s="1" t="str">
        <f>IF(DATEDIF(Walmart[[#This Row],[Order Date]],Walmart[[#This Row],[Ship Date]],"D")&lt;7,"On time","Delayed")</f>
        <v>On time</v>
      </c>
      <c r="F34" t="s">
        <v>140</v>
      </c>
      <c r="G34" t="s">
        <v>14</v>
      </c>
      <c r="H34" t="s">
        <v>434</v>
      </c>
      <c r="I34" t="s">
        <v>26</v>
      </c>
      <c r="J34" t="s">
        <v>191</v>
      </c>
      <c r="K34" t="s">
        <v>2225</v>
      </c>
      <c r="L34">
        <v>19.600000000000001</v>
      </c>
      <c r="M34">
        <v>5</v>
      </c>
      <c r="N34" t="str">
        <f>IF(Walmart[[#This Row],[Quantity]]&gt;=7,"Bulk",IF(Walmart[[#This Row],[Quantity]]&gt;=2,"Multi","Single"))</f>
        <v>Multi</v>
      </c>
      <c r="O34">
        <v>9.6</v>
      </c>
      <c r="P34" t="str">
        <f>IF(Walmart[[#This Row],[Sales]]&gt;=1000,"High Value", IF(Walmart[[#This Row],[Sales]]&gt;=500,"Medium Value","Low Value"))</f>
        <v>Low Value</v>
      </c>
    </row>
    <row r="35" spans="1:16" hidden="1" x14ac:dyDescent="0.3">
      <c r="A35" t="s">
        <v>148</v>
      </c>
      <c r="B35" s="1">
        <v>41576</v>
      </c>
      <c r="C35" s="1" t="str">
        <f>TEXT(Walmart[[#This Row],[Order Date]],"mmmm")</f>
        <v>October</v>
      </c>
      <c r="D35" s="1">
        <v>41580</v>
      </c>
      <c r="E35" s="1" t="str">
        <f>IF(DATEDIF(Walmart[[#This Row],[Order Date]],Walmart[[#This Row],[Ship Date]],"D")&lt;7,"On time","Delayed")</f>
        <v>On time</v>
      </c>
      <c r="F35" t="s">
        <v>149</v>
      </c>
      <c r="G35" t="s">
        <v>14</v>
      </c>
      <c r="H35" t="s">
        <v>15</v>
      </c>
      <c r="I35" t="s">
        <v>16</v>
      </c>
      <c r="J35" t="s">
        <v>33</v>
      </c>
      <c r="K35" t="s">
        <v>150</v>
      </c>
      <c r="L35">
        <v>93.06</v>
      </c>
      <c r="M35">
        <v>6</v>
      </c>
      <c r="N35" t="str">
        <f>IF(Walmart[[#This Row],[Quantity]]&gt;=7,"Bulk",IF(Walmart[[#This Row],[Quantity]]&gt;=2,"Multi","Single"))</f>
        <v>Multi</v>
      </c>
      <c r="O35">
        <v>26.06</v>
      </c>
      <c r="P35" t="str">
        <f>IF(Walmart[[#This Row],[Sales]]&gt;=1000,"High Value", IF(Walmart[[#This Row],[Sales]]&gt;=500,"Medium Value","Low Value"))</f>
        <v>Low Value</v>
      </c>
    </row>
    <row r="36" spans="1:16" x14ac:dyDescent="0.3">
      <c r="A36" t="s">
        <v>166</v>
      </c>
      <c r="B36" s="1">
        <v>42002</v>
      </c>
      <c r="C36" s="1" t="str">
        <f>TEXT(Walmart[[#This Row],[Order Date]],"mmmm")</f>
        <v>December</v>
      </c>
      <c r="D36" s="1">
        <v>42007</v>
      </c>
      <c r="E36" s="1" t="str">
        <f>IF(DATEDIF(Walmart[[#This Row],[Order Date]],Walmart[[#This Row],[Ship Date]],"D")&lt;7,"On time","Delayed")</f>
        <v>On time</v>
      </c>
      <c r="F36" t="s">
        <v>167</v>
      </c>
      <c r="G36" t="s">
        <v>14</v>
      </c>
      <c r="H36" t="s">
        <v>37</v>
      </c>
      <c r="I36" t="s">
        <v>16</v>
      </c>
      <c r="J36" t="s">
        <v>33</v>
      </c>
      <c r="K36" t="s">
        <v>168</v>
      </c>
      <c r="L36">
        <v>725.84</v>
      </c>
      <c r="M36">
        <v>4</v>
      </c>
      <c r="N36" t="str">
        <f>IF(Walmart[[#This Row],[Quantity]]&gt;=7,"Bulk",IF(Walmart[[#This Row],[Quantity]]&gt;=2,"Multi","Single"))</f>
        <v>Multi</v>
      </c>
      <c r="O36">
        <v>210.49</v>
      </c>
      <c r="P36" t="str">
        <f>IF(Walmart[[#This Row],[Sales]]&gt;=1000,"High Value", IF(Walmart[[#This Row],[Sales]]&gt;=500,"Medium Value","Low Value"))</f>
        <v>Medium Value</v>
      </c>
    </row>
    <row r="37" spans="1:16" hidden="1" x14ac:dyDescent="0.3">
      <c r="A37" t="s">
        <v>155</v>
      </c>
      <c r="B37" s="1">
        <v>41619</v>
      </c>
      <c r="C37" s="1" t="str">
        <f>TEXT(Walmart[[#This Row],[Order Date]],"mmmm")</f>
        <v>December</v>
      </c>
      <c r="D37" s="1">
        <v>41624</v>
      </c>
      <c r="E37" s="1" t="str">
        <f>IF(DATEDIF(Walmart[[#This Row],[Order Date]],Walmart[[#This Row],[Ship Date]],"D")&lt;7,"On time","Delayed")</f>
        <v>On time</v>
      </c>
      <c r="F37" t="s">
        <v>156</v>
      </c>
      <c r="G37" t="s">
        <v>14</v>
      </c>
      <c r="H37" t="s">
        <v>37</v>
      </c>
      <c r="I37" t="s">
        <v>16</v>
      </c>
      <c r="J37" t="s">
        <v>88</v>
      </c>
      <c r="K37" t="s">
        <v>157</v>
      </c>
      <c r="L37">
        <v>321.57</v>
      </c>
      <c r="M37">
        <v>2</v>
      </c>
      <c r="N37" t="str">
        <f>IF(Walmart[[#This Row],[Quantity]]&gt;=7,"Bulk",IF(Walmart[[#This Row],[Quantity]]&gt;=2,"Multi","Single"))</f>
        <v>Multi</v>
      </c>
      <c r="O37">
        <v>28.14</v>
      </c>
      <c r="P37" t="str">
        <f>IF(Walmart[[#This Row],[Sales]]&gt;=1000,"High Value", IF(Walmart[[#This Row],[Sales]]&gt;=500,"Medium Value","Low Value"))</f>
        <v>Low Value</v>
      </c>
    </row>
    <row r="38" spans="1:16" hidden="1" x14ac:dyDescent="0.3">
      <c r="A38" t="s">
        <v>158</v>
      </c>
      <c r="B38" s="1">
        <v>41529</v>
      </c>
      <c r="C38" s="1" t="str">
        <f>TEXT(Walmart[[#This Row],[Order Date]],"mmmm")</f>
        <v>September</v>
      </c>
      <c r="D38" s="1">
        <v>41535</v>
      </c>
      <c r="E38" s="1" t="str">
        <f>IF(DATEDIF(Walmart[[#This Row],[Order Date]],Walmart[[#This Row],[Ship Date]],"D")&lt;7,"On time","Delayed")</f>
        <v>On time</v>
      </c>
      <c r="F38" t="s">
        <v>159</v>
      </c>
      <c r="G38" t="s">
        <v>14</v>
      </c>
      <c r="H38" t="s">
        <v>160</v>
      </c>
      <c r="I38" t="s">
        <v>16</v>
      </c>
      <c r="J38" t="s">
        <v>93</v>
      </c>
      <c r="K38" t="s">
        <v>161</v>
      </c>
      <c r="L38">
        <v>7.61</v>
      </c>
      <c r="M38">
        <v>1</v>
      </c>
      <c r="N38" t="str">
        <f>IF(Walmart[[#This Row],[Quantity]]&gt;=7,"Bulk",IF(Walmart[[#This Row],[Quantity]]&gt;=2,"Multi","Single"))</f>
        <v>Single</v>
      </c>
      <c r="O38">
        <v>3.58</v>
      </c>
      <c r="P38" t="str">
        <f>IF(Walmart[[#This Row],[Sales]]&gt;=1000,"High Value", IF(Walmart[[#This Row],[Sales]]&gt;=500,"Medium Value","Low Value"))</f>
        <v>Low Value</v>
      </c>
    </row>
    <row r="39" spans="1:16" hidden="1" x14ac:dyDescent="0.3">
      <c r="A39" t="s">
        <v>162</v>
      </c>
      <c r="B39" s="1">
        <v>41223</v>
      </c>
      <c r="C39" s="1" t="str">
        <f>TEXT(Walmart[[#This Row],[Order Date]],"mmmm")</f>
        <v>November</v>
      </c>
      <c r="D39" s="1">
        <v>41228</v>
      </c>
      <c r="E39" s="1" t="str">
        <f>IF(DATEDIF(Walmart[[#This Row],[Order Date]],Walmart[[#This Row],[Ship Date]],"D")&lt;7,"On time","Delayed")</f>
        <v>On time</v>
      </c>
      <c r="F39" t="s">
        <v>163</v>
      </c>
      <c r="G39" t="s">
        <v>14</v>
      </c>
      <c r="H39" t="s">
        <v>164</v>
      </c>
      <c r="I39" t="s">
        <v>16</v>
      </c>
      <c r="J39" t="s">
        <v>53</v>
      </c>
      <c r="K39" t="s">
        <v>165</v>
      </c>
      <c r="L39">
        <v>79.900000000000006</v>
      </c>
      <c r="M39">
        <v>2</v>
      </c>
      <c r="N39" t="str">
        <f>IF(Walmart[[#This Row],[Quantity]]&gt;=7,"Bulk",IF(Walmart[[#This Row],[Quantity]]&gt;=2,"Multi","Single"))</f>
        <v>Multi</v>
      </c>
      <c r="O39">
        <v>35.159999999999997</v>
      </c>
      <c r="P39" t="str">
        <f>IF(Walmart[[#This Row],[Sales]]&gt;=1000,"High Value", IF(Walmart[[#This Row],[Sales]]&gt;=500,"Medium Value","Low Value"))</f>
        <v>Low Value</v>
      </c>
    </row>
    <row r="40" spans="1:16" x14ac:dyDescent="0.3">
      <c r="A40" t="s">
        <v>1176</v>
      </c>
      <c r="B40" s="1">
        <v>42002</v>
      </c>
      <c r="C40" s="1" t="str">
        <f>TEXT(Walmart[[#This Row],[Order Date]],"mmmm")</f>
        <v>December</v>
      </c>
      <c r="D40" s="1">
        <v>42007</v>
      </c>
      <c r="E40" s="1" t="str">
        <f>IF(DATEDIF(Walmart[[#This Row],[Order Date]],Walmart[[#This Row],[Ship Date]],"D")&lt;7,"On time","Delayed")</f>
        <v>On time</v>
      </c>
      <c r="F40" t="s">
        <v>1177</v>
      </c>
      <c r="G40" t="s">
        <v>14</v>
      </c>
      <c r="H40" t="s">
        <v>25</v>
      </c>
      <c r="I40" t="s">
        <v>26</v>
      </c>
      <c r="J40" t="s">
        <v>21</v>
      </c>
      <c r="K40" t="s">
        <v>371</v>
      </c>
      <c r="L40">
        <v>7.4</v>
      </c>
      <c r="M40">
        <v>2</v>
      </c>
      <c r="N40" t="str">
        <f>IF(Walmart[[#This Row],[Quantity]]&gt;=7,"Bulk",IF(Walmart[[#This Row],[Quantity]]&gt;=2,"Multi","Single"))</f>
        <v>Multi</v>
      </c>
      <c r="O40">
        <v>3.03</v>
      </c>
      <c r="P40" t="str">
        <f>IF(Walmart[[#This Row],[Sales]]&gt;=1000,"High Value", IF(Walmart[[#This Row],[Sales]]&gt;=500,"Medium Value","Low Value"))</f>
        <v>Low Value</v>
      </c>
    </row>
    <row r="41" spans="1:16" hidden="1" x14ac:dyDescent="0.3">
      <c r="A41" t="s">
        <v>169</v>
      </c>
      <c r="B41" s="1">
        <v>41120</v>
      </c>
      <c r="C41" s="1" t="str">
        <f>TEXT(Walmart[[#This Row],[Order Date]],"mmmm")</f>
        <v>July</v>
      </c>
      <c r="D41" s="1">
        <v>41121</v>
      </c>
      <c r="E41" s="1" t="str">
        <f>IF(DATEDIF(Walmart[[#This Row],[Order Date]],Walmart[[#This Row],[Ship Date]],"D")&lt;7,"On time","Delayed")</f>
        <v>On time</v>
      </c>
      <c r="F41" t="s">
        <v>99</v>
      </c>
      <c r="G41" t="s">
        <v>14</v>
      </c>
      <c r="H41" t="s">
        <v>37</v>
      </c>
      <c r="I41" t="s">
        <v>16</v>
      </c>
      <c r="J41" t="s">
        <v>53</v>
      </c>
      <c r="K41" t="s">
        <v>170</v>
      </c>
      <c r="L41">
        <v>209.93</v>
      </c>
      <c r="M41">
        <v>7</v>
      </c>
      <c r="N41" t="str">
        <f>IF(Walmart[[#This Row],[Quantity]]&gt;=7,"Bulk",IF(Walmart[[#This Row],[Quantity]]&gt;=2,"Multi","Single"))</f>
        <v>Bulk</v>
      </c>
      <c r="O41">
        <v>92.37</v>
      </c>
      <c r="P41" t="str">
        <f>IF(Walmart[[#This Row],[Sales]]&gt;=1000,"High Value", IF(Walmart[[#This Row],[Sales]]&gt;=500,"Medium Value","Low Value"))</f>
        <v>Low Value</v>
      </c>
    </row>
    <row r="42" spans="1:16" x14ac:dyDescent="0.3">
      <c r="A42" t="s">
        <v>2446</v>
      </c>
      <c r="B42" s="1">
        <v>42002</v>
      </c>
      <c r="C42" s="1" t="str">
        <f>TEXT(Walmart[[#This Row],[Order Date]],"mmmm")</f>
        <v>December</v>
      </c>
      <c r="D42" s="1">
        <v>42005</v>
      </c>
      <c r="E42" s="1" t="str">
        <f>IF(DATEDIF(Walmart[[#This Row],[Order Date]],Walmart[[#This Row],[Ship Date]],"D")&lt;7,"On time","Delayed")</f>
        <v>On time</v>
      </c>
      <c r="F42" t="s">
        <v>462</v>
      </c>
      <c r="G42" t="s">
        <v>14</v>
      </c>
      <c r="H42" t="s">
        <v>2079</v>
      </c>
      <c r="I42" t="s">
        <v>77</v>
      </c>
      <c r="J42" t="s">
        <v>27</v>
      </c>
      <c r="K42" t="s">
        <v>1739</v>
      </c>
      <c r="L42">
        <v>1.19</v>
      </c>
      <c r="M42">
        <v>2</v>
      </c>
      <c r="N42" t="str">
        <f>IF(Walmart[[#This Row],[Quantity]]&gt;=7,"Bulk",IF(Walmart[[#This Row],[Quantity]]&gt;=2,"Multi","Single"))</f>
        <v>Multi</v>
      </c>
      <c r="O42">
        <v>-0.99</v>
      </c>
      <c r="P42" t="str">
        <f>IF(Walmart[[#This Row],[Sales]]&gt;=1000,"High Value", IF(Walmart[[#This Row],[Sales]]&gt;=500,"Medium Value","Low Value"))</f>
        <v>Low Value</v>
      </c>
    </row>
    <row r="43" spans="1:16" hidden="1" x14ac:dyDescent="0.3">
      <c r="A43" t="s">
        <v>175</v>
      </c>
      <c r="B43" s="1">
        <v>41215</v>
      </c>
      <c r="C43" s="1" t="str">
        <f>TEXT(Walmart[[#This Row],[Order Date]],"mmmm")</f>
        <v>November</v>
      </c>
      <c r="D43" s="1">
        <v>41219</v>
      </c>
      <c r="E43" s="1" t="str">
        <f>IF(DATEDIF(Walmart[[#This Row],[Order Date]],Walmart[[#This Row],[Ship Date]],"D")&lt;7,"On time","Delayed")</f>
        <v>On time</v>
      </c>
      <c r="F43" t="s">
        <v>176</v>
      </c>
      <c r="G43" t="s">
        <v>14</v>
      </c>
      <c r="H43" t="s">
        <v>15</v>
      </c>
      <c r="I43" t="s">
        <v>16</v>
      </c>
      <c r="J43" t="s">
        <v>43</v>
      </c>
      <c r="K43" t="s">
        <v>177</v>
      </c>
      <c r="L43">
        <v>1038.8399999999999</v>
      </c>
      <c r="M43">
        <v>5</v>
      </c>
      <c r="N43" t="str">
        <f>IF(Walmart[[#This Row],[Quantity]]&gt;=7,"Bulk",IF(Walmart[[#This Row],[Quantity]]&gt;=2,"Multi","Single"))</f>
        <v>Multi</v>
      </c>
      <c r="O43">
        <v>51.94</v>
      </c>
      <c r="P43" t="str">
        <f>IF(Walmart[[#This Row],[Sales]]&gt;=1000,"High Value", IF(Walmart[[#This Row],[Sales]]&gt;=500,"Medium Value","Low Value"))</f>
        <v>High Value</v>
      </c>
    </row>
    <row r="44" spans="1:16" hidden="1" x14ac:dyDescent="0.3">
      <c r="A44" t="s">
        <v>178</v>
      </c>
      <c r="B44" s="1">
        <v>41178</v>
      </c>
      <c r="C44" s="1" t="str">
        <f>TEXT(Walmart[[#This Row],[Order Date]],"mmmm")</f>
        <v>September</v>
      </c>
      <c r="D44" s="1">
        <v>41184</v>
      </c>
      <c r="E44" s="1" t="str">
        <f>IF(DATEDIF(Walmart[[#This Row],[Order Date]],Walmart[[#This Row],[Ship Date]],"D")&lt;7,"On time","Delayed")</f>
        <v>On time</v>
      </c>
      <c r="F44" t="s">
        <v>179</v>
      </c>
      <c r="G44" t="s">
        <v>14</v>
      </c>
      <c r="H44" t="s">
        <v>68</v>
      </c>
      <c r="I44" t="s">
        <v>69</v>
      </c>
      <c r="J44" t="s">
        <v>93</v>
      </c>
      <c r="K44" t="s">
        <v>125</v>
      </c>
      <c r="L44">
        <v>141.76</v>
      </c>
      <c r="M44">
        <v>5</v>
      </c>
      <c r="N44" t="str">
        <f>IF(Walmart[[#This Row],[Quantity]]&gt;=7,"Bulk",IF(Walmart[[#This Row],[Quantity]]&gt;=2,"Multi","Single"))</f>
        <v>Multi</v>
      </c>
      <c r="O44">
        <v>47.84</v>
      </c>
      <c r="P44" t="str">
        <f>IF(Walmart[[#This Row],[Sales]]&gt;=1000,"High Value", IF(Walmart[[#This Row],[Sales]]&gt;=500,"Medium Value","Low Value"))</f>
        <v>Low Value</v>
      </c>
    </row>
    <row r="45" spans="1:16" hidden="1" x14ac:dyDescent="0.3">
      <c r="A45" t="s">
        <v>180</v>
      </c>
      <c r="B45" s="1">
        <v>40903</v>
      </c>
      <c r="C45" s="1" t="str">
        <f>TEXT(Walmart[[#This Row],[Order Date]],"mmmm")</f>
        <v>December</v>
      </c>
      <c r="D45" s="1">
        <v>40905</v>
      </c>
      <c r="E45" s="1" t="str">
        <f>IF(DATEDIF(Walmart[[#This Row],[Order Date]],Walmart[[#This Row],[Ship Date]],"D")&lt;7,"On time","Delayed")</f>
        <v>On time</v>
      </c>
      <c r="F45" t="s">
        <v>181</v>
      </c>
      <c r="G45" t="s">
        <v>14</v>
      </c>
      <c r="H45" t="s">
        <v>182</v>
      </c>
      <c r="I45" t="s">
        <v>77</v>
      </c>
      <c r="J45" t="s">
        <v>21</v>
      </c>
      <c r="K45" t="s">
        <v>183</v>
      </c>
      <c r="L45">
        <v>300.42</v>
      </c>
      <c r="M45">
        <v>8</v>
      </c>
      <c r="N45" t="str">
        <f>IF(Walmart[[#This Row],[Quantity]]&gt;=7,"Bulk",IF(Walmart[[#This Row],[Quantity]]&gt;=2,"Multi","Single"))</f>
        <v>Bulk</v>
      </c>
      <c r="O45">
        <v>78.86</v>
      </c>
      <c r="P45" t="str">
        <f>IF(Walmart[[#This Row],[Sales]]&gt;=1000,"High Value", IF(Walmart[[#This Row],[Sales]]&gt;=500,"Medium Value","Low Value"))</f>
        <v>Low Value</v>
      </c>
    </row>
    <row r="46" spans="1:16" hidden="1" x14ac:dyDescent="0.3">
      <c r="A46" t="s">
        <v>184</v>
      </c>
      <c r="B46" s="1">
        <v>41530</v>
      </c>
      <c r="C46" s="1" t="str">
        <f>TEXT(Walmart[[#This Row],[Order Date]],"mmmm")</f>
        <v>September</v>
      </c>
      <c r="D46" s="1">
        <v>41532</v>
      </c>
      <c r="E46" s="1" t="str">
        <f>IF(DATEDIF(Walmart[[#This Row],[Order Date]],Walmart[[#This Row],[Ship Date]],"D")&lt;7,"On time","Delayed")</f>
        <v>On time</v>
      </c>
      <c r="F46" t="s">
        <v>185</v>
      </c>
      <c r="G46" t="s">
        <v>14</v>
      </c>
      <c r="H46" t="s">
        <v>186</v>
      </c>
      <c r="I46" t="s">
        <v>77</v>
      </c>
      <c r="J46" t="s">
        <v>21</v>
      </c>
      <c r="K46" t="s">
        <v>187</v>
      </c>
      <c r="L46">
        <v>15.14</v>
      </c>
      <c r="M46">
        <v>4</v>
      </c>
      <c r="N46" t="str">
        <f>IF(Walmart[[#This Row],[Quantity]]&gt;=7,"Bulk",IF(Walmart[[#This Row],[Quantity]]&gt;=2,"Multi","Single"))</f>
        <v>Multi</v>
      </c>
      <c r="O46">
        <v>3.59</v>
      </c>
      <c r="P46" t="str">
        <f>IF(Walmart[[#This Row],[Sales]]&gt;=1000,"High Value", IF(Walmart[[#This Row],[Sales]]&gt;=500,"Medium Value","Low Value"))</f>
        <v>Low Value</v>
      </c>
    </row>
    <row r="47" spans="1:16" hidden="1" x14ac:dyDescent="0.3">
      <c r="A47" t="s">
        <v>188</v>
      </c>
      <c r="B47" s="1">
        <v>40805</v>
      </c>
      <c r="C47" s="1" t="str">
        <f>TEXT(Walmart[[#This Row],[Order Date]],"mmmm")</f>
        <v>September</v>
      </c>
      <c r="D47" s="1">
        <v>40810</v>
      </c>
      <c r="E47" s="1" t="str">
        <f>IF(DATEDIF(Walmart[[#This Row],[Order Date]],Walmart[[#This Row],[Ship Date]],"D")&lt;7,"On time","Delayed")</f>
        <v>On time</v>
      </c>
      <c r="F47" t="s">
        <v>189</v>
      </c>
      <c r="G47" t="s">
        <v>14</v>
      </c>
      <c r="H47" t="s">
        <v>190</v>
      </c>
      <c r="I47" t="s">
        <v>16</v>
      </c>
      <c r="J47" t="s">
        <v>191</v>
      </c>
      <c r="K47" t="s">
        <v>192</v>
      </c>
      <c r="L47">
        <v>7.16</v>
      </c>
      <c r="M47">
        <v>2</v>
      </c>
      <c r="N47" t="str">
        <f>IF(Walmart[[#This Row],[Quantity]]&gt;=7,"Bulk",IF(Walmart[[#This Row],[Quantity]]&gt;=2,"Multi","Single"))</f>
        <v>Multi</v>
      </c>
      <c r="O47">
        <v>3.58</v>
      </c>
      <c r="P47" t="str">
        <f>IF(Walmart[[#This Row],[Sales]]&gt;=1000,"High Value", IF(Walmart[[#This Row],[Sales]]&gt;=500,"Medium Value","Low Value"))</f>
        <v>Low Value</v>
      </c>
    </row>
    <row r="48" spans="1:16" hidden="1" x14ac:dyDescent="0.3">
      <c r="A48" t="s">
        <v>193</v>
      </c>
      <c r="B48" s="1">
        <v>41388</v>
      </c>
      <c r="C48" s="1" t="str">
        <f>TEXT(Walmart[[#This Row],[Order Date]],"mmmm")</f>
        <v>April</v>
      </c>
      <c r="D48" s="1">
        <v>41392</v>
      </c>
      <c r="E48" s="1" t="str">
        <f>IF(DATEDIF(Walmart[[#This Row],[Order Date]],Walmart[[#This Row],[Ship Date]],"D")&lt;7,"On time","Delayed")</f>
        <v>On time</v>
      </c>
      <c r="F48" t="s">
        <v>194</v>
      </c>
      <c r="G48" t="s">
        <v>14</v>
      </c>
      <c r="H48" t="s">
        <v>195</v>
      </c>
      <c r="I48" t="s">
        <v>16</v>
      </c>
      <c r="J48" t="s">
        <v>27</v>
      </c>
      <c r="K48" t="s">
        <v>196</v>
      </c>
      <c r="L48">
        <v>251.52</v>
      </c>
      <c r="M48">
        <v>6</v>
      </c>
      <c r="N48" t="str">
        <f>IF(Walmart[[#This Row],[Quantity]]&gt;=7,"Bulk",IF(Walmart[[#This Row],[Quantity]]&gt;=2,"Multi","Single"))</f>
        <v>Multi</v>
      </c>
      <c r="O48">
        <v>81.739999999999995</v>
      </c>
      <c r="P48" t="str">
        <f>IF(Walmart[[#This Row],[Sales]]&gt;=1000,"High Value", IF(Walmart[[#This Row],[Sales]]&gt;=500,"Medium Value","Low Value"))</f>
        <v>Low Value</v>
      </c>
    </row>
    <row r="49" spans="1:16" hidden="1" x14ac:dyDescent="0.3">
      <c r="A49" t="s">
        <v>197</v>
      </c>
      <c r="B49" s="1">
        <v>41153</v>
      </c>
      <c r="C49" s="1" t="str">
        <f>TEXT(Walmart[[#This Row],[Order Date]],"mmmm")</f>
        <v>September</v>
      </c>
      <c r="D49" s="1">
        <v>41156</v>
      </c>
      <c r="E49" s="1" t="str">
        <f>IF(DATEDIF(Walmart[[#This Row],[Order Date]],Walmart[[#This Row],[Ship Date]],"D")&lt;7,"On time","Delayed")</f>
        <v>On time</v>
      </c>
      <c r="F49" t="s">
        <v>198</v>
      </c>
      <c r="G49" t="s">
        <v>14</v>
      </c>
      <c r="H49" t="s">
        <v>15</v>
      </c>
      <c r="I49" t="s">
        <v>16</v>
      </c>
      <c r="J49" t="s">
        <v>27</v>
      </c>
      <c r="K49" t="s">
        <v>199</v>
      </c>
      <c r="L49">
        <v>4.75</v>
      </c>
      <c r="M49">
        <v>1</v>
      </c>
      <c r="N49" t="str">
        <f>IF(Walmart[[#This Row],[Quantity]]&gt;=7,"Bulk",IF(Walmart[[#This Row],[Quantity]]&gt;=2,"Multi","Single"))</f>
        <v>Single</v>
      </c>
      <c r="O49">
        <v>1.6</v>
      </c>
      <c r="P49" t="str">
        <f>IF(Walmart[[#This Row],[Sales]]&gt;=1000,"High Value", IF(Walmart[[#This Row],[Sales]]&gt;=500,"Medium Value","Low Value"))</f>
        <v>Low Value</v>
      </c>
    </row>
    <row r="50" spans="1:16" hidden="1" x14ac:dyDescent="0.3">
      <c r="A50" t="s">
        <v>200</v>
      </c>
      <c r="B50" s="1">
        <v>40736</v>
      </c>
      <c r="C50" s="1" t="str">
        <f>TEXT(Walmart[[#This Row],[Order Date]],"mmmm")</f>
        <v>July</v>
      </c>
      <c r="D50" s="1">
        <v>40741</v>
      </c>
      <c r="E50" s="1" t="str">
        <f>IF(DATEDIF(Walmart[[#This Row],[Order Date]],Walmart[[#This Row],[Ship Date]],"D")&lt;7,"On time","Delayed")</f>
        <v>On time</v>
      </c>
      <c r="F50" t="s">
        <v>201</v>
      </c>
      <c r="G50" t="s">
        <v>14</v>
      </c>
      <c r="H50" t="s">
        <v>37</v>
      </c>
      <c r="I50" t="s">
        <v>16</v>
      </c>
      <c r="J50" t="s">
        <v>27</v>
      </c>
      <c r="K50" t="s">
        <v>202</v>
      </c>
      <c r="L50">
        <v>7.71</v>
      </c>
      <c r="M50">
        <v>2</v>
      </c>
      <c r="N50" t="str">
        <f>IF(Walmart[[#This Row],[Quantity]]&gt;=7,"Bulk",IF(Walmart[[#This Row],[Quantity]]&gt;=2,"Multi","Single"))</f>
        <v>Multi</v>
      </c>
      <c r="O50">
        <v>2.8</v>
      </c>
      <c r="P50" t="str">
        <f>IF(Walmart[[#This Row],[Sales]]&gt;=1000,"High Value", IF(Walmart[[#This Row],[Sales]]&gt;=500,"Medium Value","Low Value"))</f>
        <v>Low Value</v>
      </c>
    </row>
    <row r="51" spans="1:16" hidden="1" x14ac:dyDescent="0.3">
      <c r="A51" t="s">
        <v>203</v>
      </c>
      <c r="B51" s="1">
        <v>41082</v>
      </c>
      <c r="C51" s="1" t="str">
        <f>TEXT(Walmart[[#This Row],[Order Date]],"mmmm")</f>
        <v>June</v>
      </c>
      <c r="D51" s="1">
        <v>41086</v>
      </c>
      <c r="E51" s="1" t="str">
        <f>IF(DATEDIF(Walmart[[#This Row],[Order Date]],Walmart[[#This Row],[Ship Date]],"D")&lt;7,"On time","Delayed")</f>
        <v>On time</v>
      </c>
      <c r="F51" t="s">
        <v>204</v>
      </c>
      <c r="G51" t="s">
        <v>14</v>
      </c>
      <c r="H51" t="s">
        <v>205</v>
      </c>
      <c r="I51" t="s">
        <v>32</v>
      </c>
      <c r="J51" t="s">
        <v>191</v>
      </c>
      <c r="K51" t="s">
        <v>206</v>
      </c>
      <c r="L51">
        <v>4.96</v>
      </c>
      <c r="M51">
        <v>4</v>
      </c>
      <c r="N51" t="str">
        <f>IF(Walmart[[#This Row],[Quantity]]&gt;=7,"Bulk",IF(Walmart[[#This Row],[Quantity]]&gt;=2,"Multi","Single"))</f>
        <v>Multi</v>
      </c>
      <c r="O51">
        <v>2.33</v>
      </c>
      <c r="P51" t="str">
        <f>IF(Walmart[[#This Row],[Sales]]&gt;=1000,"High Value", IF(Walmart[[#This Row],[Sales]]&gt;=500,"Medium Value","Low Value"))</f>
        <v>Low Value</v>
      </c>
    </row>
    <row r="52" spans="1:16" x14ac:dyDescent="0.3">
      <c r="A52" t="s">
        <v>2470</v>
      </c>
      <c r="B52" s="1">
        <v>42002</v>
      </c>
      <c r="C52" s="1" t="str">
        <f>TEXT(Walmart[[#This Row],[Order Date]],"mmmm")</f>
        <v>December</v>
      </c>
      <c r="D52" s="1">
        <v>42005</v>
      </c>
      <c r="E52" s="1" t="str">
        <f>IF(DATEDIF(Walmart[[#This Row],[Order Date]],Walmart[[#This Row],[Ship Date]],"D")&lt;7,"On time","Delayed")</f>
        <v>On time</v>
      </c>
      <c r="F52" t="s">
        <v>2471</v>
      </c>
      <c r="G52" t="s">
        <v>14</v>
      </c>
      <c r="H52" t="s">
        <v>190</v>
      </c>
      <c r="I52" t="s">
        <v>16</v>
      </c>
      <c r="J52" t="s">
        <v>88</v>
      </c>
      <c r="K52" t="s">
        <v>2109</v>
      </c>
      <c r="L52">
        <v>340.7</v>
      </c>
      <c r="M52">
        <v>6</v>
      </c>
      <c r="N52" t="str">
        <f>IF(Walmart[[#This Row],[Quantity]]&gt;=7,"Bulk",IF(Walmart[[#This Row],[Quantity]]&gt;=2,"Multi","Single"))</f>
        <v>Multi</v>
      </c>
      <c r="O52">
        <v>-34.07</v>
      </c>
      <c r="P52" t="str">
        <f>IF(Walmart[[#This Row],[Sales]]&gt;=1000,"High Value", IF(Walmart[[#This Row],[Sales]]&gt;=500,"Medium Value","Low Value"))</f>
        <v>Low Value</v>
      </c>
    </row>
    <row r="53" spans="1:16" hidden="1" x14ac:dyDescent="0.3">
      <c r="A53" t="s">
        <v>210</v>
      </c>
      <c r="B53" s="1">
        <v>40810</v>
      </c>
      <c r="C53" s="1" t="str">
        <f>TEXT(Walmart[[#This Row],[Order Date]],"mmmm")</f>
        <v>September</v>
      </c>
      <c r="D53" s="1">
        <v>40815</v>
      </c>
      <c r="E53" s="1" t="str">
        <f>IF(DATEDIF(Walmart[[#This Row],[Order Date]],Walmart[[#This Row],[Ship Date]],"D")&lt;7,"On time","Delayed")</f>
        <v>On time</v>
      </c>
      <c r="F53" t="s">
        <v>211</v>
      </c>
      <c r="G53" t="s">
        <v>14</v>
      </c>
      <c r="H53" t="s">
        <v>37</v>
      </c>
      <c r="I53" t="s">
        <v>16</v>
      </c>
      <c r="J53" t="s">
        <v>33</v>
      </c>
      <c r="K53" t="s">
        <v>212</v>
      </c>
      <c r="L53">
        <v>211.96</v>
      </c>
      <c r="M53">
        <v>4</v>
      </c>
      <c r="N53" t="str">
        <f>IF(Walmart[[#This Row],[Quantity]]&gt;=7,"Bulk",IF(Walmart[[#This Row],[Quantity]]&gt;=2,"Multi","Single"))</f>
        <v>Multi</v>
      </c>
      <c r="O53">
        <v>8.48</v>
      </c>
      <c r="P53" t="str">
        <f>IF(Walmart[[#This Row],[Sales]]&gt;=1000,"High Value", IF(Walmart[[#This Row],[Sales]]&gt;=500,"Medium Value","Low Value"))</f>
        <v>Low Value</v>
      </c>
    </row>
    <row r="54" spans="1:16" hidden="1" x14ac:dyDescent="0.3">
      <c r="A54" t="s">
        <v>213</v>
      </c>
      <c r="B54" s="1">
        <v>40747</v>
      </c>
      <c r="C54" s="1" t="str">
        <f>TEXT(Walmart[[#This Row],[Order Date]],"mmmm")</f>
        <v>July</v>
      </c>
      <c r="D54" s="1">
        <v>40751</v>
      </c>
      <c r="E54" s="1" t="str">
        <f>IF(DATEDIF(Walmart[[#This Row],[Order Date]],Walmart[[#This Row],[Ship Date]],"D")&lt;7,"On time","Delayed")</f>
        <v>On time</v>
      </c>
      <c r="F54" t="s">
        <v>214</v>
      </c>
      <c r="G54" t="s">
        <v>14</v>
      </c>
      <c r="H54" t="s">
        <v>215</v>
      </c>
      <c r="I54" t="s">
        <v>58</v>
      </c>
      <c r="J54" t="s">
        <v>27</v>
      </c>
      <c r="K54" t="s">
        <v>216</v>
      </c>
      <c r="L54">
        <v>8.16</v>
      </c>
      <c r="M54">
        <v>5</v>
      </c>
      <c r="N54" t="str">
        <f>IF(Walmart[[#This Row],[Quantity]]&gt;=7,"Bulk",IF(Walmart[[#This Row],[Quantity]]&gt;=2,"Multi","Single"))</f>
        <v>Multi</v>
      </c>
      <c r="O54">
        <v>-5.71</v>
      </c>
      <c r="P54" t="str">
        <f>IF(Walmart[[#This Row],[Sales]]&gt;=1000,"High Value", IF(Walmart[[#This Row],[Sales]]&gt;=500,"Medium Value","Low Value"))</f>
        <v>Low Value</v>
      </c>
    </row>
    <row r="55" spans="1:16" hidden="1" x14ac:dyDescent="0.3">
      <c r="A55" t="s">
        <v>217</v>
      </c>
      <c r="B55" s="1">
        <v>41576</v>
      </c>
      <c r="C55" s="1" t="str">
        <f>TEXT(Walmart[[#This Row],[Order Date]],"mmmm")</f>
        <v>October</v>
      </c>
      <c r="D55" s="1">
        <v>41577</v>
      </c>
      <c r="E55" s="1" t="str">
        <f>IF(DATEDIF(Walmart[[#This Row],[Order Date]],Walmart[[#This Row],[Ship Date]],"D")&lt;7,"On time","Delayed")</f>
        <v>On time</v>
      </c>
      <c r="F55" t="s">
        <v>218</v>
      </c>
      <c r="G55" t="s">
        <v>14</v>
      </c>
      <c r="H55" t="s">
        <v>37</v>
      </c>
      <c r="I55" t="s">
        <v>16</v>
      </c>
      <c r="J55" t="s">
        <v>93</v>
      </c>
      <c r="K55" t="s">
        <v>219</v>
      </c>
      <c r="L55">
        <v>50.96</v>
      </c>
      <c r="M55">
        <v>7</v>
      </c>
      <c r="N55" t="str">
        <f>IF(Walmart[[#This Row],[Quantity]]&gt;=7,"Bulk",IF(Walmart[[#This Row],[Quantity]]&gt;=2,"Multi","Single"))</f>
        <v>Bulk</v>
      </c>
      <c r="O55">
        <v>25.48</v>
      </c>
      <c r="P55" t="str">
        <f>IF(Walmart[[#This Row],[Sales]]&gt;=1000,"High Value", IF(Walmart[[#This Row],[Sales]]&gt;=500,"Medium Value","Low Value"))</f>
        <v>Low Value</v>
      </c>
    </row>
    <row r="56" spans="1:16" hidden="1" x14ac:dyDescent="0.3">
      <c r="A56" t="s">
        <v>220</v>
      </c>
      <c r="B56" s="1">
        <v>40807</v>
      </c>
      <c r="C56" s="1" t="str">
        <f>TEXT(Walmart[[#This Row],[Order Date]],"mmmm")</f>
        <v>September</v>
      </c>
      <c r="D56" s="1">
        <v>40809</v>
      </c>
      <c r="E56" s="1" t="str">
        <f>IF(DATEDIF(Walmart[[#This Row],[Order Date]],Walmart[[#This Row],[Ship Date]],"D")&lt;7,"On time","Delayed")</f>
        <v>On time</v>
      </c>
      <c r="F56" t="s">
        <v>221</v>
      </c>
      <c r="G56" t="s">
        <v>14</v>
      </c>
      <c r="H56" t="s">
        <v>222</v>
      </c>
      <c r="I56" t="s">
        <v>26</v>
      </c>
      <c r="J56" t="s">
        <v>146</v>
      </c>
      <c r="K56" t="s">
        <v>223</v>
      </c>
      <c r="L56">
        <v>246.38</v>
      </c>
      <c r="M56">
        <v>2</v>
      </c>
      <c r="N56" t="str">
        <f>IF(Walmart[[#This Row],[Quantity]]&gt;=7,"Bulk",IF(Walmart[[#This Row],[Quantity]]&gt;=2,"Multi","Single"))</f>
        <v>Multi</v>
      </c>
      <c r="O56">
        <v>27.72</v>
      </c>
      <c r="P56" t="str">
        <f>IF(Walmart[[#This Row],[Sales]]&gt;=1000,"High Value", IF(Walmart[[#This Row],[Sales]]&gt;=500,"Medium Value","Low Value"))</f>
        <v>Low Value</v>
      </c>
    </row>
    <row r="57" spans="1:16" x14ac:dyDescent="0.3">
      <c r="A57" t="s">
        <v>3035</v>
      </c>
      <c r="B57" s="1">
        <v>42002</v>
      </c>
      <c r="C57" s="1" t="str">
        <f>TEXT(Walmart[[#This Row],[Order Date]],"mmmm")</f>
        <v>December</v>
      </c>
      <c r="D57" s="1">
        <v>42006</v>
      </c>
      <c r="E57" s="1" t="str">
        <f>IF(DATEDIF(Walmart[[#This Row],[Order Date]],Walmart[[#This Row],[Ship Date]],"D")&lt;7,"On time","Delayed")</f>
        <v>On time</v>
      </c>
      <c r="F57" t="s">
        <v>2414</v>
      </c>
      <c r="G57" t="s">
        <v>14</v>
      </c>
      <c r="H57" t="s">
        <v>1163</v>
      </c>
      <c r="I57" t="s">
        <v>123</v>
      </c>
      <c r="J57" t="s">
        <v>33</v>
      </c>
      <c r="K57" t="s">
        <v>3036</v>
      </c>
      <c r="L57">
        <v>118.25</v>
      </c>
      <c r="M57">
        <v>5</v>
      </c>
      <c r="N57" t="str">
        <f>IF(Walmart[[#This Row],[Quantity]]&gt;=7,"Bulk",IF(Walmart[[#This Row],[Quantity]]&gt;=2,"Multi","Single"))</f>
        <v>Multi</v>
      </c>
      <c r="O57">
        <v>34.29</v>
      </c>
      <c r="P57" t="str">
        <f>IF(Walmart[[#This Row],[Sales]]&gt;=1000,"High Value", IF(Walmart[[#This Row],[Sales]]&gt;=500,"Medium Value","Low Value"))</f>
        <v>Low Value</v>
      </c>
    </row>
    <row r="58" spans="1:16" x14ac:dyDescent="0.3">
      <c r="A58" t="s">
        <v>2444</v>
      </c>
      <c r="B58" s="1">
        <v>41999</v>
      </c>
      <c r="C58" s="1" t="str">
        <f>TEXT(Walmart[[#This Row],[Order Date]],"mmmm")</f>
        <v>December</v>
      </c>
      <c r="D58" s="1">
        <v>42003</v>
      </c>
      <c r="E58" s="1" t="str">
        <f>IF(DATEDIF(Walmart[[#This Row],[Order Date]],Walmart[[#This Row],[Ship Date]],"D")&lt;7,"On time","Delayed")</f>
        <v>On time</v>
      </c>
      <c r="F58" t="s">
        <v>814</v>
      </c>
      <c r="G58" t="s">
        <v>14</v>
      </c>
      <c r="H58" t="s">
        <v>15</v>
      </c>
      <c r="I58" t="s">
        <v>16</v>
      </c>
      <c r="J58" t="s">
        <v>27</v>
      </c>
      <c r="K58" t="s">
        <v>1060</v>
      </c>
      <c r="L58">
        <v>153.55000000000001</v>
      </c>
      <c r="M58">
        <v>3</v>
      </c>
      <c r="N58" t="str">
        <f>IF(Walmart[[#This Row],[Quantity]]&gt;=7,"Bulk",IF(Walmart[[#This Row],[Quantity]]&gt;=2,"Multi","Single"))</f>
        <v>Multi</v>
      </c>
      <c r="O58">
        <v>51.82</v>
      </c>
      <c r="P58" t="str">
        <f>IF(Walmart[[#This Row],[Sales]]&gt;=1000,"High Value", IF(Walmart[[#This Row],[Sales]]&gt;=500,"Medium Value","Low Value"))</f>
        <v>Low Value</v>
      </c>
    </row>
    <row r="59" spans="1:16" x14ac:dyDescent="0.3">
      <c r="A59" t="s">
        <v>2643</v>
      </c>
      <c r="B59" s="1">
        <v>41999</v>
      </c>
      <c r="C59" s="1" t="str">
        <f>TEXT(Walmart[[#This Row],[Order Date]],"mmmm")</f>
        <v>December</v>
      </c>
      <c r="D59" s="1">
        <v>42003</v>
      </c>
      <c r="E59" s="1" t="str">
        <f>IF(DATEDIF(Walmart[[#This Row],[Order Date]],Walmart[[#This Row],[Ship Date]],"D")&lt;7,"On time","Delayed")</f>
        <v>On time</v>
      </c>
      <c r="F59" t="s">
        <v>2394</v>
      </c>
      <c r="G59" t="s">
        <v>14</v>
      </c>
      <c r="H59" t="s">
        <v>2644</v>
      </c>
      <c r="I59" t="s">
        <v>26</v>
      </c>
      <c r="J59" t="s">
        <v>27</v>
      </c>
      <c r="K59" t="s">
        <v>202</v>
      </c>
      <c r="L59">
        <v>3.86</v>
      </c>
      <c r="M59">
        <v>1</v>
      </c>
      <c r="N59" t="str">
        <f>IF(Walmart[[#This Row],[Quantity]]&gt;=7,"Bulk",IF(Walmart[[#This Row],[Quantity]]&gt;=2,"Multi","Single"))</f>
        <v>Single</v>
      </c>
      <c r="O59">
        <v>1.4</v>
      </c>
      <c r="P59" t="str">
        <f>IF(Walmart[[#This Row],[Sales]]&gt;=1000,"High Value", IF(Walmart[[#This Row],[Sales]]&gt;=500,"Medium Value","Low Value"))</f>
        <v>Low Value</v>
      </c>
    </row>
    <row r="60" spans="1:16" x14ac:dyDescent="0.3">
      <c r="A60" t="s">
        <v>1196</v>
      </c>
      <c r="B60" s="1">
        <v>41998</v>
      </c>
      <c r="C60" s="1" t="str">
        <f>TEXT(Walmart[[#This Row],[Order Date]],"mmmm")</f>
        <v>December</v>
      </c>
      <c r="D60" s="1">
        <v>42005</v>
      </c>
      <c r="E60" s="1" t="str">
        <f>IF(DATEDIF(Walmart[[#This Row],[Order Date]],Walmart[[#This Row],[Ship Date]],"D")&lt;7,"On time","Delayed")</f>
        <v>Delayed</v>
      </c>
      <c r="F60" t="s">
        <v>163</v>
      </c>
      <c r="G60" t="s">
        <v>14</v>
      </c>
      <c r="H60" t="s">
        <v>25</v>
      </c>
      <c r="I60" t="s">
        <v>26</v>
      </c>
      <c r="J60" t="s">
        <v>33</v>
      </c>
      <c r="K60" t="s">
        <v>1197</v>
      </c>
      <c r="L60">
        <v>1003.62</v>
      </c>
      <c r="M60">
        <v>6</v>
      </c>
      <c r="N60" t="str">
        <f>IF(Walmart[[#This Row],[Quantity]]&gt;=7,"Bulk",IF(Walmart[[#This Row],[Quantity]]&gt;=2,"Multi","Single"))</f>
        <v>Multi</v>
      </c>
      <c r="O60">
        <v>0</v>
      </c>
      <c r="P60" t="str">
        <f>IF(Walmart[[#This Row],[Sales]]&gt;=1000,"High Value", IF(Walmart[[#This Row],[Sales]]&gt;=500,"Medium Value","Low Value"))</f>
        <v>High Value</v>
      </c>
    </row>
    <row r="61" spans="1:16" hidden="1" x14ac:dyDescent="0.3">
      <c r="A61" t="s">
        <v>239</v>
      </c>
      <c r="B61" s="1">
        <v>41379</v>
      </c>
      <c r="C61" s="1" t="str">
        <f>TEXT(Walmart[[#This Row],[Order Date]],"mmmm")</f>
        <v>April</v>
      </c>
      <c r="D61" s="1">
        <v>41383</v>
      </c>
      <c r="E61" s="1" t="str">
        <f>IF(DATEDIF(Walmart[[#This Row],[Order Date]],Walmart[[#This Row],[Ship Date]],"D")&lt;7,"On time","Delayed")</f>
        <v>On time</v>
      </c>
      <c r="F61" t="s">
        <v>240</v>
      </c>
      <c r="G61" t="s">
        <v>14</v>
      </c>
      <c r="H61" t="s">
        <v>15</v>
      </c>
      <c r="I61" t="s">
        <v>16</v>
      </c>
      <c r="J61" t="s">
        <v>88</v>
      </c>
      <c r="K61" t="s">
        <v>241</v>
      </c>
      <c r="L61">
        <v>383.8</v>
      </c>
      <c r="M61">
        <v>5</v>
      </c>
      <c r="N61" t="str">
        <f>IF(Walmart[[#This Row],[Quantity]]&gt;=7,"Bulk",IF(Walmart[[#This Row],[Quantity]]&gt;=2,"Multi","Single"))</f>
        <v>Multi</v>
      </c>
      <c r="O61">
        <v>38.380000000000003</v>
      </c>
      <c r="P61" t="str">
        <f>IF(Walmart[[#This Row],[Sales]]&gt;=1000,"High Value", IF(Walmart[[#This Row],[Sales]]&gt;=500,"Medium Value","Low Value"))</f>
        <v>Low Value</v>
      </c>
    </row>
    <row r="62" spans="1:16" x14ac:dyDescent="0.3">
      <c r="A62" t="s">
        <v>1910</v>
      </c>
      <c r="B62" s="1">
        <v>41998</v>
      </c>
      <c r="C62" s="1" t="str">
        <f>TEXT(Walmart[[#This Row],[Order Date]],"mmmm")</f>
        <v>December</v>
      </c>
      <c r="D62" s="1">
        <v>41999</v>
      </c>
      <c r="E62" s="1" t="str">
        <f>IF(DATEDIF(Walmart[[#This Row],[Order Date]],Walmart[[#This Row],[Ship Date]],"D")&lt;7,"On time","Delayed")</f>
        <v>On time</v>
      </c>
      <c r="F62" t="s">
        <v>1911</v>
      </c>
      <c r="G62" t="s">
        <v>14</v>
      </c>
      <c r="H62" t="s">
        <v>15</v>
      </c>
      <c r="I62" t="s">
        <v>16</v>
      </c>
      <c r="J62" t="s">
        <v>287</v>
      </c>
      <c r="K62" t="s">
        <v>1912</v>
      </c>
      <c r="L62">
        <v>2879.95</v>
      </c>
      <c r="M62">
        <v>6</v>
      </c>
      <c r="N62" t="str">
        <f>IF(Walmart[[#This Row],[Quantity]]&gt;=7,"Bulk",IF(Walmart[[#This Row],[Quantity]]&gt;=2,"Multi","Single"))</f>
        <v>Multi</v>
      </c>
      <c r="O62">
        <v>1007.98</v>
      </c>
      <c r="P62" t="str">
        <f>IF(Walmart[[#This Row],[Sales]]&gt;=1000,"High Value", IF(Walmart[[#This Row],[Sales]]&gt;=500,"Medium Value","Low Value"))</f>
        <v>High Value</v>
      </c>
    </row>
    <row r="63" spans="1:16" hidden="1" x14ac:dyDescent="0.3">
      <c r="A63" t="s">
        <v>245</v>
      </c>
      <c r="B63" s="1">
        <v>40716</v>
      </c>
      <c r="C63" s="1" t="str">
        <f>TEXT(Walmart[[#This Row],[Order Date]],"mmmm")</f>
        <v>June</v>
      </c>
      <c r="D63" s="1">
        <v>40719</v>
      </c>
      <c r="E63" s="1" t="str">
        <f>IF(DATEDIF(Walmart[[#This Row],[Order Date]],Walmart[[#This Row],[Ship Date]],"D")&lt;7,"On time","Delayed")</f>
        <v>On time</v>
      </c>
      <c r="F63" t="s">
        <v>246</v>
      </c>
      <c r="G63" t="s">
        <v>14</v>
      </c>
      <c r="H63" t="s">
        <v>247</v>
      </c>
      <c r="I63" t="s">
        <v>77</v>
      </c>
      <c r="J63" t="s">
        <v>53</v>
      </c>
      <c r="K63" t="s">
        <v>248</v>
      </c>
      <c r="L63">
        <v>196.75</v>
      </c>
      <c r="M63">
        <v>6</v>
      </c>
      <c r="N63" t="str">
        <f>IF(Walmart[[#This Row],[Quantity]]&gt;=7,"Bulk",IF(Walmart[[#This Row],[Quantity]]&gt;=2,"Multi","Single"))</f>
        <v>Multi</v>
      </c>
      <c r="O63">
        <v>56.57</v>
      </c>
      <c r="P63" t="str">
        <f>IF(Walmart[[#This Row],[Sales]]&gt;=1000,"High Value", IF(Walmart[[#This Row],[Sales]]&gt;=500,"Medium Value","Low Value"))</f>
        <v>Low Value</v>
      </c>
    </row>
    <row r="64" spans="1:16" hidden="1" x14ac:dyDescent="0.3">
      <c r="A64" t="s">
        <v>249</v>
      </c>
      <c r="B64" s="1">
        <v>40587</v>
      </c>
      <c r="C64" s="1" t="str">
        <f>TEXT(Walmart[[#This Row],[Order Date]],"mmmm")</f>
        <v>February</v>
      </c>
      <c r="D64" s="1">
        <v>40593</v>
      </c>
      <c r="E64" s="1" t="str">
        <f>IF(DATEDIF(Walmart[[#This Row],[Order Date]],Walmart[[#This Row],[Ship Date]],"D")&lt;7,"On time","Delayed")</f>
        <v>On time</v>
      </c>
      <c r="F64" t="s">
        <v>250</v>
      </c>
      <c r="G64" t="s">
        <v>14</v>
      </c>
      <c r="H64" t="s">
        <v>251</v>
      </c>
      <c r="I64" t="s">
        <v>16</v>
      </c>
      <c r="J64" t="s">
        <v>88</v>
      </c>
      <c r="K64" t="s">
        <v>252</v>
      </c>
      <c r="L64">
        <v>129.57</v>
      </c>
      <c r="M64">
        <v>2</v>
      </c>
      <c r="N64" t="str">
        <f>IF(Walmart[[#This Row],[Quantity]]&gt;=7,"Bulk",IF(Walmart[[#This Row],[Quantity]]&gt;=2,"Multi","Single"))</f>
        <v>Multi</v>
      </c>
      <c r="O64">
        <v>-24.29</v>
      </c>
      <c r="P64" t="str">
        <f>IF(Walmart[[#This Row],[Sales]]&gt;=1000,"High Value", IF(Walmart[[#This Row],[Sales]]&gt;=500,"Medium Value","Low Value"))</f>
        <v>Low Value</v>
      </c>
    </row>
    <row r="65" spans="1:16" hidden="1" x14ac:dyDescent="0.3">
      <c r="A65" t="s">
        <v>253</v>
      </c>
      <c r="B65" s="1">
        <v>41258</v>
      </c>
      <c r="C65" s="1" t="str">
        <f>TEXT(Walmart[[#This Row],[Order Date]],"mmmm")</f>
        <v>December</v>
      </c>
      <c r="D65" s="1">
        <v>41265</v>
      </c>
      <c r="E65" s="1" t="str">
        <f>IF(DATEDIF(Walmart[[#This Row],[Order Date]],Walmart[[#This Row],[Ship Date]],"D")&lt;7,"On time","Delayed")</f>
        <v>Delayed</v>
      </c>
      <c r="F65" t="s">
        <v>254</v>
      </c>
      <c r="G65" t="s">
        <v>14</v>
      </c>
      <c r="H65" t="s">
        <v>25</v>
      </c>
      <c r="I65" t="s">
        <v>26</v>
      </c>
      <c r="J65" t="s">
        <v>105</v>
      </c>
      <c r="K65" t="s">
        <v>255</v>
      </c>
      <c r="L65">
        <v>103.92</v>
      </c>
      <c r="M65">
        <v>4</v>
      </c>
      <c r="N65" t="str">
        <f>IF(Walmart[[#This Row],[Quantity]]&gt;=7,"Bulk",IF(Walmart[[#This Row],[Quantity]]&gt;=2,"Multi","Single"))</f>
        <v>Multi</v>
      </c>
      <c r="O65">
        <v>36.369999999999997</v>
      </c>
      <c r="P65" t="str">
        <f>IF(Walmart[[#This Row],[Sales]]&gt;=1000,"High Value", IF(Walmart[[#This Row],[Sales]]&gt;=500,"Medium Value","Low Value"))</f>
        <v>Low Value</v>
      </c>
    </row>
    <row r="66" spans="1:16" hidden="1" x14ac:dyDescent="0.3">
      <c r="A66" t="s">
        <v>256</v>
      </c>
      <c r="B66" s="1">
        <v>41387</v>
      </c>
      <c r="C66" s="1" t="str">
        <f>TEXT(Walmart[[#This Row],[Order Date]],"mmmm")</f>
        <v>April</v>
      </c>
      <c r="D66" s="1">
        <v>41394</v>
      </c>
      <c r="E66" s="1" t="str">
        <f>IF(DATEDIF(Walmart[[#This Row],[Order Date]],Walmart[[#This Row],[Ship Date]],"D")&lt;7,"On time","Delayed")</f>
        <v>Delayed</v>
      </c>
      <c r="F66" t="s">
        <v>257</v>
      </c>
      <c r="G66" t="s">
        <v>14</v>
      </c>
      <c r="H66" t="s">
        <v>84</v>
      </c>
      <c r="I66" t="s">
        <v>58</v>
      </c>
      <c r="J66" t="s">
        <v>21</v>
      </c>
      <c r="K66" t="s">
        <v>258</v>
      </c>
      <c r="L66">
        <v>23.56</v>
      </c>
      <c r="M66">
        <v>5</v>
      </c>
      <c r="N66" t="str">
        <f>IF(Walmart[[#This Row],[Quantity]]&gt;=7,"Bulk",IF(Walmart[[#This Row],[Quantity]]&gt;=2,"Multi","Single"))</f>
        <v>Multi</v>
      </c>
      <c r="O66">
        <v>7.07</v>
      </c>
      <c r="P66" t="str">
        <f>IF(Walmart[[#This Row],[Sales]]&gt;=1000,"High Value", IF(Walmart[[#This Row],[Sales]]&gt;=500,"Medium Value","Low Value"))</f>
        <v>Low Value</v>
      </c>
    </row>
    <row r="67" spans="1:16" hidden="1" x14ac:dyDescent="0.3">
      <c r="A67" t="s">
        <v>259</v>
      </c>
      <c r="B67" s="1">
        <v>40856</v>
      </c>
      <c r="C67" s="1" t="str">
        <f>TEXT(Walmart[[#This Row],[Order Date]],"mmmm")</f>
        <v>November</v>
      </c>
      <c r="D67" s="1">
        <v>40858</v>
      </c>
      <c r="E67" s="1" t="str">
        <f>IF(DATEDIF(Walmart[[#This Row],[Order Date]],Walmart[[#This Row],[Ship Date]],"D")&lt;7,"On time","Delayed")</f>
        <v>On time</v>
      </c>
      <c r="F67" t="s">
        <v>260</v>
      </c>
      <c r="G67" t="s">
        <v>14</v>
      </c>
      <c r="H67" t="s">
        <v>37</v>
      </c>
      <c r="I67" t="s">
        <v>16</v>
      </c>
      <c r="J67" t="s">
        <v>33</v>
      </c>
      <c r="K67" t="s">
        <v>261</v>
      </c>
      <c r="L67">
        <v>340.92</v>
      </c>
      <c r="M67">
        <v>3</v>
      </c>
      <c r="N67" t="str">
        <f>IF(Walmart[[#This Row],[Quantity]]&gt;=7,"Bulk",IF(Walmart[[#This Row],[Quantity]]&gt;=2,"Multi","Single"))</f>
        <v>Multi</v>
      </c>
      <c r="O67">
        <v>3.41</v>
      </c>
      <c r="P67" t="str">
        <f>IF(Walmart[[#This Row],[Sales]]&gt;=1000,"High Value", IF(Walmart[[#This Row],[Sales]]&gt;=500,"Medium Value","Low Value"))</f>
        <v>Low Value</v>
      </c>
    </row>
    <row r="68" spans="1:16" hidden="1" x14ac:dyDescent="0.3">
      <c r="A68" t="s">
        <v>262</v>
      </c>
      <c r="B68" s="1">
        <v>41468</v>
      </c>
      <c r="C68" s="1" t="str">
        <f>TEXT(Walmart[[#This Row],[Order Date]],"mmmm")</f>
        <v>July</v>
      </c>
      <c r="D68" s="1">
        <v>41475</v>
      </c>
      <c r="E68" s="1" t="str">
        <f>IF(DATEDIF(Walmart[[#This Row],[Order Date]],Walmart[[#This Row],[Ship Date]],"D")&lt;7,"On time","Delayed")</f>
        <v>Delayed</v>
      </c>
      <c r="F68" t="s">
        <v>167</v>
      </c>
      <c r="G68" t="s">
        <v>14</v>
      </c>
      <c r="H68" t="s">
        <v>15</v>
      </c>
      <c r="I68" t="s">
        <v>16</v>
      </c>
      <c r="J68" t="s">
        <v>146</v>
      </c>
      <c r="K68" t="s">
        <v>263</v>
      </c>
      <c r="L68">
        <v>95.76</v>
      </c>
      <c r="M68">
        <v>6</v>
      </c>
      <c r="N68" t="str">
        <f>IF(Walmart[[#This Row],[Quantity]]&gt;=7,"Bulk",IF(Walmart[[#This Row],[Quantity]]&gt;=2,"Multi","Single"))</f>
        <v>Multi</v>
      </c>
      <c r="O68">
        <v>7.18</v>
      </c>
      <c r="P68" t="str">
        <f>IF(Walmart[[#This Row],[Sales]]&gt;=1000,"High Value", IF(Walmart[[#This Row],[Sales]]&gt;=500,"Medium Value","Low Value"))</f>
        <v>Low Value</v>
      </c>
    </row>
    <row r="69" spans="1:16" hidden="1" x14ac:dyDescent="0.3">
      <c r="A69" t="s">
        <v>264</v>
      </c>
      <c r="B69" s="1">
        <v>40822</v>
      </c>
      <c r="C69" s="1" t="str">
        <f>TEXT(Walmart[[#This Row],[Order Date]],"mmmm")</f>
        <v>October</v>
      </c>
      <c r="D69" s="1">
        <v>40826</v>
      </c>
      <c r="E69" s="1" t="str">
        <f>IF(DATEDIF(Walmart[[#This Row],[Order Date]],Walmart[[#This Row],[Ship Date]],"D")&lt;7,"On time","Delayed")</f>
        <v>On time</v>
      </c>
      <c r="F69" t="s">
        <v>265</v>
      </c>
      <c r="G69" t="s">
        <v>14</v>
      </c>
      <c r="H69" t="s">
        <v>160</v>
      </c>
      <c r="I69" t="s">
        <v>16</v>
      </c>
      <c r="J69" t="s">
        <v>53</v>
      </c>
      <c r="K69" t="s">
        <v>266</v>
      </c>
      <c r="L69">
        <v>9.09</v>
      </c>
      <c r="M69">
        <v>3</v>
      </c>
      <c r="N69" t="str">
        <f>IF(Walmart[[#This Row],[Quantity]]&gt;=7,"Bulk",IF(Walmart[[#This Row],[Quantity]]&gt;=2,"Multi","Single"))</f>
        <v>Multi</v>
      </c>
      <c r="O69">
        <v>1.91</v>
      </c>
      <c r="P69" t="str">
        <f>IF(Walmart[[#This Row],[Sales]]&gt;=1000,"High Value", IF(Walmart[[#This Row],[Sales]]&gt;=500,"Medium Value","Low Value"))</f>
        <v>Low Value</v>
      </c>
    </row>
    <row r="70" spans="1:16" x14ac:dyDescent="0.3">
      <c r="A70" t="s">
        <v>2097</v>
      </c>
      <c r="B70" s="1">
        <v>41998</v>
      </c>
      <c r="C70" s="1" t="str">
        <f>TEXT(Walmart[[#This Row],[Order Date]],"mmmm")</f>
        <v>December</v>
      </c>
      <c r="D70" s="1">
        <v>42005</v>
      </c>
      <c r="E70" s="1" t="str">
        <f>IF(DATEDIF(Walmart[[#This Row],[Order Date]],Walmart[[#This Row],[Ship Date]],"D")&lt;7,"On time","Delayed")</f>
        <v>Delayed</v>
      </c>
      <c r="F70" t="s">
        <v>2098</v>
      </c>
      <c r="G70" t="s">
        <v>14</v>
      </c>
      <c r="H70" t="s">
        <v>2099</v>
      </c>
      <c r="I70" t="s">
        <v>58</v>
      </c>
      <c r="J70" t="s">
        <v>21</v>
      </c>
      <c r="K70" t="s">
        <v>2100</v>
      </c>
      <c r="L70">
        <v>8.5399999999999991</v>
      </c>
      <c r="M70">
        <v>4</v>
      </c>
      <c r="N70" t="str">
        <f>IF(Walmart[[#This Row],[Quantity]]&gt;=7,"Bulk",IF(Walmart[[#This Row],[Quantity]]&gt;=2,"Multi","Single"))</f>
        <v>Multi</v>
      </c>
      <c r="O70">
        <v>1.92</v>
      </c>
      <c r="P70" t="str">
        <f>IF(Walmart[[#This Row],[Sales]]&gt;=1000,"High Value", IF(Walmart[[#This Row],[Sales]]&gt;=500,"Medium Value","Low Value"))</f>
        <v>Low Value</v>
      </c>
    </row>
    <row r="71" spans="1:16" hidden="1" x14ac:dyDescent="0.3">
      <c r="A71" t="s">
        <v>270</v>
      </c>
      <c r="B71" s="1">
        <v>41404</v>
      </c>
      <c r="C71" s="1" t="str">
        <f>TEXT(Walmart[[#This Row],[Order Date]],"mmmm")</f>
        <v>May</v>
      </c>
      <c r="D71" s="1">
        <v>41409</v>
      </c>
      <c r="E71" s="1" t="str">
        <f>IF(DATEDIF(Walmart[[#This Row],[Order Date]],Walmart[[#This Row],[Ship Date]],"D")&lt;7,"On time","Delayed")</f>
        <v>On time</v>
      </c>
      <c r="F71" t="s">
        <v>271</v>
      </c>
      <c r="G71" t="s">
        <v>14</v>
      </c>
      <c r="H71" t="s">
        <v>25</v>
      </c>
      <c r="I71" t="s">
        <v>26</v>
      </c>
      <c r="J71" t="s">
        <v>53</v>
      </c>
      <c r="K71" t="s">
        <v>272</v>
      </c>
      <c r="L71">
        <v>93.98</v>
      </c>
      <c r="M71">
        <v>2</v>
      </c>
      <c r="N71" t="str">
        <f>IF(Walmart[[#This Row],[Quantity]]&gt;=7,"Bulk",IF(Walmart[[#This Row],[Quantity]]&gt;=2,"Multi","Single"))</f>
        <v>Multi</v>
      </c>
      <c r="O71">
        <v>13.16</v>
      </c>
      <c r="P71" t="str">
        <f>IF(Walmart[[#This Row],[Sales]]&gt;=1000,"High Value", IF(Walmart[[#This Row],[Sales]]&gt;=500,"Medium Value","Low Value"))</f>
        <v>Low Value</v>
      </c>
    </row>
    <row r="72" spans="1:16" hidden="1" x14ac:dyDescent="0.3">
      <c r="A72" t="s">
        <v>273</v>
      </c>
      <c r="B72" s="1">
        <v>41481</v>
      </c>
      <c r="C72" s="1" t="str">
        <f>TEXT(Walmart[[#This Row],[Order Date]],"mmmm")</f>
        <v>July</v>
      </c>
      <c r="D72" s="1">
        <v>41487</v>
      </c>
      <c r="E72" s="1" t="str">
        <f>IF(DATEDIF(Walmart[[#This Row],[Order Date]],Walmart[[#This Row],[Ship Date]],"D")&lt;7,"On time","Delayed")</f>
        <v>On time</v>
      </c>
      <c r="F72" t="s">
        <v>250</v>
      </c>
      <c r="G72" t="s">
        <v>14</v>
      </c>
      <c r="H72" t="s">
        <v>274</v>
      </c>
      <c r="I72" t="s">
        <v>16</v>
      </c>
      <c r="J72" t="s">
        <v>27</v>
      </c>
      <c r="K72" t="s">
        <v>275</v>
      </c>
      <c r="L72">
        <v>119.62</v>
      </c>
      <c r="M72">
        <v>8</v>
      </c>
      <c r="N72" t="str">
        <f>IF(Walmart[[#This Row],[Quantity]]&gt;=7,"Bulk",IF(Walmart[[#This Row],[Quantity]]&gt;=2,"Multi","Single"))</f>
        <v>Bulk</v>
      </c>
      <c r="O72">
        <v>40.369999999999997</v>
      </c>
      <c r="P72" t="str">
        <f>IF(Walmart[[#This Row],[Sales]]&gt;=1000,"High Value", IF(Walmart[[#This Row],[Sales]]&gt;=500,"Medium Value","Low Value"))</f>
        <v>Low Value</v>
      </c>
    </row>
    <row r="73" spans="1:16" hidden="1" x14ac:dyDescent="0.3">
      <c r="A73" t="s">
        <v>276</v>
      </c>
      <c r="B73" s="1">
        <v>41425</v>
      </c>
      <c r="C73" s="1" t="str">
        <f>TEXT(Walmart[[#This Row],[Order Date]],"mmmm")</f>
        <v>May</v>
      </c>
      <c r="D73" s="1">
        <v>41430</v>
      </c>
      <c r="E73" s="1" t="str">
        <f>IF(DATEDIF(Walmart[[#This Row],[Order Date]],Walmart[[#This Row],[Ship Date]],"D")&lt;7,"On time","Delayed")</f>
        <v>On time</v>
      </c>
      <c r="F73" t="s">
        <v>277</v>
      </c>
      <c r="G73" t="s">
        <v>14</v>
      </c>
      <c r="H73" t="s">
        <v>278</v>
      </c>
      <c r="I73" t="s">
        <v>77</v>
      </c>
      <c r="J73" t="s">
        <v>27</v>
      </c>
      <c r="K73" t="s">
        <v>279</v>
      </c>
      <c r="L73">
        <v>22.62</v>
      </c>
      <c r="M73">
        <v>2</v>
      </c>
      <c r="N73" t="str">
        <f>IF(Walmart[[#This Row],[Quantity]]&gt;=7,"Bulk",IF(Walmart[[#This Row],[Quantity]]&gt;=2,"Multi","Single"))</f>
        <v>Multi</v>
      </c>
      <c r="O73">
        <v>-15.08</v>
      </c>
      <c r="P73" t="str">
        <f>IF(Walmart[[#This Row],[Sales]]&gt;=1000,"High Value", IF(Walmart[[#This Row],[Sales]]&gt;=500,"Medium Value","Low Value"))</f>
        <v>Low Value</v>
      </c>
    </row>
    <row r="74" spans="1:16" x14ac:dyDescent="0.3">
      <c r="A74" t="s">
        <v>3234</v>
      </c>
      <c r="B74" s="1">
        <v>41998</v>
      </c>
      <c r="C74" s="1" t="str">
        <f>TEXT(Walmart[[#This Row],[Order Date]],"mmmm")</f>
        <v>December</v>
      </c>
      <c r="D74" s="1">
        <v>42004</v>
      </c>
      <c r="E74" s="1" t="str">
        <f>IF(DATEDIF(Walmart[[#This Row],[Order Date]],Walmart[[#This Row],[Ship Date]],"D")&lt;7,"On time","Delayed")</f>
        <v>On time</v>
      </c>
      <c r="F74" t="s">
        <v>446</v>
      </c>
      <c r="G74" t="s">
        <v>14</v>
      </c>
      <c r="H74" t="s">
        <v>1437</v>
      </c>
      <c r="I74" t="s">
        <v>1438</v>
      </c>
      <c r="J74" t="s">
        <v>27</v>
      </c>
      <c r="K74" t="s">
        <v>3235</v>
      </c>
      <c r="L74">
        <v>21.31</v>
      </c>
      <c r="M74">
        <v>3</v>
      </c>
      <c r="N74" t="str">
        <f>IF(Walmart[[#This Row],[Quantity]]&gt;=7,"Bulk",IF(Walmart[[#This Row],[Quantity]]&gt;=2,"Multi","Single"))</f>
        <v>Multi</v>
      </c>
      <c r="O74">
        <v>7.99</v>
      </c>
      <c r="P74" t="str">
        <f>IF(Walmart[[#This Row],[Sales]]&gt;=1000,"High Value", IF(Walmart[[#This Row],[Sales]]&gt;=500,"Medium Value","Low Value"))</f>
        <v>Low Value</v>
      </c>
    </row>
    <row r="75" spans="1:16" x14ac:dyDescent="0.3">
      <c r="A75" t="s">
        <v>451</v>
      </c>
      <c r="B75" s="1">
        <v>41997</v>
      </c>
      <c r="C75" s="1" t="str">
        <f>TEXT(Walmart[[#This Row],[Order Date]],"mmmm")</f>
        <v>December</v>
      </c>
      <c r="D75" s="1">
        <v>41997</v>
      </c>
      <c r="E75" s="1" t="str">
        <f>IF(DATEDIF(Walmart[[#This Row],[Order Date]],Walmart[[#This Row],[Ship Date]],"D")&lt;7,"On time","Delayed")</f>
        <v>On time</v>
      </c>
      <c r="F75" t="s">
        <v>393</v>
      </c>
      <c r="G75" t="s">
        <v>14</v>
      </c>
      <c r="H75" t="s">
        <v>37</v>
      </c>
      <c r="I75" t="s">
        <v>16</v>
      </c>
      <c r="J75" t="s">
        <v>38</v>
      </c>
      <c r="K75" t="s">
        <v>452</v>
      </c>
      <c r="L75">
        <v>13.48</v>
      </c>
      <c r="M75">
        <v>4</v>
      </c>
      <c r="N75" t="str">
        <f>IF(Walmart[[#This Row],[Quantity]]&gt;=7,"Bulk",IF(Walmart[[#This Row],[Quantity]]&gt;=2,"Multi","Single"))</f>
        <v>Multi</v>
      </c>
      <c r="O75">
        <v>5.93</v>
      </c>
      <c r="P75" t="str">
        <f>IF(Walmart[[#This Row],[Sales]]&gt;=1000,"High Value", IF(Walmart[[#This Row],[Sales]]&gt;=500,"Medium Value","Low Value"))</f>
        <v>Low Value</v>
      </c>
    </row>
    <row r="76" spans="1:16" hidden="1" x14ac:dyDescent="0.3">
      <c r="A76" t="s">
        <v>289</v>
      </c>
      <c r="B76" s="1">
        <v>41416</v>
      </c>
      <c r="C76" s="1" t="str">
        <f>TEXT(Walmart[[#This Row],[Order Date]],"mmmm")</f>
        <v>May</v>
      </c>
      <c r="D76" s="1">
        <v>41418</v>
      </c>
      <c r="E76" s="1" t="str">
        <f>IF(DATEDIF(Walmart[[#This Row],[Order Date]],Walmart[[#This Row],[Ship Date]],"D")&lt;7,"On time","Delayed")</f>
        <v>On time</v>
      </c>
      <c r="F76" t="s">
        <v>156</v>
      </c>
      <c r="G76" t="s">
        <v>14</v>
      </c>
      <c r="H76" t="s">
        <v>15</v>
      </c>
      <c r="I76" t="s">
        <v>16</v>
      </c>
      <c r="J76" t="s">
        <v>146</v>
      </c>
      <c r="K76" t="s">
        <v>290</v>
      </c>
      <c r="L76">
        <v>55.18</v>
      </c>
      <c r="M76">
        <v>3</v>
      </c>
      <c r="N76" t="str">
        <f>IF(Walmart[[#This Row],[Quantity]]&gt;=7,"Bulk",IF(Walmart[[#This Row],[Quantity]]&gt;=2,"Multi","Single"))</f>
        <v>Multi</v>
      </c>
      <c r="O76">
        <v>-12.41</v>
      </c>
      <c r="P76" t="str">
        <f>IF(Walmart[[#This Row],[Sales]]&gt;=1000,"High Value", IF(Walmart[[#This Row],[Sales]]&gt;=500,"Medium Value","Low Value"))</f>
        <v>Low Value</v>
      </c>
    </row>
    <row r="77" spans="1:16" hidden="1" x14ac:dyDescent="0.3">
      <c r="A77" t="s">
        <v>291</v>
      </c>
      <c r="B77" s="1">
        <v>41220</v>
      </c>
      <c r="C77" s="1" t="str">
        <f>TEXT(Walmart[[#This Row],[Order Date]],"mmmm")</f>
        <v>November</v>
      </c>
      <c r="D77" s="1">
        <v>41222</v>
      </c>
      <c r="E77" s="1" t="str">
        <f>IF(DATEDIF(Walmart[[#This Row],[Order Date]],Walmart[[#This Row],[Ship Date]],"D")&lt;7,"On time","Delayed")</f>
        <v>On time</v>
      </c>
      <c r="F77" t="s">
        <v>292</v>
      </c>
      <c r="G77" t="s">
        <v>14</v>
      </c>
      <c r="H77" t="s">
        <v>15</v>
      </c>
      <c r="I77" t="s">
        <v>16</v>
      </c>
      <c r="J77" t="s">
        <v>88</v>
      </c>
      <c r="K77" t="s">
        <v>293</v>
      </c>
      <c r="L77">
        <v>190.72</v>
      </c>
      <c r="M77">
        <v>1</v>
      </c>
      <c r="N77" t="str">
        <f>IF(Walmart[[#This Row],[Quantity]]&gt;=7,"Bulk",IF(Walmart[[#This Row],[Quantity]]&gt;=2,"Multi","Single"))</f>
        <v>Single</v>
      </c>
      <c r="O77">
        <v>11.92</v>
      </c>
      <c r="P77" t="str">
        <f>IF(Walmart[[#This Row],[Sales]]&gt;=1000,"High Value", IF(Walmart[[#This Row],[Sales]]&gt;=500,"Medium Value","Low Value"))</f>
        <v>Low Value</v>
      </c>
    </row>
    <row r="78" spans="1:16" x14ac:dyDescent="0.3">
      <c r="A78" t="s">
        <v>1244</v>
      </c>
      <c r="B78" s="1">
        <v>41996</v>
      </c>
      <c r="C78" s="1" t="str">
        <f>TEXT(Walmart[[#This Row],[Order Date]],"mmmm")</f>
        <v>December</v>
      </c>
      <c r="D78" s="1">
        <v>42000</v>
      </c>
      <c r="E78" s="1" t="str">
        <f>IF(DATEDIF(Walmart[[#This Row],[Order Date]],Walmart[[#This Row],[Ship Date]],"D")&lt;7,"On time","Delayed")</f>
        <v>On time</v>
      </c>
      <c r="F78" t="s">
        <v>1245</v>
      </c>
      <c r="G78" t="s">
        <v>14</v>
      </c>
      <c r="H78" t="s">
        <v>122</v>
      </c>
      <c r="I78" t="s">
        <v>123</v>
      </c>
      <c r="J78" t="s">
        <v>38</v>
      </c>
      <c r="K78" t="s">
        <v>1246</v>
      </c>
      <c r="L78">
        <v>4.17</v>
      </c>
      <c r="M78">
        <v>3</v>
      </c>
      <c r="N78" t="str">
        <f>IF(Walmart[[#This Row],[Quantity]]&gt;=7,"Bulk",IF(Walmart[[#This Row],[Quantity]]&gt;=2,"Multi","Single"))</f>
        <v>Multi</v>
      </c>
      <c r="O78">
        <v>1.08</v>
      </c>
      <c r="P78" t="str">
        <f>IF(Walmart[[#This Row],[Sales]]&gt;=1000,"High Value", IF(Walmart[[#This Row],[Sales]]&gt;=500,"Medium Value","Low Value"))</f>
        <v>Low Value</v>
      </c>
    </row>
    <row r="79" spans="1:16" hidden="1" x14ac:dyDescent="0.3">
      <c r="A79" t="s">
        <v>297</v>
      </c>
      <c r="B79" s="1">
        <v>41466</v>
      </c>
      <c r="C79" s="1" t="str">
        <f>TEXT(Walmart[[#This Row],[Order Date]],"mmmm")</f>
        <v>July</v>
      </c>
      <c r="D79" s="1">
        <v>41472</v>
      </c>
      <c r="E79" s="1" t="str">
        <f>IF(DATEDIF(Walmart[[#This Row],[Order Date]],Walmart[[#This Row],[Ship Date]],"D")&lt;7,"On time","Delayed")</f>
        <v>On time</v>
      </c>
      <c r="F79" t="s">
        <v>298</v>
      </c>
      <c r="G79" t="s">
        <v>14</v>
      </c>
      <c r="H79" t="s">
        <v>299</v>
      </c>
      <c r="I79" t="s">
        <v>58</v>
      </c>
      <c r="J79" t="s">
        <v>33</v>
      </c>
      <c r="K79" t="s">
        <v>300</v>
      </c>
      <c r="L79">
        <v>16.77</v>
      </c>
      <c r="M79">
        <v>2</v>
      </c>
      <c r="N79" t="str">
        <f>IF(Walmart[[#This Row],[Quantity]]&gt;=7,"Bulk",IF(Walmart[[#This Row],[Quantity]]&gt;=2,"Multi","Single"))</f>
        <v>Multi</v>
      </c>
      <c r="O79">
        <v>1.47</v>
      </c>
      <c r="P79" t="str">
        <f>IF(Walmart[[#This Row],[Sales]]&gt;=1000,"High Value", IF(Walmart[[#This Row],[Sales]]&gt;=500,"Medium Value","Low Value"))</f>
        <v>Low Value</v>
      </c>
    </row>
    <row r="80" spans="1:16" hidden="1" x14ac:dyDescent="0.3">
      <c r="A80" t="s">
        <v>301</v>
      </c>
      <c r="B80" s="1">
        <v>41470</v>
      </c>
      <c r="C80" s="1" t="str">
        <f>TEXT(Walmart[[#This Row],[Order Date]],"mmmm")</f>
        <v>July</v>
      </c>
      <c r="D80" s="1">
        <v>41473</v>
      </c>
      <c r="E80" s="1" t="str">
        <f>IF(DATEDIF(Walmart[[#This Row],[Order Date]],Walmart[[#This Row],[Ship Date]],"D")&lt;7,"On time","Delayed")</f>
        <v>On time</v>
      </c>
      <c r="F80" t="s">
        <v>302</v>
      </c>
      <c r="G80" t="s">
        <v>14</v>
      </c>
      <c r="H80" t="s">
        <v>215</v>
      </c>
      <c r="I80" t="s">
        <v>58</v>
      </c>
      <c r="J80" t="s">
        <v>146</v>
      </c>
      <c r="K80" t="s">
        <v>303</v>
      </c>
      <c r="L80">
        <v>380.86</v>
      </c>
      <c r="M80">
        <v>8</v>
      </c>
      <c r="N80" t="str">
        <f>IF(Walmart[[#This Row],[Quantity]]&gt;=7,"Bulk",IF(Walmart[[#This Row],[Quantity]]&gt;=2,"Multi","Single"))</f>
        <v>Bulk</v>
      </c>
      <c r="O80">
        <v>38.090000000000003</v>
      </c>
      <c r="P80" t="str">
        <f>IF(Walmart[[#This Row],[Sales]]&gt;=1000,"High Value", IF(Walmart[[#This Row],[Sales]]&gt;=500,"Medium Value","Low Value"))</f>
        <v>Low Value</v>
      </c>
    </row>
    <row r="81" spans="1:16" hidden="1" x14ac:dyDescent="0.3">
      <c r="A81" t="s">
        <v>304</v>
      </c>
      <c r="B81" s="1">
        <v>41380</v>
      </c>
      <c r="C81" s="1" t="str">
        <f>TEXT(Walmart[[#This Row],[Order Date]],"mmmm")</f>
        <v>April</v>
      </c>
      <c r="D81" s="1">
        <v>41382</v>
      </c>
      <c r="E81" s="1" t="str">
        <f>IF(DATEDIF(Walmart[[#This Row],[Order Date]],Walmart[[#This Row],[Ship Date]],"D")&lt;7,"On time","Delayed")</f>
        <v>On time</v>
      </c>
      <c r="F81" t="s">
        <v>305</v>
      </c>
      <c r="G81" t="s">
        <v>14</v>
      </c>
      <c r="H81" t="s">
        <v>37</v>
      </c>
      <c r="I81" t="s">
        <v>16</v>
      </c>
      <c r="J81" t="s">
        <v>88</v>
      </c>
      <c r="K81" t="s">
        <v>306</v>
      </c>
      <c r="L81">
        <v>1121.57</v>
      </c>
      <c r="M81">
        <v>2</v>
      </c>
      <c r="N81" t="str">
        <f>IF(Walmart[[#This Row],[Quantity]]&gt;=7,"Bulk",IF(Walmart[[#This Row],[Quantity]]&gt;=2,"Multi","Single"))</f>
        <v>Multi</v>
      </c>
      <c r="O81">
        <v>0</v>
      </c>
      <c r="P81" t="str">
        <f>IF(Walmart[[#This Row],[Sales]]&gt;=1000,"High Value", IF(Walmart[[#This Row],[Sales]]&gt;=500,"Medium Value","Low Value"))</f>
        <v>High Value</v>
      </c>
    </row>
    <row r="82" spans="1:16" x14ac:dyDescent="0.3">
      <c r="A82" t="s">
        <v>2764</v>
      </c>
      <c r="B82" s="1">
        <v>41996</v>
      </c>
      <c r="C82" s="1" t="str">
        <f>TEXT(Walmart[[#This Row],[Order Date]],"mmmm")</f>
        <v>December</v>
      </c>
      <c r="D82" s="1">
        <v>41999</v>
      </c>
      <c r="E82" s="1" t="str">
        <f>IF(DATEDIF(Walmart[[#This Row],[Order Date]],Walmart[[#This Row],[Ship Date]],"D")&lt;7,"On time","Delayed")</f>
        <v>On time</v>
      </c>
      <c r="F82" t="s">
        <v>1827</v>
      </c>
      <c r="G82" t="s">
        <v>14</v>
      </c>
      <c r="H82" t="s">
        <v>299</v>
      </c>
      <c r="I82" t="s">
        <v>58</v>
      </c>
      <c r="J82" t="s">
        <v>43</v>
      </c>
      <c r="K82" t="s">
        <v>678</v>
      </c>
      <c r="L82">
        <v>182.55</v>
      </c>
      <c r="M82">
        <v>2</v>
      </c>
      <c r="N82" t="str">
        <f>IF(Walmart[[#This Row],[Quantity]]&gt;=7,"Bulk",IF(Walmart[[#This Row],[Quantity]]&gt;=2,"Multi","Single"))</f>
        <v>Multi</v>
      </c>
      <c r="O82">
        <v>-135.09</v>
      </c>
      <c r="P82" t="str">
        <f>IF(Walmart[[#This Row],[Sales]]&gt;=1000,"High Value", IF(Walmart[[#This Row],[Sales]]&gt;=500,"Medium Value","Low Value"))</f>
        <v>Low Value</v>
      </c>
    </row>
    <row r="83" spans="1:16" hidden="1" x14ac:dyDescent="0.3">
      <c r="A83" t="s">
        <v>311</v>
      </c>
      <c r="B83" s="1">
        <v>41436</v>
      </c>
      <c r="C83" s="1" t="str">
        <f>TEXT(Walmart[[#This Row],[Order Date]],"mmmm")</f>
        <v>June</v>
      </c>
      <c r="D83" s="1">
        <v>41441</v>
      </c>
      <c r="E83" s="1" t="str">
        <f>IF(DATEDIF(Walmart[[#This Row],[Order Date]],Walmart[[#This Row],[Ship Date]],"D")&lt;7,"On time","Delayed")</f>
        <v>On time</v>
      </c>
      <c r="F83" t="s">
        <v>312</v>
      </c>
      <c r="G83" t="s">
        <v>14</v>
      </c>
      <c r="H83" t="s">
        <v>15</v>
      </c>
      <c r="I83" t="s">
        <v>16</v>
      </c>
      <c r="J83" t="s">
        <v>17</v>
      </c>
      <c r="K83" t="s">
        <v>313</v>
      </c>
      <c r="L83">
        <v>20.7</v>
      </c>
      <c r="M83">
        <v>2</v>
      </c>
      <c r="N83" t="str">
        <f>IF(Walmart[[#This Row],[Quantity]]&gt;=7,"Bulk",IF(Walmart[[#This Row],[Quantity]]&gt;=2,"Multi","Single"))</f>
        <v>Multi</v>
      </c>
      <c r="O83">
        <v>9.94</v>
      </c>
      <c r="P83" t="str">
        <f>IF(Walmart[[#This Row],[Sales]]&gt;=1000,"High Value", IF(Walmart[[#This Row],[Sales]]&gt;=500,"Medium Value","Low Value"))</f>
        <v>Low Value</v>
      </c>
    </row>
    <row r="84" spans="1:16" x14ac:dyDescent="0.3">
      <c r="A84" t="s">
        <v>3062</v>
      </c>
      <c r="B84" s="1">
        <v>41996</v>
      </c>
      <c r="C84" s="1" t="str">
        <f>TEXT(Walmart[[#This Row],[Order Date]],"mmmm")</f>
        <v>December</v>
      </c>
      <c r="D84" s="1">
        <v>41998</v>
      </c>
      <c r="E84" s="1" t="str">
        <f>IF(DATEDIF(Walmart[[#This Row],[Order Date]],Walmart[[#This Row],[Ship Date]],"D")&lt;7,"On time","Delayed")</f>
        <v>On time</v>
      </c>
      <c r="F84" t="s">
        <v>2776</v>
      </c>
      <c r="G84" t="s">
        <v>14</v>
      </c>
      <c r="H84" t="s">
        <v>15</v>
      </c>
      <c r="I84" t="s">
        <v>16</v>
      </c>
      <c r="J84" t="s">
        <v>53</v>
      </c>
      <c r="K84" t="s">
        <v>3063</v>
      </c>
      <c r="L84">
        <v>474.95</v>
      </c>
      <c r="M84">
        <v>5</v>
      </c>
      <c r="N84" t="str">
        <f>IF(Walmart[[#This Row],[Quantity]]&gt;=7,"Bulk",IF(Walmart[[#This Row],[Quantity]]&gt;=2,"Multi","Single"))</f>
        <v>Multi</v>
      </c>
      <c r="O84">
        <v>142.49</v>
      </c>
      <c r="P84" t="str">
        <f>IF(Walmart[[#This Row],[Sales]]&gt;=1000,"High Value", IF(Walmart[[#This Row],[Sales]]&gt;=500,"Medium Value","Low Value"))</f>
        <v>Low Value</v>
      </c>
    </row>
    <row r="85" spans="1:16" hidden="1" x14ac:dyDescent="0.3">
      <c r="A85" t="s">
        <v>317</v>
      </c>
      <c r="B85" s="1">
        <v>41250</v>
      </c>
      <c r="C85" s="1" t="str">
        <f>TEXT(Walmart[[#This Row],[Order Date]],"mmmm")</f>
        <v>December</v>
      </c>
      <c r="D85" s="1">
        <v>41252</v>
      </c>
      <c r="E85" s="1" t="str">
        <f>IF(DATEDIF(Walmart[[#This Row],[Order Date]],Walmart[[#This Row],[Ship Date]],"D")&lt;7,"On time","Delayed")</f>
        <v>On time</v>
      </c>
      <c r="F85" t="s">
        <v>318</v>
      </c>
      <c r="G85" t="s">
        <v>14</v>
      </c>
      <c r="H85" t="s">
        <v>25</v>
      </c>
      <c r="I85" t="s">
        <v>26</v>
      </c>
      <c r="J85" t="s">
        <v>191</v>
      </c>
      <c r="K85" t="s">
        <v>319</v>
      </c>
      <c r="L85">
        <v>3.96</v>
      </c>
      <c r="M85">
        <v>2</v>
      </c>
      <c r="N85" t="str">
        <f>IF(Walmart[[#This Row],[Quantity]]&gt;=7,"Bulk",IF(Walmart[[#This Row],[Quantity]]&gt;=2,"Multi","Single"))</f>
        <v>Multi</v>
      </c>
      <c r="O85">
        <v>0</v>
      </c>
      <c r="P85" t="str">
        <f>IF(Walmart[[#This Row],[Sales]]&gt;=1000,"High Value", IF(Walmart[[#This Row],[Sales]]&gt;=500,"Medium Value","Low Value"))</f>
        <v>Low Value</v>
      </c>
    </row>
    <row r="86" spans="1:16" x14ac:dyDescent="0.3">
      <c r="A86" t="s">
        <v>280</v>
      </c>
      <c r="B86" s="1">
        <v>41995</v>
      </c>
      <c r="C86" s="1" t="str">
        <f>TEXT(Walmart[[#This Row],[Order Date]],"mmmm")</f>
        <v>December</v>
      </c>
      <c r="D86" s="1">
        <v>41999</v>
      </c>
      <c r="E86" s="1" t="str">
        <f>IF(DATEDIF(Walmart[[#This Row],[Order Date]],Walmart[[#This Row],[Ship Date]],"D")&lt;7,"On time","Delayed")</f>
        <v>On time</v>
      </c>
      <c r="F86" t="s">
        <v>281</v>
      </c>
      <c r="G86" t="s">
        <v>14</v>
      </c>
      <c r="H86" t="s">
        <v>15</v>
      </c>
      <c r="I86" t="s">
        <v>16</v>
      </c>
      <c r="J86" t="s">
        <v>38</v>
      </c>
      <c r="K86" t="s">
        <v>282</v>
      </c>
      <c r="L86">
        <v>6.63</v>
      </c>
      <c r="M86">
        <v>3</v>
      </c>
      <c r="N86" t="str">
        <f>IF(Walmart[[#This Row],[Quantity]]&gt;=7,"Bulk",IF(Walmart[[#This Row],[Quantity]]&gt;=2,"Multi","Single"))</f>
        <v>Multi</v>
      </c>
      <c r="O86">
        <v>1.79</v>
      </c>
      <c r="P86" t="str">
        <f>IF(Walmart[[#This Row],[Sales]]&gt;=1000,"High Value", IF(Walmart[[#This Row],[Sales]]&gt;=500,"Medium Value","Low Value"))</f>
        <v>Low Value</v>
      </c>
    </row>
    <row r="87" spans="1:16" x14ac:dyDescent="0.3">
      <c r="A87" t="s">
        <v>800</v>
      </c>
      <c r="B87" s="1">
        <v>41995</v>
      </c>
      <c r="C87" s="1" t="str">
        <f>TEXT(Walmart[[#This Row],[Order Date]],"mmmm")</f>
        <v>December</v>
      </c>
      <c r="D87" s="1">
        <v>41999</v>
      </c>
      <c r="E87" s="1" t="str">
        <f>IF(DATEDIF(Walmart[[#This Row],[Order Date]],Walmart[[#This Row],[Ship Date]],"D")&lt;7,"On time","Delayed")</f>
        <v>On time</v>
      </c>
      <c r="F87" t="s">
        <v>801</v>
      </c>
      <c r="G87" t="s">
        <v>14</v>
      </c>
      <c r="H87" t="s">
        <v>556</v>
      </c>
      <c r="I87" t="s">
        <v>16</v>
      </c>
      <c r="J87" t="s">
        <v>33</v>
      </c>
      <c r="K87" t="s">
        <v>620</v>
      </c>
      <c r="L87">
        <v>1000.02</v>
      </c>
      <c r="M87">
        <v>7</v>
      </c>
      <c r="N87" t="str">
        <f>IF(Walmart[[#This Row],[Quantity]]&gt;=7,"Bulk",IF(Walmart[[#This Row],[Quantity]]&gt;=2,"Multi","Single"))</f>
        <v>Bulk</v>
      </c>
      <c r="O87">
        <v>290.01</v>
      </c>
      <c r="P87" t="str">
        <f>IF(Walmart[[#This Row],[Sales]]&gt;=1000,"High Value", IF(Walmart[[#This Row],[Sales]]&gt;=500,"Medium Value","Low Value"))</f>
        <v>High Value</v>
      </c>
    </row>
    <row r="88" spans="1:16" hidden="1" x14ac:dyDescent="0.3">
      <c r="A88" t="s">
        <v>326</v>
      </c>
      <c r="B88" s="1">
        <v>41582</v>
      </c>
      <c r="C88" s="1" t="str">
        <f>TEXT(Walmart[[#This Row],[Order Date]],"mmmm")</f>
        <v>November</v>
      </c>
      <c r="D88" s="1">
        <v>41586</v>
      </c>
      <c r="E88" s="1" t="str">
        <f>IF(DATEDIF(Walmart[[#This Row],[Order Date]],Walmart[[#This Row],[Ship Date]],"D")&lt;7,"On time","Delayed")</f>
        <v>On time</v>
      </c>
      <c r="F88" t="s">
        <v>327</v>
      </c>
      <c r="G88" t="s">
        <v>14</v>
      </c>
      <c r="H88" t="s">
        <v>328</v>
      </c>
      <c r="I88" t="s">
        <v>26</v>
      </c>
      <c r="J88" t="s">
        <v>38</v>
      </c>
      <c r="K88" t="s">
        <v>329</v>
      </c>
      <c r="L88">
        <v>8.82</v>
      </c>
      <c r="M88">
        <v>3</v>
      </c>
      <c r="N88" t="str">
        <f>IF(Walmart[[#This Row],[Quantity]]&gt;=7,"Bulk",IF(Walmart[[#This Row],[Quantity]]&gt;=2,"Multi","Single"))</f>
        <v>Multi</v>
      </c>
      <c r="O88">
        <v>2.38</v>
      </c>
      <c r="P88" t="str">
        <f>IF(Walmart[[#This Row],[Sales]]&gt;=1000,"High Value", IF(Walmart[[#This Row],[Sales]]&gt;=500,"Medium Value","Low Value"))</f>
        <v>Low Value</v>
      </c>
    </row>
    <row r="89" spans="1:16" hidden="1" x14ac:dyDescent="0.3">
      <c r="A89" t="s">
        <v>330</v>
      </c>
      <c r="B89" s="1">
        <v>41170</v>
      </c>
      <c r="C89" s="1" t="str">
        <f>TEXT(Walmart[[#This Row],[Order Date]],"mmmm")</f>
        <v>September</v>
      </c>
      <c r="D89" s="1">
        <v>41174</v>
      </c>
      <c r="E89" s="1" t="str">
        <f>IF(DATEDIF(Walmart[[#This Row],[Order Date]],Walmart[[#This Row],[Ship Date]],"D")&lt;7,"On time","Delayed")</f>
        <v>On time</v>
      </c>
      <c r="F89" t="s">
        <v>331</v>
      </c>
      <c r="G89" t="s">
        <v>14</v>
      </c>
      <c r="H89" t="s">
        <v>190</v>
      </c>
      <c r="I89" t="s">
        <v>16</v>
      </c>
      <c r="J89" t="s">
        <v>93</v>
      </c>
      <c r="K89" t="s">
        <v>325</v>
      </c>
      <c r="L89">
        <v>160.72</v>
      </c>
      <c r="M89">
        <v>14</v>
      </c>
      <c r="N89" t="str">
        <f>IF(Walmart[[#This Row],[Quantity]]&gt;=7,"Bulk",IF(Walmart[[#This Row],[Quantity]]&gt;=2,"Multi","Single"))</f>
        <v>Bulk</v>
      </c>
      <c r="O89">
        <v>78.75</v>
      </c>
      <c r="P89" t="str">
        <f>IF(Walmart[[#This Row],[Sales]]&gt;=1000,"High Value", IF(Walmart[[#This Row],[Sales]]&gt;=500,"Medium Value","Low Value"))</f>
        <v>Low Value</v>
      </c>
    </row>
    <row r="90" spans="1:16" hidden="1" x14ac:dyDescent="0.3">
      <c r="A90" t="s">
        <v>332</v>
      </c>
      <c r="B90" s="1">
        <v>41162</v>
      </c>
      <c r="C90" s="1" t="str">
        <f>TEXT(Walmart[[#This Row],[Order Date]],"mmmm")</f>
        <v>September</v>
      </c>
      <c r="D90" s="1">
        <v>41166</v>
      </c>
      <c r="E90" s="1" t="str">
        <f>IF(DATEDIF(Walmart[[#This Row],[Order Date]],Walmart[[#This Row],[Ship Date]],"D")&lt;7,"On time","Delayed")</f>
        <v>On time</v>
      </c>
      <c r="F90" t="s">
        <v>333</v>
      </c>
      <c r="G90" t="s">
        <v>14</v>
      </c>
      <c r="H90" t="s">
        <v>15</v>
      </c>
      <c r="I90" t="s">
        <v>16</v>
      </c>
      <c r="J90" t="s">
        <v>334</v>
      </c>
      <c r="K90" t="s">
        <v>335</v>
      </c>
      <c r="L90">
        <v>51.52</v>
      </c>
      <c r="M90">
        <v>4</v>
      </c>
      <c r="N90" t="str">
        <f>IF(Walmart[[#This Row],[Quantity]]&gt;=7,"Bulk",IF(Walmart[[#This Row],[Quantity]]&gt;=2,"Multi","Single"))</f>
        <v>Multi</v>
      </c>
      <c r="O90">
        <v>1.55</v>
      </c>
      <c r="P90" t="str">
        <f>IF(Walmart[[#This Row],[Sales]]&gt;=1000,"High Value", IF(Walmart[[#This Row],[Sales]]&gt;=500,"Medium Value","Low Value"))</f>
        <v>Low Value</v>
      </c>
    </row>
    <row r="91" spans="1:16" x14ac:dyDescent="0.3">
      <c r="A91" t="s">
        <v>1289</v>
      </c>
      <c r="B91" s="1">
        <v>41995</v>
      </c>
      <c r="C91" s="1" t="str">
        <f>TEXT(Walmart[[#This Row],[Order Date]],"mmmm")</f>
        <v>December</v>
      </c>
      <c r="D91" s="1">
        <v>42001</v>
      </c>
      <c r="E91" s="1" t="str">
        <f>IF(DATEDIF(Walmart[[#This Row],[Order Date]],Walmart[[#This Row],[Ship Date]],"D")&lt;7,"On time","Delayed")</f>
        <v>On time</v>
      </c>
      <c r="F91" t="s">
        <v>1290</v>
      </c>
      <c r="G91" t="s">
        <v>14</v>
      </c>
      <c r="H91" t="s">
        <v>274</v>
      </c>
      <c r="I91" t="s">
        <v>16</v>
      </c>
      <c r="J91" t="s">
        <v>33</v>
      </c>
      <c r="K91" t="s">
        <v>861</v>
      </c>
      <c r="L91">
        <v>124.36</v>
      </c>
      <c r="M91">
        <v>2</v>
      </c>
      <c r="N91" t="str">
        <f>IF(Walmart[[#This Row],[Quantity]]&gt;=7,"Bulk",IF(Walmart[[#This Row],[Quantity]]&gt;=2,"Multi","Single"))</f>
        <v>Multi</v>
      </c>
      <c r="O91">
        <v>33.58</v>
      </c>
      <c r="P91" t="str">
        <f>IF(Walmart[[#This Row],[Sales]]&gt;=1000,"High Value", IF(Walmart[[#This Row],[Sales]]&gt;=500,"Medium Value","Low Value"))</f>
        <v>Low Value</v>
      </c>
    </row>
    <row r="92" spans="1:16" hidden="1" x14ac:dyDescent="0.3">
      <c r="A92" t="s">
        <v>339</v>
      </c>
      <c r="B92" s="1">
        <v>41354</v>
      </c>
      <c r="C92" s="1" t="str">
        <f>TEXT(Walmart[[#This Row],[Order Date]],"mmmm")</f>
        <v>March</v>
      </c>
      <c r="D92" s="1">
        <v>41358</v>
      </c>
      <c r="E92" s="1" t="str">
        <f>IF(DATEDIF(Walmart[[#This Row],[Order Date]],Walmart[[#This Row],[Ship Date]],"D")&lt;7,"On time","Delayed")</f>
        <v>On time</v>
      </c>
      <c r="F92" t="s">
        <v>340</v>
      </c>
      <c r="G92" t="s">
        <v>14</v>
      </c>
      <c r="H92" t="s">
        <v>341</v>
      </c>
      <c r="I92" t="s">
        <v>69</v>
      </c>
      <c r="J92" t="s">
        <v>146</v>
      </c>
      <c r="K92" t="s">
        <v>342</v>
      </c>
      <c r="L92">
        <v>84.78</v>
      </c>
      <c r="M92">
        <v>2</v>
      </c>
      <c r="N92" t="str">
        <f>IF(Walmart[[#This Row],[Quantity]]&gt;=7,"Bulk",IF(Walmart[[#This Row],[Quantity]]&gt;=2,"Multi","Single"))</f>
        <v>Multi</v>
      </c>
      <c r="O92">
        <v>-20.14</v>
      </c>
      <c r="P92" t="str">
        <f>IF(Walmart[[#This Row],[Sales]]&gt;=1000,"High Value", IF(Walmart[[#This Row],[Sales]]&gt;=500,"Medium Value","Low Value"))</f>
        <v>Low Value</v>
      </c>
    </row>
    <row r="93" spans="1:16" hidden="1" x14ac:dyDescent="0.3">
      <c r="A93" t="s">
        <v>343</v>
      </c>
      <c r="B93" s="1">
        <v>40763</v>
      </c>
      <c r="C93" s="1" t="str">
        <f>TEXT(Walmart[[#This Row],[Order Date]],"mmmm")</f>
        <v>August</v>
      </c>
      <c r="D93" s="1">
        <v>40770</v>
      </c>
      <c r="E93" s="1" t="str">
        <f>IF(DATEDIF(Walmart[[#This Row],[Order Date]],Walmart[[#This Row],[Ship Date]],"D")&lt;7,"On time","Delayed")</f>
        <v>Delayed</v>
      </c>
      <c r="F93" t="s">
        <v>344</v>
      </c>
      <c r="G93" t="s">
        <v>14</v>
      </c>
      <c r="H93" t="s">
        <v>160</v>
      </c>
      <c r="I93" t="s">
        <v>16</v>
      </c>
      <c r="J93" t="s">
        <v>105</v>
      </c>
      <c r="K93" t="s">
        <v>345</v>
      </c>
      <c r="L93">
        <v>76.12</v>
      </c>
      <c r="M93">
        <v>2</v>
      </c>
      <c r="N93" t="str">
        <f>IF(Walmart[[#This Row],[Quantity]]&gt;=7,"Bulk",IF(Walmart[[#This Row],[Quantity]]&gt;=2,"Multi","Single"))</f>
        <v>Multi</v>
      </c>
      <c r="O93">
        <v>22.07</v>
      </c>
      <c r="P93" t="str">
        <f>IF(Walmart[[#This Row],[Sales]]&gt;=1000,"High Value", IF(Walmart[[#This Row],[Sales]]&gt;=500,"Medium Value","Low Value"))</f>
        <v>Low Value</v>
      </c>
    </row>
    <row r="94" spans="1:16" x14ac:dyDescent="0.3">
      <c r="A94" t="s">
        <v>696</v>
      </c>
      <c r="B94" s="1">
        <v>41993</v>
      </c>
      <c r="C94" s="1" t="str">
        <f>TEXT(Walmart[[#This Row],[Order Date]],"mmmm")</f>
        <v>December</v>
      </c>
      <c r="D94" s="1">
        <v>41998</v>
      </c>
      <c r="E94" s="1" t="str">
        <f>IF(DATEDIF(Walmart[[#This Row],[Order Date]],Walmart[[#This Row],[Ship Date]],"D")&lt;7,"On time","Delayed")</f>
        <v>On time</v>
      </c>
      <c r="F94" t="s">
        <v>697</v>
      </c>
      <c r="G94" t="s">
        <v>14</v>
      </c>
      <c r="H94" t="s">
        <v>37</v>
      </c>
      <c r="I94" t="s">
        <v>16</v>
      </c>
      <c r="J94" t="s">
        <v>27</v>
      </c>
      <c r="K94" t="s">
        <v>698</v>
      </c>
      <c r="L94">
        <v>36.67</v>
      </c>
      <c r="M94">
        <v>2</v>
      </c>
      <c r="N94" t="str">
        <f>IF(Walmart[[#This Row],[Quantity]]&gt;=7,"Bulk",IF(Walmart[[#This Row],[Quantity]]&gt;=2,"Multi","Single"))</f>
        <v>Multi</v>
      </c>
      <c r="O94">
        <v>11.46</v>
      </c>
      <c r="P94" t="str">
        <f>IF(Walmart[[#This Row],[Sales]]&gt;=1000,"High Value", IF(Walmart[[#This Row],[Sales]]&gt;=500,"Medium Value","Low Value"))</f>
        <v>Low Value</v>
      </c>
    </row>
    <row r="95" spans="1:16" x14ac:dyDescent="0.3">
      <c r="A95" t="s">
        <v>2234</v>
      </c>
      <c r="B95" s="1">
        <v>41993</v>
      </c>
      <c r="C95" s="1" t="str">
        <f>TEXT(Walmart[[#This Row],[Order Date]],"mmmm")</f>
        <v>December</v>
      </c>
      <c r="D95" s="1">
        <v>41997</v>
      </c>
      <c r="E95" s="1" t="str">
        <f>IF(DATEDIF(Walmart[[#This Row],[Order Date]],Walmart[[#This Row],[Ship Date]],"D")&lt;7,"On time","Delayed")</f>
        <v>On time</v>
      </c>
      <c r="F95" t="s">
        <v>1587</v>
      </c>
      <c r="G95" t="s">
        <v>14</v>
      </c>
      <c r="H95" t="s">
        <v>278</v>
      </c>
      <c r="I95" t="s">
        <v>77</v>
      </c>
      <c r="J95" t="s">
        <v>21</v>
      </c>
      <c r="K95" t="s">
        <v>2235</v>
      </c>
      <c r="L95">
        <v>13.36</v>
      </c>
      <c r="M95">
        <v>5</v>
      </c>
      <c r="N95" t="str">
        <f>IF(Walmart[[#This Row],[Quantity]]&gt;=7,"Bulk",IF(Walmart[[#This Row],[Quantity]]&gt;=2,"Multi","Single"))</f>
        <v>Multi</v>
      </c>
      <c r="O95">
        <v>4.01</v>
      </c>
      <c r="P95" t="str">
        <f>IF(Walmart[[#This Row],[Sales]]&gt;=1000,"High Value", IF(Walmart[[#This Row],[Sales]]&gt;=500,"Medium Value","Low Value"))</f>
        <v>Low Value</v>
      </c>
    </row>
    <row r="96" spans="1:16" hidden="1" x14ac:dyDescent="0.3">
      <c r="A96" t="s">
        <v>352</v>
      </c>
      <c r="B96" s="1">
        <v>41620</v>
      </c>
      <c r="C96" s="1" t="str">
        <f>TEXT(Walmart[[#This Row],[Order Date]],"mmmm")</f>
        <v>December</v>
      </c>
      <c r="D96" s="1">
        <v>41622</v>
      </c>
      <c r="E96" s="1" t="str">
        <f>IF(DATEDIF(Walmart[[#This Row],[Order Date]],Walmart[[#This Row],[Ship Date]],"D")&lt;7,"On time","Delayed")</f>
        <v>On time</v>
      </c>
      <c r="F96" t="s">
        <v>353</v>
      </c>
      <c r="G96" t="s">
        <v>14</v>
      </c>
      <c r="H96" t="s">
        <v>76</v>
      </c>
      <c r="I96" t="s">
        <v>77</v>
      </c>
      <c r="J96" t="s">
        <v>33</v>
      </c>
      <c r="K96" t="s">
        <v>354</v>
      </c>
      <c r="L96">
        <v>243.38</v>
      </c>
      <c r="M96">
        <v>3</v>
      </c>
      <c r="N96" t="str">
        <f>IF(Walmart[[#This Row],[Quantity]]&gt;=7,"Bulk",IF(Walmart[[#This Row],[Quantity]]&gt;=2,"Multi","Single"))</f>
        <v>Multi</v>
      </c>
      <c r="O96">
        <v>-51.72</v>
      </c>
      <c r="P96" t="str">
        <f>IF(Walmart[[#This Row],[Sales]]&gt;=1000,"High Value", IF(Walmart[[#This Row],[Sales]]&gt;=500,"Medium Value","Low Value"))</f>
        <v>Low Value</v>
      </c>
    </row>
    <row r="97" spans="1:16" hidden="1" x14ac:dyDescent="0.3">
      <c r="A97" t="s">
        <v>355</v>
      </c>
      <c r="B97" s="1">
        <v>41502</v>
      </c>
      <c r="C97" s="1" t="str">
        <f>TEXT(Walmart[[#This Row],[Order Date]],"mmmm")</f>
        <v>August</v>
      </c>
      <c r="D97" s="1">
        <v>41508</v>
      </c>
      <c r="E97" s="1" t="str">
        <f>IF(DATEDIF(Walmart[[#This Row],[Order Date]],Walmart[[#This Row],[Ship Date]],"D")&lt;7,"On time","Delayed")</f>
        <v>On time</v>
      </c>
      <c r="F97" t="s">
        <v>356</v>
      </c>
      <c r="G97" t="s">
        <v>14</v>
      </c>
      <c r="H97" t="s">
        <v>76</v>
      </c>
      <c r="I97" t="s">
        <v>77</v>
      </c>
      <c r="J97" t="s">
        <v>27</v>
      </c>
      <c r="K97" t="s">
        <v>357</v>
      </c>
      <c r="L97">
        <v>18.88</v>
      </c>
      <c r="M97">
        <v>3</v>
      </c>
      <c r="N97" t="str">
        <f>IF(Walmart[[#This Row],[Quantity]]&gt;=7,"Bulk",IF(Walmart[[#This Row],[Quantity]]&gt;=2,"Multi","Single"))</f>
        <v>Multi</v>
      </c>
      <c r="O97">
        <v>-13.85</v>
      </c>
      <c r="P97" t="str">
        <f>IF(Walmart[[#This Row],[Sales]]&gt;=1000,"High Value", IF(Walmart[[#This Row],[Sales]]&gt;=500,"Medium Value","Low Value"))</f>
        <v>Low Value</v>
      </c>
    </row>
    <row r="98" spans="1:16" hidden="1" x14ac:dyDescent="0.3">
      <c r="A98" t="s">
        <v>358</v>
      </c>
      <c r="B98" s="1">
        <v>41415</v>
      </c>
      <c r="C98" s="1" t="str">
        <f>TEXT(Walmart[[#This Row],[Order Date]],"mmmm")</f>
        <v>May</v>
      </c>
      <c r="D98" s="1">
        <v>41420</v>
      </c>
      <c r="E98" s="1" t="str">
        <f>IF(DATEDIF(Walmart[[#This Row],[Order Date]],Walmart[[#This Row],[Ship Date]],"D")&lt;7,"On time","Delayed")</f>
        <v>On time</v>
      </c>
      <c r="F98" t="s">
        <v>359</v>
      </c>
      <c r="G98" t="s">
        <v>14</v>
      </c>
      <c r="H98" t="s">
        <v>360</v>
      </c>
      <c r="I98" t="s">
        <v>16</v>
      </c>
      <c r="J98" t="s">
        <v>21</v>
      </c>
      <c r="K98" t="s">
        <v>361</v>
      </c>
      <c r="L98">
        <v>1049.2</v>
      </c>
      <c r="M98">
        <v>5</v>
      </c>
      <c r="N98" t="str">
        <f>IF(Walmart[[#This Row],[Quantity]]&gt;=7,"Bulk",IF(Walmart[[#This Row],[Quantity]]&gt;=2,"Multi","Single"))</f>
        <v>Multi</v>
      </c>
      <c r="O98">
        <v>272.79000000000002</v>
      </c>
      <c r="P98" t="str">
        <f>IF(Walmart[[#This Row],[Sales]]&gt;=1000,"High Value", IF(Walmart[[#This Row],[Sales]]&gt;=500,"Medium Value","Low Value"))</f>
        <v>High Value</v>
      </c>
    </row>
    <row r="99" spans="1:16" x14ac:dyDescent="0.3">
      <c r="A99" t="s">
        <v>570</v>
      </c>
      <c r="B99" s="1">
        <v>41992</v>
      </c>
      <c r="C99" s="1" t="str">
        <f>TEXT(Walmart[[#This Row],[Order Date]],"mmmm")</f>
        <v>December</v>
      </c>
      <c r="D99" s="1">
        <v>41997</v>
      </c>
      <c r="E99" s="1" t="str">
        <f>IF(DATEDIF(Walmart[[#This Row],[Order Date]],Walmart[[#This Row],[Ship Date]],"D")&lt;7,"On time","Delayed")</f>
        <v>On time</v>
      </c>
      <c r="F99" t="s">
        <v>431</v>
      </c>
      <c r="G99" t="s">
        <v>14</v>
      </c>
      <c r="H99" t="s">
        <v>571</v>
      </c>
      <c r="I99" t="s">
        <v>16</v>
      </c>
      <c r="J99" t="s">
        <v>27</v>
      </c>
      <c r="K99" t="s">
        <v>572</v>
      </c>
      <c r="L99">
        <v>46.67</v>
      </c>
      <c r="M99">
        <v>2</v>
      </c>
      <c r="N99" t="str">
        <f>IF(Walmart[[#This Row],[Quantity]]&gt;=7,"Bulk",IF(Walmart[[#This Row],[Quantity]]&gt;=2,"Multi","Single"))</f>
        <v>Multi</v>
      </c>
      <c r="O99">
        <v>16.34</v>
      </c>
      <c r="P99" t="str">
        <f>IF(Walmart[[#This Row],[Sales]]&gt;=1000,"High Value", IF(Walmart[[#This Row],[Sales]]&gt;=500,"Medium Value","Low Value"))</f>
        <v>Low Value</v>
      </c>
    </row>
    <row r="100" spans="1:16" hidden="1" x14ac:dyDescent="0.3">
      <c r="A100" t="s">
        <v>366</v>
      </c>
      <c r="B100" s="1">
        <v>41366</v>
      </c>
      <c r="C100" s="1" t="str">
        <f>TEXT(Walmart[[#This Row],[Order Date]],"mmmm")</f>
        <v>April</v>
      </c>
      <c r="D100" s="1">
        <v>41373</v>
      </c>
      <c r="E100" s="1" t="str">
        <f>IF(DATEDIF(Walmart[[#This Row],[Order Date]],Walmart[[#This Row],[Ship Date]],"D")&lt;7,"On time","Delayed")</f>
        <v>Delayed</v>
      </c>
      <c r="F100" t="s">
        <v>172</v>
      </c>
      <c r="G100" t="s">
        <v>14</v>
      </c>
      <c r="H100" t="s">
        <v>367</v>
      </c>
      <c r="I100" t="s">
        <v>58</v>
      </c>
      <c r="J100" t="s">
        <v>191</v>
      </c>
      <c r="K100" t="s">
        <v>125</v>
      </c>
      <c r="L100">
        <v>31.56</v>
      </c>
      <c r="M100">
        <v>5</v>
      </c>
      <c r="N100" t="str">
        <f>IF(Walmart[[#This Row],[Quantity]]&gt;=7,"Bulk",IF(Walmart[[#This Row],[Quantity]]&gt;=2,"Multi","Single"))</f>
        <v>Multi</v>
      </c>
      <c r="O100">
        <v>9.86</v>
      </c>
      <c r="P100" t="str">
        <f>IF(Walmart[[#This Row],[Sales]]&gt;=1000,"High Value", IF(Walmart[[#This Row],[Sales]]&gt;=500,"Medium Value","Low Value"))</f>
        <v>Low Value</v>
      </c>
    </row>
    <row r="101" spans="1:16" hidden="1" x14ac:dyDescent="0.3">
      <c r="A101" t="s">
        <v>368</v>
      </c>
      <c r="B101" s="1">
        <v>41620</v>
      </c>
      <c r="C101" s="1" t="str">
        <f>TEXT(Walmart[[#This Row],[Order Date]],"mmmm")</f>
        <v>December</v>
      </c>
      <c r="D101" s="1">
        <v>41625</v>
      </c>
      <c r="E101" s="1" t="str">
        <f>IF(DATEDIF(Walmart[[#This Row],[Order Date]],Walmart[[#This Row],[Ship Date]],"D")&lt;7,"On time","Delayed")</f>
        <v>On time</v>
      </c>
      <c r="F101" t="s">
        <v>369</v>
      </c>
      <c r="G101" t="s">
        <v>14</v>
      </c>
      <c r="H101" t="s">
        <v>370</v>
      </c>
      <c r="I101" t="s">
        <v>26</v>
      </c>
      <c r="J101" t="s">
        <v>21</v>
      </c>
      <c r="K101" t="s">
        <v>371</v>
      </c>
      <c r="L101">
        <v>14.8</v>
      </c>
      <c r="M101">
        <v>4</v>
      </c>
      <c r="N101" t="str">
        <f>IF(Walmart[[#This Row],[Quantity]]&gt;=7,"Bulk",IF(Walmart[[#This Row],[Quantity]]&gt;=2,"Multi","Single"))</f>
        <v>Multi</v>
      </c>
      <c r="O101">
        <v>6.07</v>
      </c>
      <c r="P101" t="str">
        <f>IF(Walmart[[#This Row],[Sales]]&gt;=1000,"High Value", IF(Walmart[[#This Row],[Sales]]&gt;=500,"Medium Value","Low Value"))</f>
        <v>Low Value</v>
      </c>
    </row>
    <row r="102" spans="1:16" hidden="1" x14ac:dyDescent="0.3">
      <c r="A102" t="s">
        <v>372</v>
      </c>
      <c r="B102" s="1">
        <v>40996</v>
      </c>
      <c r="C102" s="1" t="str">
        <f>TEXT(Walmart[[#This Row],[Order Date]],"mmmm")</f>
        <v>March</v>
      </c>
      <c r="D102" s="1">
        <v>41001</v>
      </c>
      <c r="E102" s="1" t="str">
        <f>IF(DATEDIF(Walmart[[#This Row],[Order Date]],Walmart[[#This Row],[Ship Date]],"D")&lt;7,"On time","Delayed")</f>
        <v>On time</v>
      </c>
      <c r="F102" t="s">
        <v>373</v>
      </c>
      <c r="G102" t="s">
        <v>14</v>
      </c>
      <c r="H102" t="s">
        <v>15</v>
      </c>
      <c r="I102" t="s">
        <v>16</v>
      </c>
      <c r="J102" t="s">
        <v>53</v>
      </c>
      <c r="K102" t="s">
        <v>374</v>
      </c>
      <c r="L102">
        <v>166.24</v>
      </c>
      <c r="M102">
        <v>1</v>
      </c>
      <c r="N102" t="str">
        <f>IF(Walmart[[#This Row],[Quantity]]&gt;=7,"Bulk",IF(Walmart[[#This Row],[Quantity]]&gt;=2,"Multi","Single"))</f>
        <v>Single</v>
      </c>
      <c r="O102">
        <v>24.94</v>
      </c>
      <c r="P102" t="str">
        <f>IF(Walmart[[#This Row],[Sales]]&gt;=1000,"High Value", IF(Walmart[[#This Row],[Sales]]&gt;=500,"Medium Value","Low Value"))</f>
        <v>Low Value</v>
      </c>
    </row>
    <row r="103" spans="1:16" hidden="1" x14ac:dyDescent="0.3">
      <c r="A103" t="s">
        <v>375</v>
      </c>
      <c r="B103" s="1">
        <v>41583</v>
      </c>
      <c r="C103" s="1" t="str">
        <f>TEXT(Walmart[[#This Row],[Order Date]],"mmmm")</f>
        <v>November</v>
      </c>
      <c r="D103" s="1">
        <v>41587</v>
      </c>
      <c r="E103" s="1" t="str">
        <f>IF(DATEDIF(Walmart[[#This Row],[Order Date]],Walmart[[#This Row],[Ship Date]],"D")&lt;7,"On time","Delayed")</f>
        <v>On time</v>
      </c>
      <c r="F103" t="s">
        <v>218</v>
      </c>
      <c r="G103" t="s">
        <v>14</v>
      </c>
      <c r="H103" t="s">
        <v>25</v>
      </c>
      <c r="I103" t="s">
        <v>26</v>
      </c>
      <c r="J103" t="s">
        <v>21</v>
      </c>
      <c r="K103" t="s">
        <v>376</v>
      </c>
      <c r="L103">
        <v>209.88</v>
      </c>
      <c r="M103">
        <v>3</v>
      </c>
      <c r="N103" t="str">
        <f>IF(Walmart[[#This Row],[Quantity]]&gt;=7,"Bulk",IF(Walmart[[#This Row],[Quantity]]&gt;=2,"Multi","Single"))</f>
        <v>Multi</v>
      </c>
      <c r="O103">
        <v>35.68</v>
      </c>
      <c r="P103" t="str">
        <f>IF(Walmart[[#This Row],[Sales]]&gt;=1000,"High Value", IF(Walmart[[#This Row],[Sales]]&gt;=500,"Medium Value","Low Value"))</f>
        <v>Low Value</v>
      </c>
    </row>
    <row r="104" spans="1:16" hidden="1" x14ac:dyDescent="0.3">
      <c r="A104" t="s">
        <v>377</v>
      </c>
      <c r="B104" s="1">
        <v>41008</v>
      </c>
      <c r="C104" s="1" t="str">
        <f>TEXT(Walmart[[#This Row],[Order Date]],"mmmm")</f>
        <v>April</v>
      </c>
      <c r="D104" s="1">
        <v>41013</v>
      </c>
      <c r="E104" s="1" t="str">
        <f>IF(DATEDIF(Walmart[[#This Row],[Order Date]],Walmart[[#This Row],[Ship Date]],"D")&lt;7,"On time","Delayed")</f>
        <v>On time</v>
      </c>
      <c r="F104" t="s">
        <v>378</v>
      </c>
      <c r="G104" t="s">
        <v>14</v>
      </c>
      <c r="H104" t="s">
        <v>190</v>
      </c>
      <c r="I104" t="s">
        <v>16</v>
      </c>
      <c r="J104" t="s">
        <v>43</v>
      </c>
      <c r="K104" t="s">
        <v>379</v>
      </c>
      <c r="L104">
        <v>369.91</v>
      </c>
      <c r="M104">
        <v>3</v>
      </c>
      <c r="N104" t="str">
        <f>IF(Walmart[[#This Row],[Quantity]]&gt;=7,"Bulk",IF(Walmart[[#This Row],[Quantity]]&gt;=2,"Multi","Single"))</f>
        <v>Multi</v>
      </c>
      <c r="O104">
        <v>-13.87</v>
      </c>
      <c r="P104" t="str">
        <f>IF(Walmart[[#This Row],[Sales]]&gt;=1000,"High Value", IF(Walmart[[#This Row],[Sales]]&gt;=500,"Medium Value","Low Value"))</f>
        <v>Low Value</v>
      </c>
    </row>
    <row r="105" spans="1:16" hidden="1" x14ac:dyDescent="0.3">
      <c r="A105" t="s">
        <v>380</v>
      </c>
      <c r="B105" s="1">
        <v>40725</v>
      </c>
      <c r="C105" s="1" t="str">
        <f>TEXT(Walmart[[#This Row],[Order Date]],"mmmm")</f>
        <v>July</v>
      </c>
      <c r="D105" s="1">
        <v>40730</v>
      </c>
      <c r="E105" s="1" t="str">
        <f>IF(DATEDIF(Walmart[[#This Row],[Order Date]],Walmart[[#This Row],[Ship Date]],"D")&lt;7,"On time","Delayed")</f>
        <v>On time</v>
      </c>
      <c r="F105" t="s">
        <v>381</v>
      </c>
      <c r="G105" t="s">
        <v>14</v>
      </c>
      <c r="H105" t="s">
        <v>25</v>
      </c>
      <c r="I105" t="s">
        <v>26</v>
      </c>
      <c r="J105" t="s">
        <v>27</v>
      </c>
      <c r="K105" t="s">
        <v>382</v>
      </c>
      <c r="L105">
        <v>19.920000000000002</v>
      </c>
      <c r="M105">
        <v>5</v>
      </c>
      <c r="N105" t="str">
        <f>IF(Walmart[[#This Row],[Quantity]]&gt;=7,"Bulk",IF(Walmart[[#This Row],[Quantity]]&gt;=2,"Multi","Single"))</f>
        <v>Multi</v>
      </c>
      <c r="O105">
        <v>6.97</v>
      </c>
      <c r="P105" t="str">
        <f>IF(Walmart[[#This Row],[Sales]]&gt;=1000,"High Value", IF(Walmart[[#This Row],[Sales]]&gt;=500,"Medium Value","Low Value"))</f>
        <v>Low Value</v>
      </c>
    </row>
    <row r="106" spans="1:16" hidden="1" x14ac:dyDescent="0.3">
      <c r="A106" t="s">
        <v>383</v>
      </c>
      <c r="B106" s="1">
        <v>40696</v>
      </c>
      <c r="C106" s="1" t="str">
        <f>TEXT(Walmart[[#This Row],[Order Date]],"mmmm")</f>
        <v>June</v>
      </c>
      <c r="D106" s="1">
        <v>40701</v>
      </c>
      <c r="E106" s="1" t="str">
        <f>IF(DATEDIF(Walmart[[#This Row],[Order Date]],Walmart[[#This Row],[Ship Date]],"D")&lt;7,"On time","Delayed")</f>
        <v>On time</v>
      </c>
      <c r="F106" t="s">
        <v>384</v>
      </c>
      <c r="G106" t="s">
        <v>14</v>
      </c>
      <c r="H106" t="s">
        <v>42</v>
      </c>
      <c r="I106" t="s">
        <v>32</v>
      </c>
      <c r="J106" t="s">
        <v>27</v>
      </c>
      <c r="K106" t="s">
        <v>385</v>
      </c>
      <c r="L106">
        <v>59.81</v>
      </c>
      <c r="M106">
        <v>3</v>
      </c>
      <c r="N106" t="str">
        <f>IF(Walmart[[#This Row],[Quantity]]&gt;=7,"Bulk",IF(Walmart[[#This Row],[Quantity]]&gt;=2,"Multi","Single"))</f>
        <v>Multi</v>
      </c>
      <c r="O106">
        <v>19.440000000000001</v>
      </c>
      <c r="P106" t="str">
        <f>IF(Walmart[[#This Row],[Sales]]&gt;=1000,"High Value", IF(Walmart[[#This Row],[Sales]]&gt;=500,"Medium Value","Low Value"))</f>
        <v>Low Value</v>
      </c>
    </row>
    <row r="107" spans="1:16" hidden="1" x14ac:dyDescent="0.3">
      <c r="A107" t="s">
        <v>386</v>
      </c>
      <c r="B107" s="1">
        <v>41318</v>
      </c>
      <c r="C107" s="1" t="str">
        <f>TEXT(Walmart[[#This Row],[Order Date]],"mmmm")</f>
        <v>February</v>
      </c>
      <c r="D107" s="1">
        <v>41323</v>
      </c>
      <c r="E107" s="1" t="str">
        <f>IF(DATEDIF(Walmart[[#This Row],[Order Date]],Walmart[[#This Row],[Ship Date]],"D")&lt;7,"On time","Delayed")</f>
        <v>On time</v>
      </c>
      <c r="F107" t="s">
        <v>387</v>
      </c>
      <c r="G107" t="s">
        <v>14</v>
      </c>
      <c r="H107" t="s">
        <v>15</v>
      </c>
      <c r="I107" t="s">
        <v>16</v>
      </c>
      <c r="J107" t="s">
        <v>93</v>
      </c>
      <c r="K107" t="s">
        <v>388</v>
      </c>
      <c r="L107">
        <v>146.82</v>
      </c>
      <c r="M107">
        <v>3</v>
      </c>
      <c r="N107" t="str">
        <f>IF(Walmart[[#This Row],[Quantity]]&gt;=7,"Bulk",IF(Walmart[[#This Row],[Quantity]]&gt;=2,"Multi","Single"))</f>
        <v>Multi</v>
      </c>
      <c r="O107">
        <v>73.41</v>
      </c>
      <c r="P107" t="str">
        <f>IF(Walmart[[#This Row],[Sales]]&gt;=1000,"High Value", IF(Walmart[[#This Row],[Sales]]&gt;=500,"Medium Value","Low Value"))</f>
        <v>Low Value</v>
      </c>
    </row>
    <row r="108" spans="1:16" x14ac:dyDescent="0.3">
      <c r="A108" t="s">
        <v>1372</v>
      </c>
      <c r="B108" s="1">
        <v>41992</v>
      </c>
      <c r="C108" s="1" t="str">
        <f>TEXT(Walmart[[#This Row],[Order Date]],"mmmm")</f>
        <v>December</v>
      </c>
      <c r="D108" s="1">
        <v>41993</v>
      </c>
      <c r="E108" s="1" t="str">
        <f>IF(DATEDIF(Walmart[[#This Row],[Order Date]],Walmart[[#This Row],[Ship Date]],"D")&lt;7,"On time","Delayed")</f>
        <v>On time</v>
      </c>
      <c r="F108" t="s">
        <v>1370</v>
      </c>
      <c r="G108" t="s">
        <v>14</v>
      </c>
      <c r="H108" t="s">
        <v>15</v>
      </c>
      <c r="I108" t="s">
        <v>16</v>
      </c>
      <c r="J108" t="s">
        <v>38</v>
      </c>
      <c r="K108" t="s">
        <v>282</v>
      </c>
      <c r="L108">
        <v>6.63</v>
      </c>
      <c r="M108">
        <v>3</v>
      </c>
      <c r="N108" t="str">
        <f>IF(Walmart[[#This Row],[Quantity]]&gt;=7,"Bulk",IF(Walmart[[#This Row],[Quantity]]&gt;=2,"Multi","Single"))</f>
        <v>Multi</v>
      </c>
      <c r="O108">
        <v>1.79</v>
      </c>
      <c r="P108" t="str">
        <f>IF(Walmart[[#This Row],[Sales]]&gt;=1000,"High Value", IF(Walmart[[#This Row],[Sales]]&gt;=500,"Medium Value","Low Value"))</f>
        <v>Low Value</v>
      </c>
    </row>
    <row r="109" spans="1:16" hidden="1" x14ac:dyDescent="0.3">
      <c r="A109" t="s">
        <v>392</v>
      </c>
      <c r="B109" s="1">
        <v>40794</v>
      </c>
      <c r="C109" s="1" t="str">
        <f>TEXT(Walmart[[#This Row],[Order Date]],"mmmm")</f>
        <v>September</v>
      </c>
      <c r="D109" s="1">
        <v>40798</v>
      </c>
      <c r="E109" s="1" t="str">
        <f>IF(DATEDIF(Walmart[[#This Row],[Order Date]],Walmart[[#This Row],[Ship Date]],"D")&lt;7,"On time","Delayed")</f>
        <v>On time</v>
      </c>
      <c r="F109" t="s">
        <v>393</v>
      </c>
      <c r="G109" t="s">
        <v>14</v>
      </c>
      <c r="H109" t="s">
        <v>37</v>
      </c>
      <c r="I109" t="s">
        <v>16</v>
      </c>
      <c r="J109" t="s">
        <v>53</v>
      </c>
      <c r="K109" t="s">
        <v>394</v>
      </c>
      <c r="L109">
        <v>49.98</v>
      </c>
      <c r="M109">
        <v>2</v>
      </c>
      <c r="N109" t="str">
        <f>IF(Walmart[[#This Row],[Quantity]]&gt;=7,"Bulk",IF(Walmart[[#This Row],[Quantity]]&gt;=2,"Multi","Single"))</f>
        <v>Multi</v>
      </c>
      <c r="O109">
        <v>8.5</v>
      </c>
      <c r="P109" t="str">
        <f>IF(Walmart[[#This Row],[Sales]]&gt;=1000,"High Value", IF(Walmart[[#This Row],[Sales]]&gt;=500,"Medium Value","Low Value"))</f>
        <v>Low Value</v>
      </c>
    </row>
    <row r="110" spans="1:16" hidden="1" x14ac:dyDescent="0.3">
      <c r="A110" t="s">
        <v>395</v>
      </c>
      <c r="B110" s="1">
        <v>40690</v>
      </c>
      <c r="C110" s="1" t="str">
        <f>TEXT(Walmart[[#This Row],[Order Date]],"mmmm")</f>
        <v>May</v>
      </c>
      <c r="D110" s="1">
        <v>40690</v>
      </c>
      <c r="E110" s="1" t="str">
        <f>IF(DATEDIF(Walmart[[#This Row],[Order Date]],Walmart[[#This Row],[Ship Date]],"D")&lt;7,"On time","Delayed")</f>
        <v>On time</v>
      </c>
      <c r="F110" t="s">
        <v>396</v>
      </c>
      <c r="G110" t="s">
        <v>14</v>
      </c>
      <c r="H110" t="s">
        <v>160</v>
      </c>
      <c r="I110" t="s">
        <v>16</v>
      </c>
      <c r="J110" t="s">
        <v>43</v>
      </c>
      <c r="K110" t="s">
        <v>397</v>
      </c>
      <c r="L110">
        <v>567.12</v>
      </c>
      <c r="M110">
        <v>10</v>
      </c>
      <c r="N110" t="str">
        <f>IF(Walmart[[#This Row],[Quantity]]&gt;=7,"Bulk",IF(Walmart[[#This Row],[Quantity]]&gt;=2,"Multi","Single"))</f>
        <v>Bulk</v>
      </c>
      <c r="O110">
        <v>-28.36</v>
      </c>
      <c r="P110" t="str">
        <f>IF(Walmart[[#This Row],[Sales]]&gt;=1000,"High Value", IF(Walmart[[#This Row],[Sales]]&gt;=500,"Medium Value","Low Value"))</f>
        <v>Medium Value</v>
      </c>
    </row>
    <row r="111" spans="1:16" hidden="1" x14ac:dyDescent="0.3">
      <c r="A111" t="s">
        <v>398</v>
      </c>
      <c r="B111" s="1">
        <v>41372</v>
      </c>
      <c r="C111" s="1" t="str">
        <f>TEXT(Walmart[[#This Row],[Order Date]],"mmmm")</f>
        <v>April</v>
      </c>
      <c r="D111" s="1">
        <v>41374</v>
      </c>
      <c r="E111" s="1" t="str">
        <f>IF(DATEDIF(Walmart[[#This Row],[Order Date]],Walmart[[#This Row],[Ship Date]],"D")&lt;7,"On time","Delayed")</f>
        <v>On time</v>
      </c>
      <c r="F111" t="s">
        <v>399</v>
      </c>
      <c r="G111" t="s">
        <v>14</v>
      </c>
      <c r="H111" t="s">
        <v>37</v>
      </c>
      <c r="I111" t="s">
        <v>16</v>
      </c>
      <c r="J111" t="s">
        <v>287</v>
      </c>
      <c r="K111" t="s">
        <v>400</v>
      </c>
      <c r="L111">
        <v>1199.98</v>
      </c>
      <c r="M111">
        <v>3</v>
      </c>
      <c r="N111" t="str">
        <f>IF(Walmart[[#This Row],[Quantity]]&gt;=7,"Bulk",IF(Walmart[[#This Row],[Quantity]]&gt;=2,"Multi","Single"))</f>
        <v>Multi</v>
      </c>
      <c r="O111">
        <v>374.99</v>
      </c>
      <c r="P111" t="str">
        <f>IF(Walmart[[#This Row],[Sales]]&gt;=1000,"High Value", IF(Walmart[[#This Row],[Sales]]&gt;=500,"Medium Value","Low Value"))</f>
        <v>High Value</v>
      </c>
    </row>
    <row r="112" spans="1:16" hidden="1" x14ac:dyDescent="0.3">
      <c r="A112" t="s">
        <v>401</v>
      </c>
      <c r="B112" s="1">
        <v>41250</v>
      </c>
      <c r="C112" s="1" t="str">
        <f>TEXT(Walmart[[#This Row],[Order Date]],"mmmm")</f>
        <v>December</v>
      </c>
      <c r="D112" s="1">
        <v>41255</v>
      </c>
      <c r="E112" s="1" t="str">
        <f>IF(DATEDIF(Walmart[[#This Row],[Order Date]],Walmart[[#This Row],[Ship Date]],"D")&lt;7,"On time","Delayed")</f>
        <v>On time</v>
      </c>
      <c r="F112" t="s">
        <v>402</v>
      </c>
      <c r="G112" t="s">
        <v>14</v>
      </c>
      <c r="H112" t="s">
        <v>15</v>
      </c>
      <c r="I112" t="s">
        <v>16</v>
      </c>
      <c r="J112" t="s">
        <v>21</v>
      </c>
      <c r="K112" t="s">
        <v>403</v>
      </c>
      <c r="L112">
        <v>79.92</v>
      </c>
      <c r="M112">
        <v>4</v>
      </c>
      <c r="N112" t="str">
        <f>IF(Walmart[[#This Row],[Quantity]]&gt;=7,"Bulk",IF(Walmart[[#This Row],[Quantity]]&gt;=2,"Multi","Single"))</f>
        <v>Multi</v>
      </c>
      <c r="O112">
        <v>28.77</v>
      </c>
      <c r="P112" t="str">
        <f>IF(Walmart[[#This Row],[Sales]]&gt;=1000,"High Value", IF(Walmart[[#This Row],[Sales]]&gt;=500,"Medium Value","Low Value"))</f>
        <v>Low Value</v>
      </c>
    </row>
    <row r="113" spans="1:16" hidden="1" x14ac:dyDescent="0.3">
      <c r="A113" t="s">
        <v>404</v>
      </c>
      <c r="B113" s="1">
        <v>41152</v>
      </c>
      <c r="C113" s="1" t="str">
        <f>TEXT(Walmart[[#This Row],[Order Date]],"mmmm")</f>
        <v>August</v>
      </c>
      <c r="D113" s="1">
        <v>41157</v>
      </c>
      <c r="E113" s="1" t="str">
        <f>IF(DATEDIF(Walmart[[#This Row],[Order Date]],Walmart[[#This Row],[Ship Date]],"D")&lt;7,"On time","Delayed")</f>
        <v>On time</v>
      </c>
      <c r="F113" t="s">
        <v>405</v>
      </c>
      <c r="G113" t="s">
        <v>14</v>
      </c>
      <c r="H113" t="s">
        <v>15</v>
      </c>
      <c r="I113" t="s">
        <v>16</v>
      </c>
      <c r="J113" t="s">
        <v>93</v>
      </c>
      <c r="K113" t="s">
        <v>406</v>
      </c>
      <c r="L113">
        <v>58.32</v>
      </c>
      <c r="M113">
        <v>9</v>
      </c>
      <c r="N113" t="str">
        <f>IF(Walmart[[#This Row],[Quantity]]&gt;=7,"Bulk",IF(Walmart[[#This Row],[Quantity]]&gt;=2,"Multi","Single"))</f>
        <v>Bulk</v>
      </c>
      <c r="O113">
        <v>27.99</v>
      </c>
      <c r="P113" t="str">
        <f>IF(Walmart[[#This Row],[Sales]]&gt;=1000,"High Value", IF(Walmart[[#This Row],[Sales]]&gt;=500,"Medium Value","Low Value"))</f>
        <v>Low Value</v>
      </c>
    </row>
    <row r="114" spans="1:16" hidden="1" x14ac:dyDescent="0.3">
      <c r="A114" t="s">
        <v>407</v>
      </c>
      <c r="B114" s="1">
        <v>41142</v>
      </c>
      <c r="C114" s="1" t="str">
        <f>TEXT(Walmart[[#This Row],[Order Date]],"mmmm")</f>
        <v>August</v>
      </c>
      <c r="D114" s="1">
        <v>41144</v>
      </c>
      <c r="E114" s="1" t="str">
        <f>IF(DATEDIF(Walmart[[#This Row],[Order Date]],Walmart[[#This Row],[Ship Date]],"D")&lt;7,"On time","Delayed")</f>
        <v>On time</v>
      </c>
      <c r="F114" t="s">
        <v>408</v>
      </c>
      <c r="G114" t="s">
        <v>14</v>
      </c>
      <c r="H114" t="s">
        <v>37</v>
      </c>
      <c r="I114" t="s">
        <v>16</v>
      </c>
      <c r="J114" t="s">
        <v>88</v>
      </c>
      <c r="K114" t="s">
        <v>409</v>
      </c>
      <c r="L114">
        <v>544.01</v>
      </c>
      <c r="M114">
        <v>3</v>
      </c>
      <c r="N114" t="str">
        <f>IF(Walmart[[#This Row],[Quantity]]&gt;=7,"Bulk",IF(Walmart[[#This Row],[Quantity]]&gt;=2,"Multi","Single"))</f>
        <v>Multi</v>
      </c>
      <c r="O114">
        <v>40.799999999999997</v>
      </c>
      <c r="P114" t="str">
        <f>IF(Walmart[[#This Row],[Sales]]&gt;=1000,"High Value", IF(Walmart[[#This Row],[Sales]]&gt;=500,"Medium Value","Low Value"))</f>
        <v>Medium Value</v>
      </c>
    </row>
    <row r="115" spans="1:16" x14ac:dyDescent="0.3">
      <c r="A115" t="s">
        <v>3127</v>
      </c>
      <c r="B115" s="1">
        <v>41992</v>
      </c>
      <c r="C115" s="1" t="str">
        <f>TEXT(Walmart[[#This Row],[Order Date]],"mmmm")</f>
        <v>December</v>
      </c>
      <c r="D115" s="1">
        <v>41998</v>
      </c>
      <c r="E115" s="1" t="str">
        <f>IF(DATEDIF(Walmart[[#This Row],[Order Date]],Walmart[[#This Row],[Ship Date]],"D")&lt;7,"On time","Delayed")</f>
        <v>On time</v>
      </c>
      <c r="F115" t="s">
        <v>2070</v>
      </c>
      <c r="G115" t="s">
        <v>14</v>
      </c>
      <c r="H115" t="s">
        <v>37</v>
      </c>
      <c r="I115" t="s">
        <v>16</v>
      </c>
      <c r="J115" t="s">
        <v>38</v>
      </c>
      <c r="K115" t="s">
        <v>3128</v>
      </c>
      <c r="L115">
        <v>5.76</v>
      </c>
      <c r="M115">
        <v>2</v>
      </c>
      <c r="N115" t="str">
        <f>IF(Walmart[[#This Row],[Quantity]]&gt;=7,"Bulk",IF(Walmart[[#This Row],[Quantity]]&gt;=2,"Multi","Single"))</f>
        <v>Multi</v>
      </c>
      <c r="O115">
        <v>1.67</v>
      </c>
      <c r="P115" t="str">
        <f>IF(Walmart[[#This Row],[Sales]]&gt;=1000,"High Value", IF(Walmart[[#This Row],[Sales]]&gt;=500,"Medium Value","Low Value"))</f>
        <v>Low Value</v>
      </c>
    </row>
    <row r="116" spans="1:16" hidden="1" x14ac:dyDescent="0.3">
      <c r="A116" t="s">
        <v>414</v>
      </c>
      <c r="B116" s="1">
        <v>41255</v>
      </c>
      <c r="C116" s="1" t="str">
        <f>TEXT(Walmart[[#This Row],[Order Date]],"mmmm")</f>
        <v>December</v>
      </c>
      <c r="D116" s="1">
        <v>41259</v>
      </c>
      <c r="E116" s="1" t="str">
        <f>IF(DATEDIF(Walmart[[#This Row],[Order Date]],Walmart[[#This Row],[Ship Date]],"D")&lt;7,"On time","Delayed")</f>
        <v>On time</v>
      </c>
      <c r="F116" t="s">
        <v>415</v>
      </c>
      <c r="G116" t="s">
        <v>14</v>
      </c>
      <c r="H116" t="s">
        <v>412</v>
      </c>
      <c r="I116" t="s">
        <v>16</v>
      </c>
      <c r="J116" t="s">
        <v>88</v>
      </c>
      <c r="K116" t="s">
        <v>416</v>
      </c>
      <c r="L116">
        <v>348.93</v>
      </c>
      <c r="M116">
        <v>2</v>
      </c>
      <c r="N116" t="str">
        <f>IF(Walmart[[#This Row],[Quantity]]&gt;=7,"Bulk",IF(Walmart[[#This Row],[Quantity]]&gt;=2,"Multi","Single"))</f>
        <v>Multi</v>
      </c>
      <c r="O116">
        <v>34.89</v>
      </c>
      <c r="P116" t="str">
        <f>IF(Walmart[[#This Row],[Sales]]&gt;=1000,"High Value", IF(Walmart[[#This Row],[Sales]]&gt;=500,"Medium Value","Low Value"))</f>
        <v>Low Value</v>
      </c>
    </row>
    <row r="117" spans="1:16" hidden="1" x14ac:dyDescent="0.3">
      <c r="A117" t="s">
        <v>417</v>
      </c>
      <c r="B117" s="1">
        <v>40806</v>
      </c>
      <c r="C117" s="1" t="str">
        <f>TEXT(Walmart[[#This Row],[Order Date]],"mmmm")</f>
        <v>September</v>
      </c>
      <c r="D117" s="1">
        <v>40812</v>
      </c>
      <c r="E117" s="1" t="str">
        <f>IF(DATEDIF(Walmart[[#This Row],[Order Date]],Walmart[[#This Row],[Ship Date]],"D")&lt;7,"On time","Delayed")</f>
        <v>On time</v>
      </c>
      <c r="F117" t="s">
        <v>418</v>
      </c>
      <c r="G117" t="s">
        <v>14</v>
      </c>
      <c r="H117" t="s">
        <v>37</v>
      </c>
      <c r="I117" t="s">
        <v>16</v>
      </c>
      <c r="J117" t="s">
        <v>17</v>
      </c>
      <c r="K117" t="s">
        <v>419</v>
      </c>
      <c r="L117">
        <v>9.9600000000000009</v>
      </c>
      <c r="M117">
        <v>2</v>
      </c>
      <c r="N117" t="str">
        <f>IF(Walmart[[#This Row],[Quantity]]&gt;=7,"Bulk",IF(Walmart[[#This Row],[Quantity]]&gt;=2,"Multi","Single"))</f>
        <v>Multi</v>
      </c>
      <c r="O117">
        <v>4.58</v>
      </c>
      <c r="P117" t="str">
        <f>IF(Walmart[[#This Row],[Sales]]&gt;=1000,"High Value", IF(Walmart[[#This Row],[Sales]]&gt;=500,"Medium Value","Low Value"))</f>
        <v>Low Value</v>
      </c>
    </row>
    <row r="118" spans="1:16" hidden="1" x14ac:dyDescent="0.3">
      <c r="A118" t="s">
        <v>420</v>
      </c>
      <c r="B118" s="1">
        <v>41240</v>
      </c>
      <c r="C118" s="1" t="str">
        <f>TEXT(Walmart[[#This Row],[Order Date]],"mmmm")</f>
        <v>November</v>
      </c>
      <c r="D118" s="1">
        <v>41246</v>
      </c>
      <c r="E118" s="1" t="str">
        <f>IF(DATEDIF(Walmart[[#This Row],[Order Date]],Walmart[[#This Row],[Ship Date]],"D")&lt;7,"On time","Delayed")</f>
        <v>On time</v>
      </c>
      <c r="F118" t="s">
        <v>421</v>
      </c>
      <c r="G118" t="s">
        <v>14</v>
      </c>
      <c r="H118" t="s">
        <v>422</v>
      </c>
      <c r="I118" t="s">
        <v>16</v>
      </c>
      <c r="J118" t="s">
        <v>88</v>
      </c>
      <c r="K118" t="s">
        <v>423</v>
      </c>
      <c r="L118">
        <v>283.92</v>
      </c>
      <c r="M118">
        <v>5</v>
      </c>
      <c r="N118" t="str">
        <f>IF(Walmart[[#This Row],[Quantity]]&gt;=7,"Bulk",IF(Walmart[[#This Row],[Quantity]]&gt;=2,"Multi","Single"))</f>
        <v>Multi</v>
      </c>
      <c r="O118">
        <v>17.75</v>
      </c>
      <c r="P118" t="str">
        <f>IF(Walmart[[#This Row],[Sales]]&gt;=1000,"High Value", IF(Walmart[[#This Row],[Sales]]&gt;=500,"Medium Value","Low Value"))</f>
        <v>Low Value</v>
      </c>
    </row>
    <row r="119" spans="1:16" x14ac:dyDescent="0.3">
      <c r="A119" t="s">
        <v>349</v>
      </c>
      <c r="B119" s="1">
        <v>41991</v>
      </c>
      <c r="C119" s="1" t="str">
        <f>TEXT(Walmart[[#This Row],[Order Date]],"mmmm")</f>
        <v>December</v>
      </c>
      <c r="D119" s="1">
        <v>41995</v>
      </c>
      <c r="E119" s="1" t="str">
        <f>IF(DATEDIF(Walmart[[#This Row],[Order Date]],Walmart[[#This Row],[Ship Date]],"D")&lt;7,"On time","Delayed")</f>
        <v>On time</v>
      </c>
      <c r="F119" t="s">
        <v>350</v>
      </c>
      <c r="G119" t="s">
        <v>14</v>
      </c>
      <c r="H119" t="s">
        <v>37</v>
      </c>
      <c r="I119" t="s">
        <v>16</v>
      </c>
      <c r="J119" t="s">
        <v>27</v>
      </c>
      <c r="K119" t="s">
        <v>351</v>
      </c>
      <c r="L119">
        <v>15.24</v>
      </c>
      <c r="M119">
        <v>5</v>
      </c>
      <c r="N119" t="str">
        <f>IF(Walmart[[#This Row],[Quantity]]&gt;=7,"Bulk",IF(Walmart[[#This Row],[Quantity]]&gt;=2,"Multi","Single"))</f>
        <v>Multi</v>
      </c>
      <c r="O119">
        <v>5.14</v>
      </c>
      <c r="P119" t="str">
        <f>IF(Walmart[[#This Row],[Sales]]&gt;=1000,"High Value", IF(Walmart[[#This Row],[Sales]]&gt;=500,"Medium Value","Low Value"))</f>
        <v>Low Value</v>
      </c>
    </row>
    <row r="120" spans="1:16" x14ac:dyDescent="0.3">
      <c r="A120" t="s">
        <v>529</v>
      </c>
      <c r="B120" s="1">
        <v>41991</v>
      </c>
      <c r="C120" s="1" t="str">
        <f>TEXT(Walmart[[#This Row],[Order Date]],"mmmm")</f>
        <v>December</v>
      </c>
      <c r="D120" s="1">
        <v>41994</v>
      </c>
      <c r="E120" s="1" t="str">
        <f>IF(DATEDIF(Walmart[[#This Row],[Order Date]],Walmart[[#This Row],[Ship Date]],"D")&lt;7,"On time","Delayed")</f>
        <v>On time</v>
      </c>
      <c r="F120" t="s">
        <v>530</v>
      </c>
      <c r="G120" t="s">
        <v>14</v>
      </c>
      <c r="H120" t="s">
        <v>15</v>
      </c>
      <c r="I120" t="s">
        <v>16</v>
      </c>
      <c r="J120" t="s">
        <v>27</v>
      </c>
      <c r="K120" t="s">
        <v>531</v>
      </c>
      <c r="L120">
        <v>11.81</v>
      </c>
      <c r="M120">
        <v>2</v>
      </c>
      <c r="N120" t="str">
        <f>IF(Walmart[[#This Row],[Quantity]]&gt;=7,"Bulk",IF(Walmart[[#This Row],[Quantity]]&gt;=2,"Multi","Single"))</f>
        <v>Multi</v>
      </c>
      <c r="O120">
        <v>4.28</v>
      </c>
      <c r="P120" t="str">
        <f>IF(Walmart[[#This Row],[Sales]]&gt;=1000,"High Value", IF(Walmart[[#This Row],[Sales]]&gt;=500,"Medium Value","Low Value"))</f>
        <v>Low Value</v>
      </c>
    </row>
    <row r="121" spans="1:16" hidden="1" x14ac:dyDescent="0.3">
      <c r="A121" t="s">
        <v>430</v>
      </c>
      <c r="B121" s="1">
        <v>40848</v>
      </c>
      <c r="C121" s="1" t="str">
        <f>TEXT(Walmart[[#This Row],[Order Date]],"mmmm")</f>
        <v>November</v>
      </c>
      <c r="D121" s="1">
        <v>40854</v>
      </c>
      <c r="E121" s="1" t="str">
        <f>IF(DATEDIF(Walmart[[#This Row],[Order Date]],Walmart[[#This Row],[Ship Date]],"D")&lt;7,"On time","Delayed")</f>
        <v>On time</v>
      </c>
      <c r="F121" t="s">
        <v>431</v>
      </c>
      <c r="G121" t="s">
        <v>14</v>
      </c>
      <c r="H121" t="s">
        <v>141</v>
      </c>
      <c r="I121" t="s">
        <v>77</v>
      </c>
      <c r="J121" t="s">
        <v>38</v>
      </c>
      <c r="K121" t="s">
        <v>432</v>
      </c>
      <c r="L121">
        <v>43.18</v>
      </c>
      <c r="M121">
        <v>3</v>
      </c>
      <c r="N121" t="str">
        <f>IF(Walmart[[#This Row],[Quantity]]&gt;=7,"Bulk",IF(Walmart[[#This Row],[Quantity]]&gt;=2,"Multi","Single"))</f>
        <v>Multi</v>
      </c>
      <c r="O121">
        <v>4.32</v>
      </c>
      <c r="P121" t="str">
        <f>IF(Walmart[[#This Row],[Sales]]&gt;=1000,"High Value", IF(Walmart[[#This Row],[Sales]]&gt;=500,"Medium Value","Low Value"))</f>
        <v>Low Value</v>
      </c>
    </row>
    <row r="122" spans="1:16" hidden="1" x14ac:dyDescent="0.3">
      <c r="A122" t="s">
        <v>433</v>
      </c>
      <c r="B122" s="1">
        <v>40829</v>
      </c>
      <c r="C122" s="1" t="str">
        <f>TEXT(Walmart[[#This Row],[Order Date]],"mmmm")</f>
        <v>October</v>
      </c>
      <c r="D122" s="1">
        <v>40831</v>
      </c>
      <c r="E122" s="1" t="str">
        <f>IF(DATEDIF(Walmart[[#This Row],[Order Date]],Walmart[[#This Row],[Ship Date]],"D")&lt;7,"On time","Delayed")</f>
        <v>On time</v>
      </c>
      <c r="F122" t="s">
        <v>340</v>
      </c>
      <c r="G122" t="s">
        <v>14</v>
      </c>
      <c r="H122" t="s">
        <v>434</v>
      </c>
      <c r="I122" t="s">
        <v>26</v>
      </c>
      <c r="J122" t="s">
        <v>38</v>
      </c>
      <c r="K122" t="s">
        <v>435</v>
      </c>
      <c r="L122">
        <v>11.52</v>
      </c>
      <c r="M122">
        <v>4</v>
      </c>
      <c r="N122" t="str">
        <f>IF(Walmart[[#This Row],[Quantity]]&gt;=7,"Bulk",IF(Walmart[[#This Row],[Quantity]]&gt;=2,"Multi","Single"))</f>
        <v>Multi</v>
      </c>
      <c r="O122">
        <v>3.23</v>
      </c>
      <c r="P122" t="str">
        <f>IF(Walmart[[#This Row],[Sales]]&gt;=1000,"High Value", IF(Walmart[[#This Row],[Sales]]&gt;=500,"Medium Value","Low Value"))</f>
        <v>Low Value</v>
      </c>
    </row>
    <row r="123" spans="1:16" x14ac:dyDescent="0.3">
      <c r="A123" t="s">
        <v>2006</v>
      </c>
      <c r="B123" s="1">
        <v>41991</v>
      </c>
      <c r="C123" s="1" t="str">
        <f>TEXT(Walmart[[#This Row],[Order Date]],"mmmm")</f>
        <v>December</v>
      </c>
      <c r="D123" s="1">
        <v>41995</v>
      </c>
      <c r="E123" s="1" t="str">
        <f>IF(DATEDIF(Walmart[[#This Row],[Order Date]],Walmart[[#This Row],[Ship Date]],"D")&lt;7,"On time","Delayed")</f>
        <v>On time</v>
      </c>
      <c r="F123" t="s">
        <v>2007</v>
      </c>
      <c r="G123" t="s">
        <v>14</v>
      </c>
      <c r="H123" t="s">
        <v>309</v>
      </c>
      <c r="I123" t="s">
        <v>16</v>
      </c>
      <c r="J123" t="s">
        <v>33</v>
      </c>
      <c r="K123" t="s">
        <v>2008</v>
      </c>
      <c r="L123">
        <v>481.32</v>
      </c>
      <c r="M123">
        <v>4</v>
      </c>
      <c r="N123" t="str">
        <f>IF(Walmart[[#This Row],[Quantity]]&gt;=7,"Bulk",IF(Walmart[[#This Row],[Quantity]]&gt;=2,"Multi","Single"))</f>
        <v>Multi</v>
      </c>
      <c r="O123">
        <v>125.14</v>
      </c>
      <c r="P123" t="str">
        <f>IF(Walmart[[#This Row],[Sales]]&gt;=1000,"High Value", IF(Walmart[[#This Row],[Sales]]&gt;=500,"Medium Value","Low Value"))</f>
        <v>Low Value</v>
      </c>
    </row>
    <row r="124" spans="1:16" hidden="1" x14ac:dyDescent="0.3">
      <c r="A124" t="s">
        <v>439</v>
      </c>
      <c r="B124" s="1">
        <v>40672</v>
      </c>
      <c r="C124" s="1" t="str">
        <f>TEXT(Walmart[[#This Row],[Order Date]],"mmmm")</f>
        <v>May</v>
      </c>
      <c r="D124" s="1">
        <v>40678</v>
      </c>
      <c r="E124" s="1" t="str">
        <f>IF(DATEDIF(Walmart[[#This Row],[Order Date]],Walmart[[#This Row],[Ship Date]],"D")&lt;7,"On time","Delayed")</f>
        <v>On time</v>
      </c>
      <c r="F124" t="s">
        <v>440</v>
      </c>
      <c r="G124" t="s">
        <v>14</v>
      </c>
      <c r="H124" t="s">
        <v>37</v>
      </c>
      <c r="I124" t="s">
        <v>16</v>
      </c>
      <c r="J124" t="s">
        <v>53</v>
      </c>
      <c r="K124" t="s">
        <v>441</v>
      </c>
      <c r="L124">
        <v>67.8</v>
      </c>
      <c r="M124">
        <v>4</v>
      </c>
      <c r="N124" t="str">
        <f>IF(Walmart[[#This Row],[Quantity]]&gt;=7,"Bulk",IF(Walmart[[#This Row],[Quantity]]&gt;=2,"Multi","Single"))</f>
        <v>Multi</v>
      </c>
      <c r="O124">
        <v>4.07</v>
      </c>
      <c r="P124" t="str">
        <f>IF(Walmart[[#This Row],[Sales]]&gt;=1000,"High Value", IF(Walmart[[#This Row],[Sales]]&gt;=500,"Medium Value","Low Value"))</f>
        <v>Low Value</v>
      </c>
    </row>
    <row r="125" spans="1:16" hidden="1" x14ac:dyDescent="0.3">
      <c r="A125" t="s">
        <v>442</v>
      </c>
      <c r="B125" s="1">
        <v>41586</v>
      </c>
      <c r="C125" s="1" t="str">
        <f>TEXT(Walmart[[#This Row],[Order Date]],"mmmm")</f>
        <v>November</v>
      </c>
      <c r="D125" s="1">
        <v>41588</v>
      </c>
      <c r="E125" s="1" t="str">
        <f>IF(DATEDIF(Walmart[[#This Row],[Order Date]],Walmart[[#This Row],[Ship Date]],"D")&lt;7,"On time","Delayed")</f>
        <v>On time</v>
      </c>
      <c r="F125" t="s">
        <v>443</v>
      </c>
      <c r="G125" t="s">
        <v>14</v>
      </c>
      <c r="H125" t="s">
        <v>15</v>
      </c>
      <c r="I125" t="s">
        <v>16</v>
      </c>
      <c r="J125" t="s">
        <v>27</v>
      </c>
      <c r="K125" t="s">
        <v>444</v>
      </c>
      <c r="L125">
        <v>37.44</v>
      </c>
      <c r="M125">
        <v>4</v>
      </c>
      <c r="N125" t="str">
        <f>IF(Walmart[[#This Row],[Quantity]]&gt;=7,"Bulk",IF(Walmart[[#This Row],[Quantity]]&gt;=2,"Multi","Single"))</f>
        <v>Multi</v>
      </c>
      <c r="O125">
        <v>11.7</v>
      </c>
      <c r="P125" t="str">
        <f>IF(Walmart[[#This Row],[Sales]]&gt;=1000,"High Value", IF(Walmart[[#This Row],[Sales]]&gt;=500,"Medium Value","Low Value"))</f>
        <v>Low Value</v>
      </c>
    </row>
    <row r="126" spans="1:16" hidden="1" x14ac:dyDescent="0.3">
      <c r="A126" t="s">
        <v>445</v>
      </c>
      <c r="B126" s="1">
        <v>41446</v>
      </c>
      <c r="C126" s="1" t="str">
        <f>TEXT(Walmart[[#This Row],[Order Date]],"mmmm")</f>
        <v>June</v>
      </c>
      <c r="D126" s="1">
        <v>41451</v>
      </c>
      <c r="E126" s="1" t="str">
        <f>IF(DATEDIF(Walmart[[#This Row],[Order Date]],Walmart[[#This Row],[Ship Date]],"D")&lt;7,"On time","Delayed")</f>
        <v>On time</v>
      </c>
      <c r="F126" t="s">
        <v>446</v>
      </c>
      <c r="G126" t="s">
        <v>14</v>
      </c>
      <c r="H126" t="s">
        <v>447</v>
      </c>
      <c r="I126" t="s">
        <v>16</v>
      </c>
      <c r="J126" t="s">
        <v>38</v>
      </c>
      <c r="K126" t="s">
        <v>448</v>
      </c>
      <c r="L126">
        <v>5.16</v>
      </c>
      <c r="M126">
        <v>2</v>
      </c>
      <c r="N126" t="str">
        <f>IF(Walmart[[#This Row],[Quantity]]&gt;=7,"Bulk",IF(Walmart[[#This Row],[Quantity]]&gt;=2,"Multi","Single"))</f>
        <v>Multi</v>
      </c>
      <c r="O126">
        <v>1.34</v>
      </c>
      <c r="P126" t="str">
        <f>IF(Walmart[[#This Row],[Sales]]&gt;=1000,"High Value", IF(Walmart[[#This Row],[Sales]]&gt;=500,"Medium Value","Low Value"))</f>
        <v>Low Value</v>
      </c>
    </row>
    <row r="127" spans="1:16" hidden="1" x14ac:dyDescent="0.3">
      <c r="A127" t="s">
        <v>449</v>
      </c>
      <c r="B127" s="1">
        <v>40703</v>
      </c>
      <c r="C127" s="1" t="str">
        <f>TEXT(Walmart[[#This Row],[Order Date]],"mmmm")</f>
        <v>June</v>
      </c>
      <c r="D127" s="1">
        <v>40710</v>
      </c>
      <c r="E127" s="1" t="str">
        <f>IF(DATEDIF(Walmart[[#This Row],[Order Date]],Walmart[[#This Row],[Ship Date]],"D")&lt;7,"On time","Delayed")</f>
        <v>Delayed</v>
      </c>
      <c r="F127" t="s">
        <v>450</v>
      </c>
      <c r="G127" t="s">
        <v>14</v>
      </c>
      <c r="H127" t="s">
        <v>37</v>
      </c>
      <c r="I127" t="s">
        <v>16</v>
      </c>
      <c r="J127" t="s">
        <v>334</v>
      </c>
      <c r="K127" t="s">
        <v>125</v>
      </c>
      <c r="L127">
        <v>7.36</v>
      </c>
      <c r="M127">
        <v>2</v>
      </c>
      <c r="N127" t="str">
        <f>IF(Walmart[[#This Row],[Quantity]]&gt;=7,"Bulk",IF(Walmart[[#This Row],[Quantity]]&gt;=2,"Multi","Single"))</f>
        <v>Multi</v>
      </c>
      <c r="O127">
        <v>0.15</v>
      </c>
      <c r="P127" t="str">
        <f>IF(Walmart[[#This Row],[Sales]]&gt;=1000,"High Value", IF(Walmart[[#This Row],[Sales]]&gt;=500,"Medium Value","Low Value"))</f>
        <v>Low Value</v>
      </c>
    </row>
    <row r="128" spans="1:16" x14ac:dyDescent="0.3">
      <c r="A128" t="s">
        <v>1401</v>
      </c>
      <c r="B128" s="1">
        <v>41990</v>
      </c>
      <c r="C128" s="1" t="str">
        <f>TEXT(Walmart[[#This Row],[Order Date]],"mmmm")</f>
        <v>December</v>
      </c>
      <c r="D128" s="1">
        <v>41995</v>
      </c>
      <c r="E128" s="1" t="str">
        <f>IF(DATEDIF(Walmart[[#This Row],[Order Date]],Walmart[[#This Row],[Ship Date]],"D")&lt;7,"On time","Delayed")</f>
        <v>On time</v>
      </c>
      <c r="F128" t="s">
        <v>1402</v>
      </c>
      <c r="G128" t="s">
        <v>14</v>
      </c>
      <c r="H128" t="s">
        <v>491</v>
      </c>
      <c r="I128" t="s">
        <v>16</v>
      </c>
      <c r="J128" t="s">
        <v>88</v>
      </c>
      <c r="K128" t="s">
        <v>1264</v>
      </c>
      <c r="L128">
        <v>81.569999999999993</v>
      </c>
      <c r="M128">
        <v>2</v>
      </c>
      <c r="N128" t="str">
        <f>IF(Walmart[[#This Row],[Quantity]]&gt;=7,"Bulk",IF(Walmart[[#This Row],[Quantity]]&gt;=2,"Multi","Single"))</f>
        <v>Multi</v>
      </c>
      <c r="O128">
        <v>9.18</v>
      </c>
      <c r="P128" t="str">
        <f>IF(Walmart[[#This Row],[Sales]]&gt;=1000,"High Value", IF(Walmart[[#This Row],[Sales]]&gt;=500,"Medium Value","Low Value"))</f>
        <v>Low Value</v>
      </c>
    </row>
    <row r="129" spans="1:16" hidden="1" x14ac:dyDescent="0.3">
      <c r="A129" t="s">
        <v>453</v>
      </c>
      <c r="B129" s="1">
        <v>41024</v>
      </c>
      <c r="C129" s="1" t="str">
        <f>TEXT(Walmart[[#This Row],[Order Date]],"mmmm")</f>
        <v>April</v>
      </c>
      <c r="D129" s="1">
        <v>41027</v>
      </c>
      <c r="E129" s="1" t="str">
        <f>IF(DATEDIF(Walmart[[#This Row],[Order Date]],Walmart[[#This Row],[Ship Date]],"D")&lt;7,"On time","Delayed")</f>
        <v>On time</v>
      </c>
      <c r="F129" t="s">
        <v>454</v>
      </c>
      <c r="G129" t="s">
        <v>14</v>
      </c>
      <c r="H129" t="s">
        <v>15</v>
      </c>
      <c r="I129" t="s">
        <v>16</v>
      </c>
      <c r="J129" t="s">
        <v>27</v>
      </c>
      <c r="K129" t="s">
        <v>455</v>
      </c>
      <c r="L129">
        <v>13.94</v>
      </c>
      <c r="M129">
        <v>3</v>
      </c>
      <c r="N129" t="str">
        <f>IF(Walmart[[#This Row],[Quantity]]&gt;=7,"Bulk",IF(Walmart[[#This Row],[Quantity]]&gt;=2,"Multi","Single"))</f>
        <v>Multi</v>
      </c>
      <c r="O129">
        <v>4.53</v>
      </c>
      <c r="P129" t="str">
        <f>IF(Walmart[[#This Row],[Sales]]&gt;=1000,"High Value", IF(Walmart[[#This Row],[Sales]]&gt;=500,"Medium Value","Low Value"))</f>
        <v>Low Value</v>
      </c>
    </row>
    <row r="130" spans="1:16" x14ac:dyDescent="0.3">
      <c r="A130" t="s">
        <v>2566</v>
      </c>
      <c r="B130" s="1">
        <v>41990</v>
      </c>
      <c r="C130" s="1" t="str">
        <f>TEXT(Walmart[[#This Row],[Order Date]],"mmmm")</f>
        <v>December</v>
      </c>
      <c r="D130" s="1">
        <v>41995</v>
      </c>
      <c r="E130" s="1" t="str">
        <f>IF(DATEDIF(Walmart[[#This Row],[Order Date]],Walmart[[#This Row],[Ship Date]],"D")&lt;7,"On time","Delayed")</f>
        <v>On time</v>
      </c>
      <c r="F130" t="s">
        <v>359</v>
      </c>
      <c r="G130" t="s">
        <v>14</v>
      </c>
      <c r="H130" t="s">
        <v>15</v>
      </c>
      <c r="I130" t="s">
        <v>16</v>
      </c>
      <c r="J130" t="s">
        <v>93</v>
      </c>
      <c r="K130" t="s">
        <v>642</v>
      </c>
      <c r="L130">
        <v>13.36</v>
      </c>
      <c r="M130">
        <v>2</v>
      </c>
      <c r="N130" t="str">
        <f>IF(Walmart[[#This Row],[Quantity]]&gt;=7,"Bulk",IF(Walmart[[#This Row],[Quantity]]&gt;=2,"Multi","Single"))</f>
        <v>Multi</v>
      </c>
      <c r="O130">
        <v>6.41</v>
      </c>
      <c r="P130" t="str">
        <f>IF(Walmart[[#This Row],[Sales]]&gt;=1000,"High Value", IF(Walmart[[#This Row],[Sales]]&gt;=500,"Medium Value","Low Value"))</f>
        <v>Low Value</v>
      </c>
    </row>
    <row r="131" spans="1:16" hidden="1" x14ac:dyDescent="0.3">
      <c r="A131" t="s">
        <v>458</v>
      </c>
      <c r="B131" s="1">
        <v>40886</v>
      </c>
      <c r="C131" s="1" t="str">
        <f>TEXT(Walmart[[#This Row],[Order Date]],"mmmm")</f>
        <v>December</v>
      </c>
      <c r="D131" s="1">
        <v>40893</v>
      </c>
      <c r="E131" s="1" t="str">
        <f>IF(DATEDIF(Walmart[[#This Row],[Order Date]],Walmart[[#This Row],[Ship Date]],"D")&lt;7,"On time","Delayed")</f>
        <v>Delayed</v>
      </c>
      <c r="F131" t="s">
        <v>459</v>
      </c>
      <c r="G131" t="s">
        <v>14</v>
      </c>
      <c r="H131" t="s">
        <v>37</v>
      </c>
      <c r="I131" t="s">
        <v>16</v>
      </c>
      <c r="J131" t="s">
        <v>93</v>
      </c>
      <c r="K131" t="s">
        <v>460</v>
      </c>
      <c r="L131">
        <v>34.68</v>
      </c>
      <c r="M131">
        <v>6</v>
      </c>
      <c r="N131" t="str">
        <f>IF(Walmart[[#This Row],[Quantity]]&gt;=7,"Bulk",IF(Walmart[[#This Row],[Quantity]]&gt;=2,"Multi","Single"))</f>
        <v>Multi</v>
      </c>
      <c r="O131">
        <v>16.989999999999998</v>
      </c>
      <c r="P131" t="str">
        <f>IF(Walmart[[#This Row],[Sales]]&gt;=1000,"High Value", IF(Walmart[[#This Row],[Sales]]&gt;=500,"Medium Value","Low Value"))</f>
        <v>Low Value</v>
      </c>
    </row>
    <row r="132" spans="1:16" hidden="1" x14ac:dyDescent="0.3">
      <c r="A132" t="s">
        <v>461</v>
      </c>
      <c r="B132" s="1">
        <v>41589</v>
      </c>
      <c r="C132" s="1" t="str">
        <f>TEXT(Walmart[[#This Row],[Order Date]],"mmmm")</f>
        <v>November</v>
      </c>
      <c r="D132" s="1">
        <v>41591</v>
      </c>
      <c r="E132" s="1" t="str">
        <f>IF(DATEDIF(Walmart[[#This Row],[Order Date]],Walmart[[#This Row],[Ship Date]],"D")&lt;7,"On time","Delayed")</f>
        <v>On time</v>
      </c>
      <c r="F132" t="s">
        <v>462</v>
      </c>
      <c r="G132" t="s">
        <v>14</v>
      </c>
      <c r="H132" t="s">
        <v>37</v>
      </c>
      <c r="I132" t="s">
        <v>16</v>
      </c>
      <c r="J132" t="s">
        <v>33</v>
      </c>
      <c r="K132" t="s">
        <v>463</v>
      </c>
      <c r="L132">
        <v>155.82</v>
      </c>
      <c r="M132">
        <v>7</v>
      </c>
      <c r="N132" t="str">
        <f>IF(Walmart[[#This Row],[Quantity]]&gt;=7,"Bulk",IF(Walmart[[#This Row],[Quantity]]&gt;=2,"Multi","Single"))</f>
        <v>Bulk</v>
      </c>
      <c r="O132">
        <v>42.07</v>
      </c>
      <c r="P132" t="str">
        <f>IF(Walmart[[#This Row],[Sales]]&gt;=1000,"High Value", IF(Walmart[[#This Row],[Sales]]&gt;=500,"Medium Value","Low Value"))</f>
        <v>Low Value</v>
      </c>
    </row>
    <row r="133" spans="1:16" hidden="1" x14ac:dyDescent="0.3">
      <c r="A133" t="s">
        <v>464</v>
      </c>
      <c r="B133" s="1">
        <v>41373</v>
      </c>
      <c r="C133" s="1" t="str">
        <f>TEXT(Walmart[[#This Row],[Order Date]],"mmmm")</f>
        <v>April</v>
      </c>
      <c r="D133" s="1">
        <v>41377</v>
      </c>
      <c r="E133" s="1" t="str">
        <f>IF(DATEDIF(Walmart[[#This Row],[Order Date]],Walmart[[#This Row],[Ship Date]],"D")&lt;7,"On time","Delayed")</f>
        <v>On time</v>
      </c>
      <c r="F133" t="s">
        <v>350</v>
      </c>
      <c r="G133" t="s">
        <v>14</v>
      </c>
      <c r="H133" t="s">
        <v>15</v>
      </c>
      <c r="I133" t="s">
        <v>16</v>
      </c>
      <c r="J133" t="s">
        <v>93</v>
      </c>
      <c r="K133" t="s">
        <v>465</v>
      </c>
      <c r="L133">
        <v>20.04</v>
      </c>
      <c r="M133">
        <v>3</v>
      </c>
      <c r="N133" t="str">
        <f>IF(Walmart[[#This Row],[Quantity]]&gt;=7,"Bulk",IF(Walmart[[#This Row],[Quantity]]&gt;=2,"Multi","Single"))</f>
        <v>Multi</v>
      </c>
      <c r="O133">
        <v>9.6199999999999992</v>
      </c>
      <c r="P133" t="str">
        <f>IF(Walmart[[#This Row],[Sales]]&gt;=1000,"High Value", IF(Walmart[[#This Row],[Sales]]&gt;=500,"Medium Value","Low Value"))</f>
        <v>Low Value</v>
      </c>
    </row>
    <row r="134" spans="1:16" x14ac:dyDescent="0.3">
      <c r="A134" t="s">
        <v>3283</v>
      </c>
      <c r="B134" s="1">
        <v>41990</v>
      </c>
      <c r="C134" s="1" t="str">
        <f>TEXT(Walmart[[#This Row],[Order Date]],"mmmm")</f>
        <v>December</v>
      </c>
      <c r="D134" s="1">
        <v>41994</v>
      </c>
      <c r="E134" s="1" t="str">
        <f>IF(DATEDIF(Walmart[[#This Row],[Order Date]],Walmart[[#This Row],[Ship Date]],"D")&lt;7,"On time","Delayed")</f>
        <v>On time</v>
      </c>
      <c r="F134" t="s">
        <v>3284</v>
      </c>
      <c r="G134" t="s">
        <v>14</v>
      </c>
      <c r="H134" t="s">
        <v>1032</v>
      </c>
      <c r="I134" t="s">
        <v>16</v>
      </c>
      <c r="J134" t="s">
        <v>27</v>
      </c>
      <c r="K134" t="s">
        <v>1477</v>
      </c>
      <c r="L134">
        <v>5.98</v>
      </c>
      <c r="M134">
        <v>2</v>
      </c>
      <c r="N134" t="str">
        <f>IF(Walmart[[#This Row],[Quantity]]&gt;=7,"Bulk",IF(Walmart[[#This Row],[Quantity]]&gt;=2,"Multi","Single"))</f>
        <v>Multi</v>
      </c>
      <c r="O134">
        <v>2.2400000000000002</v>
      </c>
      <c r="P134" t="str">
        <f>IF(Walmart[[#This Row],[Sales]]&gt;=1000,"High Value", IF(Walmart[[#This Row],[Sales]]&gt;=500,"Medium Value","Low Value"))</f>
        <v>Low Value</v>
      </c>
    </row>
    <row r="135" spans="1:16" hidden="1" x14ac:dyDescent="0.3">
      <c r="A135" t="s">
        <v>469</v>
      </c>
      <c r="B135" s="1">
        <v>41256</v>
      </c>
      <c r="C135" s="1" t="str">
        <f>TEXT(Walmart[[#This Row],[Order Date]],"mmmm")</f>
        <v>December</v>
      </c>
      <c r="D135" s="1">
        <v>41260</v>
      </c>
      <c r="E135" s="1" t="str">
        <f>IF(DATEDIF(Walmart[[#This Row],[Order Date]],Walmart[[#This Row],[Ship Date]],"D")&lt;7,"On time","Delayed")</f>
        <v>On time</v>
      </c>
      <c r="F135" t="s">
        <v>470</v>
      </c>
      <c r="G135" t="s">
        <v>14</v>
      </c>
      <c r="H135" t="s">
        <v>471</v>
      </c>
      <c r="I135" t="s">
        <v>16</v>
      </c>
      <c r="J135" t="s">
        <v>93</v>
      </c>
      <c r="K135" t="s">
        <v>472</v>
      </c>
      <c r="L135">
        <v>12.96</v>
      </c>
      <c r="M135">
        <v>2</v>
      </c>
      <c r="N135" t="str">
        <f>IF(Walmart[[#This Row],[Quantity]]&gt;=7,"Bulk",IF(Walmart[[#This Row],[Quantity]]&gt;=2,"Multi","Single"))</f>
        <v>Multi</v>
      </c>
      <c r="O135">
        <v>6.22</v>
      </c>
      <c r="P135" t="str">
        <f>IF(Walmart[[#This Row],[Sales]]&gt;=1000,"High Value", IF(Walmart[[#This Row],[Sales]]&gt;=500,"Medium Value","Low Value"))</f>
        <v>Low Value</v>
      </c>
    </row>
    <row r="136" spans="1:16" hidden="1" x14ac:dyDescent="0.3">
      <c r="A136" t="s">
        <v>473</v>
      </c>
      <c r="B136" s="1">
        <v>41445</v>
      </c>
      <c r="C136" s="1" t="str">
        <f>TEXT(Walmart[[#This Row],[Order Date]],"mmmm")</f>
        <v>June</v>
      </c>
      <c r="D136" s="1">
        <v>41446</v>
      </c>
      <c r="E136" s="1" t="str">
        <f>IF(DATEDIF(Walmart[[#This Row],[Order Date]],Walmart[[#This Row],[Ship Date]],"D")&lt;7,"On time","Delayed")</f>
        <v>On time</v>
      </c>
      <c r="F136" t="s">
        <v>474</v>
      </c>
      <c r="G136" t="s">
        <v>14</v>
      </c>
      <c r="H136" t="s">
        <v>37</v>
      </c>
      <c r="I136" t="s">
        <v>16</v>
      </c>
      <c r="J136" t="s">
        <v>93</v>
      </c>
      <c r="K136" t="s">
        <v>475</v>
      </c>
      <c r="L136">
        <v>17.12</v>
      </c>
      <c r="M136">
        <v>2</v>
      </c>
      <c r="N136" t="str">
        <f>IF(Walmart[[#This Row],[Quantity]]&gt;=7,"Bulk",IF(Walmart[[#This Row],[Quantity]]&gt;=2,"Multi","Single"))</f>
        <v>Multi</v>
      </c>
      <c r="O136">
        <v>8.0500000000000007</v>
      </c>
      <c r="P136" t="str">
        <f>IF(Walmart[[#This Row],[Sales]]&gt;=1000,"High Value", IF(Walmart[[#This Row],[Sales]]&gt;=500,"Medium Value","Low Value"))</f>
        <v>Low Value</v>
      </c>
    </row>
    <row r="137" spans="1:16" hidden="1" x14ac:dyDescent="0.3">
      <c r="A137" t="s">
        <v>476</v>
      </c>
      <c r="B137" s="1">
        <v>41622</v>
      </c>
      <c r="C137" s="1" t="str">
        <f>TEXT(Walmart[[#This Row],[Order Date]],"mmmm")</f>
        <v>December</v>
      </c>
      <c r="D137" s="1">
        <v>41629</v>
      </c>
      <c r="E137" s="1" t="str">
        <f>IF(DATEDIF(Walmart[[#This Row],[Order Date]],Walmart[[#This Row],[Ship Date]],"D")&lt;7,"On time","Delayed")</f>
        <v>Delayed</v>
      </c>
      <c r="F137" t="s">
        <v>477</v>
      </c>
      <c r="G137" t="s">
        <v>14</v>
      </c>
      <c r="H137" t="s">
        <v>478</v>
      </c>
      <c r="I137" t="s">
        <v>16</v>
      </c>
      <c r="J137" t="s">
        <v>27</v>
      </c>
      <c r="K137" t="s">
        <v>479</v>
      </c>
      <c r="L137">
        <v>6.1</v>
      </c>
      <c r="M137">
        <v>2</v>
      </c>
      <c r="N137" t="str">
        <f>IF(Walmart[[#This Row],[Quantity]]&gt;=7,"Bulk",IF(Walmart[[#This Row],[Quantity]]&gt;=2,"Multi","Single"))</f>
        <v>Multi</v>
      </c>
      <c r="O137">
        <v>2.21</v>
      </c>
      <c r="P137" t="str">
        <f>IF(Walmart[[#This Row],[Sales]]&gt;=1000,"High Value", IF(Walmart[[#This Row],[Sales]]&gt;=500,"Medium Value","Low Value"))</f>
        <v>Low Value</v>
      </c>
    </row>
    <row r="138" spans="1:16" hidden="1" x14ac:dyDescent="0.3">
      <c r="A138" t="s">
        <v>480</v>
      </c>
      <c r="B138" s="1">
        <v>41058</v>
      </c>
      <c r="C138" s="1" t="str">
        <f>TEXT(Walmart[[#This Row],[Order Date]],"mmmm")</f>
        <v>May</v>
      </c>
      <c r="D138" s="1">
        <v>41063</v>
      </c>
      <c r="E138" s="1" t="str">
        <f>IF(DATEDIF(Walmart[[#This Row],[Order Date]],Walmart[[#This Row],[Ship Date]],"D")&lt;7,"On time","Delayed")</f>
        <v>On time</v>
      </c>
      <c r="F138" t="s">
        <v>481</v>
      </c>
      <c r="G138" t="s">
        <v>14</v>
      </c>
      <c r="H138" t="s">
        <v>25</v>
      </c>
      <c r="I138" t="s">
        <v>26</v>
      </c>
      <c r="J138" t="s">
        <v>93</v>
      </c>
      <c r="K138" t="s">
        <v>482</v>
      </c>
      <c r="L138">
        <v>32.4</v>
      </c>
      <c r="M138">
        <v>5</v>
      </c>
      <c r="N138" t="str">
        <f>IF(Walmart[[#This Row],[Quantity]]&gt;=7,"Bulk",IF(Walmart[[#This Row],[Quantity]]&gt;=2,"Multi","Single"))</f>
        <v>Multi</v>
      </c>
      <c r="O138">
        <v>15.55</v>
      </c>
      <c r="P138" t="str">
        <f>IF(Walmart[[#This Row],[Sales]]&gt;=1000,"High Value", IF(Walmart[[#This Row],[Sales]]&gt;=500,"Medium Value","Low Value"))</f>
        <v>Low Value</v>
      </c>
    </row>
    <row r="139" spans="1:16" hidden="1" x14ac:dyDescent="0.3">
      <c r="A139" t="s">
        <v>483</v>
      </c>
      <c r="B139" s="1">
        <v>41116</v>
      </c>
      <c r="C139" s="1" t="str">
        <f>TEXT(Walmart[[#This Row],[Order Date]],"mmmm")</f>
        <v>July</v>
      </c>
      <c r="D139" s="1">
        <v>41118</v>
      </c>
      <c r="E139" s="1" t="str">
        <f>IF(DATEDIF(Walmart[[#This Row],[Order Date]],Walmart[[#This Row],[Ship Date]],"D")&lt;7,"On time","Delayed")</f>
        <v>On time</v>
      </c>
      <c r="F139" t="s">
        <v>484</v>
      </c>
      <c r="G139" t="s">
        <v>14</v>
      </c>
      <c r="H139" t="s">
        <v>299</v>
      </c>
      <c r="I139" t="s">
        <v>58</v>
      </c>
      <c r="J139" t="s">
        <v>43</v>
      </c>
      <c r="K139" t="s">
        <v>485</v>
      </c>
      <c r="L139">
        <v>393.17</v>
      </c>
      <c r="M139">
        <v>3</v>
      </c>
      <c r="N139" t="str">
        <f>IF(Walmart[[#This Row],[Quantity]]&gt;=7,"Bulk",IF(Walmart[[#This Row],[Quantity]]&gt;=2,"Multi","Single"))</f>
        <v>Multi</v>
      </c>
      <c r="O139">
        <v>-204.45</v>
      </c>
      <c r="P139" t="str">
        <f>IF(Walmart[[#This Row],[Sales]]&gt;=1000,"High Value", IF(Walmart[[#This Row],[Sales]]&gt;=500,"Medium Value","Low Value"))</f>
        <v>Low Value</v>
      </c>
    </row>
    <row r="140" spans="1:16" x14ac:dyDescent="0.3">
      <c r="A140" t="s">
        <v>1696</v>
      </c>
      <c r="B140" s="1">
        <v>41989</v>
      </c>
      <c r="C140" s="1" t="str">
        <f>TEXT(Walmart[[#This Row],[Order Date]],"mmmm")</f>
        <v>December</v>
      </c>
      <c r="D140" s="1">
        <v>41994</v>
      </c>
      <c r="E140" s="1" t="str">
        <f>IF(DATEDIF(Walmart[[#This Row],[Order Date]],Walmart[[#This Row],[Ship Date]],"D")&lt;7,"On time","Delayed")</f>
        <v>On time</v>
      </c>
      <c r="F140" t="s">
        <v>1697</v>
      </c>
      <c r="G140" t="s">
        <v>14</v>
      </c>
      <c r="H140" t="s">
        <v>25</v>
      </c>
      <c r="I140" t="s">
        <v>26</v>
      </c>
      <c r="J140" t="s">
        <v>21</v>
      </c>
      <c r="K140" t="s">
        <v>1698</v>
      </c>
      <c r="L140">
        <v>22.77</v>
      </c>
      <c r="M140">
        <v>3</v>
      </c>
      <c r="N140" t="str">
        <f>IF(Walmart[[#This Row],[Quantity]]&gt;=7,"Bulk",IF(Walmart[[#This Row],[Quantity]]&gt;=2,"Multi","Single"))</f>
        <v>Multi</v>
      </c>
      <c r="O140">
        <v>9.7899999999999991</v>
      </c>
      <c r="P140" t="str">
        <f>IF(Walmart[[#This Row],[Sales]]&gt;=1000,"High Value", IF(Walmart[[#This Row],[Sales]]&gt;=500,"Medium Value","Low Value"))</f>
        <v>Low Value</v>
      </c>
    </row>
    <row r="141" spans="1:16" hidden="1" x14ac:dyDescent="0.3">
      <c r="A141" t="s">
        <v>489</v>
      </c>
      <c r="B141" s="1">
        <v>41174</v>
      </c>
      <c r="C141" s="1" t="str">
        <f>TEXT(Walmart[[#This Row],[Order Date]],"mmmm")</f>
        <v>September</v>
      </c>
      <c r="D141" s="1">
        <v>41174</v>
      </c>
      <c r="E141" s="1" t="str">
        <f>IF(DATEDIF(Walmart[[#This Row],[Order Date]],Walmart[[#This Row],[Ship Date]],"D")&lt;7,"On time","Delayed")</f>
        <v>On time</v>
      </c>
      <c r="F141" t="s">
        <v>490</v>
      </c>
      <c r="G141" t="s">
        <v>14</v>
      </c>
      <c r="H141" t="s">
        <v>491</v>
      </c>
      <c r="I141" t="s">
        <v>16</v>
      </c>
      <c r="J141" t="s">
        <v>21</v>
      </c>
      <c r="K141" t="s">
        <v>492</v>
      </c>
      <c r="L141">
        <v>204.6</v>
      </c>
      <c r="M141">
        <v>2</v>
      </c>
      <c r="N141" t="str">
        <f>IF(Walmart[[#This Row],[Quantity]]&gt;=7,"Bulk",IF(Walmart[[#This Row],[Quantity]]&gt;=2,"Multi","Single"))</f>
        <v>Multi</v>
      </c>
      <c r="O141">
        <v>53.2</v>
      </c>
      <c r="P141" t="str">
        <f>IF(Walmart[[#This Row],[Sales]]&gt;=1000,"High Value", IF(Walmart[[#This Row],[Sales]]&gt;=500,"Medium Value","Low Value"))</f>
        <v>Low Value</v>
      </c>
    </row>
    <row r="142" spans="1:16" x14ac:dyDescent="0.3">
      <c r="A142" t="s">
        <v>3485</v>
      </c>
      <c r="B142" s="1">
        <v>41989</v>
      </c>
      <c r="C142" s="1" t="str">
        <f>TEXT(Walmart[[#This Row],[Order Date]],"mmmm")</f>
        <v>December</v>
      </c>
      <c r="D142" s="1">
        <v>41993</v>
      </c>
      <c r="E142" s="1" t="str">
        <f>IF(DATEDIF(Walmart[[#This Row],[Order Date]],Walmart[[#This Row],[Ship Date]],"D")&lt;7,"On time","Delayed")</f>
        <v>On time</v>
      </c>
      <c r="F142" t="s">
        <v>2465</v>
      </c>
      <c r="G142" t="s">
        <v>14</v>
      </c>
      <c r="H142" t="s">
        <v>173</v>
      </c>
      <c r="I142" t="s">
        <v>16</v>
      </c>
      <c r="J142" t="s">
        <v>93</v>
      </c>
      <c r="K142" t="s">
        <v>161</v>
      </c>
      <c r="L142">
        <v>22.83</v>
      </c>
      <c r="M142">
        <v>3</v>
      </c>
      <c r="N142" t="str">
        <f>IF(Walmart[[#This Row],[Quantity]]&gt;=7,"Bulk",IF(Walmart[[#This Row],[Quantity]]&gt;=2,"Multi","Single"))</f>
        <v>Multi</v>
      </c>
      <c r="O142">
        <v>10.73</v>
      </c>
      <c r="P142" t="str">
        <f>IF(Walmart[[#This Row],[Sales]]&gt;=1000,"High Value", IF(Walmart[[#This Row],[Sales]]&gt;=500,"Medium Value","Low Value"))</f>
        <v>Low Value</v>
      </c>
    </row>
    <row r="143" spans="1:16" hidden="1" x14ac:dyDescent="0.3">
      <c r="A143" t="s">
        <v>495</v>
      </c>
      <c r="B143" s="1">
        <v>41519</v>
      </c>
      <c r="C143" s="1" t="str">
        <f>TEXT(Walmart[[#This Row],[Order Date]],"mmmm")</f>
        <v>September</v>
      </c>
      <c r="D143" s="1">
        <v>41522</v>
      </c>
      <c r="E143" s="1" t="str">
        <f>IF(DATEDIF(Walmart[[#This Row],[Order Date]],Walmart[[#This Row],[Ship Date]],"D")&lt;7,"On time","Delayed")</f>
        <v>On time</v>
      </c>
      <c r="F143" t="s">
        <v>496</v>
      </c>
      <c r="G143" t="s">
        <v>14</v>
      </c>
      <c r="H143" t="s">
        <v>37</v>
      </c>
      <c r="I143" t="s">
        <v>16</v>
      </c>
      <c r="J143" t="s">
        <v>124</v>
      </c>
      <c r="K143" t="s">
        <v>497</v>
      </c>
      <c r="L143">
        <v>21.88</v>
      </c>
      <c r="M143">
        <v>2</v>
      </c>
      <c r="N143" t="str">
        <f>IF(Walmart[[#This Row],[Quantity]]&gt;=7,"Bulk",IF(Walmart[[#This Row],[Quantity]]&gt;=2,"Multi","Single"))</f>
        <v>Multi</v>
      </c>
      <c r="O143">
        <v>10.94</v>
      </c>
      <c r="P143" t="str">
        <f>IF(Walmart[[#This Row],[Sales]]&gt;=1000,"High Value", IF(Walmart[[#This Row],[Sales]]&gt;=500,"Medium Value","Low Value"))</f>
        <v>Low Value</v>
      </c>
    </row>
    <row r="144" spans="1:16" x14ac:dyDescent="0.3">
      <c r="A144" t="s">
        <v>1393</v>
      </c>
      <c r="B144" s="1">
        <v>41988</v>
      </c>
      <c r="C144" s="1" t="str">
        <f>TEXT(Walmart[[#This Row],[Order Date]],"mmmm")</f>
        <v>December</v>
      </c>
      <c r="D144" s="1">
        <v>41992</v>
      </c>
      <c r="E144" s="1" t="str">
        <f>IF(DATEDIF(Walmart[[#This Row],[Order Date]],Walmart[[#This Row],[Ship Date]],"D")&lt;7,"On time","Delayed")</f>
        <v>On time</v>
      </c>
      <c r="F144" t="s">
        <v>760</v>
      </c>
      <c r="G144" t="s">
        <v>14</v>
      </c>
      <c r="H144" t="s">
        <v>160</v>
      </c>
      <c r="I144" t="s">
        <v>16</v>
      </c>
      <c r="J144" t="s">
        <v>21</v>
      </c>
      <c r="K144" t="s">
        <v>1394</v>
      </c>
      <c r="L144">
        <v>26.25</v>
      </c>
      <c r="M144">
        <v>3</v>
      </c>
      <c r="N144" t="str">
        <f>IF(Walmart[[#This Row],[Quantity]]&gt;=7,"Bulk",IF(Walmart[[#This Row],[Quantity]]&gt;=2,"Multi","Single"))</f>
        <v>Multi</v>
      </c>
      <c r="O144">
        <v>11.03</v>
      </c>
      <c r="P144" t="str">
        <f>IF(Walmart[[#This Row],[Sales]]&gt;=1000,"High Value", IF(Walmart[[#This Row],[Sales]]&gt;=500,"Medium Value","Low Value"))</f>
        <v>Low Value</v>
      </c>
    </row>
    <row r="145" spans="1:16" hidden="1" x14ac:dyDescent="0.3">
      <c r="A145" t="s">
        <v>501</v>
      </c>
      <c r="B145" s="1">
        <v>40858</v>
      </c>
      <c r="C145" s="1" t="str">
        <f>TEXT(Walmart[[#This Row],[Order Date]],"mmmm")</f>
        <v>November</v>
      </c>
      <c r="D145" s="1">
        <v>40861</v>
      </c>
      <c r="E145" s="1" t="str">
        <f>IF(DATEDIF(Walmart[[#This Row],[Order Date]],Walmart[[#This Row],[Ship Date]],"D")&lt;7,"On time","Delayed")</f>
        <v>On time</v>
      </c>
      <c r="F145" t="s">
        <v>502</v>
      </c>
      <c r="G145" t="s">
        <v>14</v>
      </c>
      <c r="H145" t="s">
        <v>247</v>
      </c>
      <c r="I145" t="s">
        <v>77</v>
      </c>
      <c r="J145" t="s">
        <v>38</v>
      </c>
      <c r="K145" t="s">
        <v>503</v>
      </c>
      <c r="L145">
        <v>3.39</v>
      </c>
      <c r="M145">
        <v>1</v>
      </c>
      <c r="N145" t="str">
        <f>IF(Walmart[[#This Row],[Quantity]]&gt;=7,"Bulk",IF(Walmart[[#This Row],[Quantity]]&gt;=2,"Multi","Single"))</f>
        <v>Single</v>
      </c>
      <c r="O145">
        <v>0.81</v>
      </c>
      <c r="P145" t="str">
        <f>IF(Walmart[[#This Row],[Sales]]&gt;=1000,"High Value", IF(Walmart[[#This Row],[Sales]]&gt;=500,"Medium Value","Low Value"))</f>
        <v>Low Value</v>
      </c>
    </row>
    <row r="146" spans="1:16" hidden="1" x14ac:dyDescent="0.3">
      <c r="A146" t="s">
        <v>504</v>
      </c>
      <c r="B146" s="1">
        <v>41513</v>
      </c>
      <c r="C146" s="1" t="str">
        <f>TEXT(Walmart[[#This Row],[Order Date]],"mmmm")</f>
        <v>August</v>
      </c>
      <c r="D146" s="1">
        <v>41514</v>
      </c>
      <c r="E146" s="1" t="str">
        <f>IF(DATEDIF(Walmart[[#This Row],[Order Date]],Walmart[[#This Row],[Ship Date]],"D")&lt;7,"On time","Delayed")</f>
        <v>On time</v>
      </c>
      <c r="F146" t="s">
        <v>505</v>
      </c>
      <c r="G146" t="s">
        <v>14</v>
      </c>
      <c r="H146" t="s">
        <v>109</v>
      </c>
      <c r="I146" t="s">
        <v>16</v>
      </c>
      <c r="J146" t="s">
        <v>191</v>
      </c>
      <c r="K146" t="s">
        <v>506</v>
      </c>
      <c r="L146">
        <v>10.23</v>
      </c>
      <c r="M146">
        <v>3</v>
      </c>
      <c r="N146" t="str">
        <f>IF(Walmart[[#This Row],[Quantity]]&gt;=7,"Bulk",IF(Walmart[[#This Row],[Quantity]]&gt;=2,"Multi","Single"))</f>
        <v>Multi</v>
      </c>
      <c r="O146">
        <v>4.91</v>
      </c>
      <c r="P146" t="str">
        <f>IF(Walmart[[#This Row],[Sales]]&gt;=1000,"High Value", IF(Walmart[[#This Row],[Sales]]&gt;=500,"Medium Value","Low Value"))</f>
        <v>Low Value</v>
      </c>
    </row>
    <row r="147" spans="1:16" hidden="1" x14ac:dyDescent="0.3">
      <c r="A147" t="s">
        <v>507</v>
      </c>
      <c r="B147" s="1">
        <v>41592</v>
      </c>
      <c r="C147" s="1" t="str">
        <f>TEXT(Walmart[[#This Row],[Order Date]],"mmmm")</f>
        <v>November</v>
      </c>
      <c r="D147" s="1">
        <v>41596</v>
      </c>
      <c r="E147" s="1" t="str">
        <f>IF(DATEDIF(Walmart[[#This Row],[Order Date]],Walmart[[#This Row],[Ship Date]],"D")&lt;7,"On time","Delayed")</f>
        <v>On time</v>
      </c>
      <c r="F147" t="s">
        <v>133</v>
      </c>
      <c r="G147" t="s">
        <v>14</v>
      </c>
      <c r="H147" t="s">
        <v>370</v>
      </c>
      <c r="I147" t="s">
        <v>26</v>
      </c>
      <c r="J147" t="s">
        <v>38</v>
      </c>
      <c r="K147" t="s">
        <v>508</v>
      </c>
      <c r="L147">
        <v>44.02</v>
      </c>
      <c r="M147">
        <v>2</v>
      </c>
      <c r="N147" t="str">
        <f>IF(Walmart[[#This Row],[Quantity]]&gt;=7,"Bulk",IF(Walmart[[#This Row],[Quantity]]&gt;=2,"Multi","Single"))</f>
        <v>Multi</v>
      </c>
      <c r="O147">
        <v>11.45</v>
      </c>
      <c r="P147" t="str">
        <f>IF(Walmart[[#This Row],[Sales]]&gt;=1000,"High Value", IF(Walmart[[#This Row],[Sales]]&gt;=500,"Medium Value","Low Value"))</f>
        <v>Low Value</v>
      </c>
    </row>
    <row r="148" spans="1:16" hidden="1" x14ac:dyDescent="0.3">
      <c r="A148" t="s">
        <v>509</v>
      </c>
      <c r="B148" s="1">
        <v>41148</v>
      </c>
      <c r="C148" s="1" t="str">
        <f>TEXT(Walmart[[#This Row],[Order Date]],"mmmm")</f>
        <v>August</v>
      </c>
      <c r="D148" s="1">
        <v>41152</v>
      </c>
      <c r="E148" s="1" t="str">
        <f>IF(DATEDIF(Walmart[[#This Row],[Order Date]],Walmart[[#This Row],[Ship Date]],"D")&lt;7,"On time","Delayed")</f>
        <v>On time</v>
      </c>
      <c r="F148" t="s">
        <v>510</v>
      </c>
      <c r="G148" t="s">
        <v>14</v>
      </c>
      <c r="H148" t="s">
        <v>511</v>
      </c>
      <c r="I148" t="s">
        <v>16</v>
      </c>
      <c r="J148" t="s">
        <v>33</v>
      </c>
      <c r="K148" t="s">
        <v>512</v>
      </c>
      <c r="L148">
        <v>484.65</v>
      </c>
      <c r="M148">
        <v>3</v>
      </c>
      <c r="N148" t="str">
        <f>IF(Walmart[[#This Row],[Quantity]]&gt;=7,"Bulk",IF(Walmart[[#This Row],[Quantity]]&gt;=2,"Multi","Single"))</f>
        <v>Multi</v>
      </c>
      <c r="O148">
        <v>92.08</v>
      </c>
      <c r="P148" t="str">
        <f>IF(Walmart[[#This Row],[Sales]]&gt;=1000,"High Value", IF(Walmart[[#This Row],[Sales]]&gt;=500,"Medium Value","Low Value"))</f>
        <v>Low Value</v>
      </c>
    </row>
    <row r="149" spans="1:16" hidden="1" x14ac:dyDescent="0.3">
      <c r="A149" t="s">
        <v>513</v>
      </c>
      <c r="B149" s="1">
        <v>41219</v>
      </c>
      <c r="C149" s="1" t="str">
        <f>TEXT(Walmart[[#This Row],[Order Date]],"mmmm")</f>
        <v>November</v>
      </c>
      <c r="D149" s="1">
        <v>41222</v>
      </c>
      <c r="E149" s="1" t="str">
        <f>IF(DATEDIF(Walmart[[#This Row],[Order Date]],Walmart[[#This Row],[Ship Date]],"D")&lt;7,"On time","Delayed")</f>
        <v>On time</v>
      </c>
      <c r="F149" t="s">
        <v>514</v>
      </c>
      <c r="G149" t="s">
        <v>14</v>
      </c>
      <c r="H149" t="s">
        <v>104</v>
      </c>
      <c r="I149" t="s">
        <v>58</v>
      </c>
      <c r="J149" t="s">
        <v>124</v>
      </c>
      <c r="K149" t="s">
        <v>515</v>
      </c>
      <c r="L149">
        <v>7.08</v>
      </c>
      <c r="M149">
        <v>3</v>
      </c>
      <c r="N149" t="str">
        <f>IF(Walmart[[#This Row],[Quantity]]&gt;=7,"Bulk",IF(Walmart[[#This Row],[Quantity]]&gt;=2,"Multi","Single"))</f>
        <v>Multi</v>
      </c>
      <c r="O149">
        <v>2.48</v>
      </c>
      <c r="P149" t="str">
        <f>IF(Walmart[[#This Row],[Sales]]&gt;=1000,"High Value", IF(Walmart[[#This Row],[Sales]]&gt;=500,"Medium Value","Low Value"))</f>
        <v>Low Value</v>
      </c>
    </row>
    <row r="150" spans="1:16" hidden="1" x14ac:dyDescent="0.3">
      <c r="A150" t="s">
        <v>516</v>
      </c>
      <c r="B150" s="1">
        <v>40871</v>
      </c>
      <c r="C150" s="1" t="str">
        <f>TEXT(Walmart[[#This Row],[Order Date]],"mmmm")</f>
        <v>November</v>
      </c>
      <c r="D150" s="1">
        <v>40873</v>
      </c>
      <c r="E150" s="1" t="str">
        <f>IF(DATEDIF(Walmart[[#This Row],[Order Date]],Walmart[[#This Row],[Ship Date]],"D")&lt;7,"On time","Delayed")</f>
        <v>On time</v>
      </c>
      <c r="F150" t="s">
        <v>517</v>
      </c>
      <c r="G150" t="s">
        <v>14</v>
      </c>
      <c r="H150" t="s">
        <v>160</v>
      </c>
      <c r="I150" t="s">
        <v>16</v>
      </c>
      <c r="J150" t="s">
        <v>21</v>
      </c>
      <c r="K150" t="s">
        <v>518</v>
      </c>
      <c r="L150">
        <v>151.72</v>
      </c>
      <c r="M150">
        <v>4</v>
      </c>
      <c r="N150" t="str">
        <f>IF(Walmart[[#This Row],[Quantity]]&gt;=7,"Bulk",IF(Walmart[[#This Row],[Quantity]]&gt;=2,"Multi","Single"))</f>
        <v>Multi</v>
      </c>
      <c r="O150">
        <v>27.31</v>
      </c>
      <c r="P150" t="str">
        <f>IF(Walmart[[#This Row],[Sales]]&gt;=1000,"High Value", IF(Walmart[[#This Row],[Sales]]&gt;=500,"Medium Value","Low Value"))</f>
        <v>Low Value</v>
      </c>
    </row>
    <row r="151" spans="1:16" x14ac:dyDescent="0.3">
      <c r="A151" t="s">
        <v>2480</v>
      </c>
      <c r="B151" s="1">
        <v>41987</v>
      </c>
      <c r="C151" s="1" t="str">
        <f>TEXT(Walmart[[#This Row],[Order Date]],"mmmm")</f>
        <v>December</v>
      </c>
      <c r="D151" s="1">
        <v>41987</v>
      </c>
      <c r="E151" s="1" t="str">
        <f>IF(DATEDIF(Walmart[[#This Row],[Order Date]],Walmart[[#This Row],[Ship Date]],"D")&lt;7,"On time","Delayed")</f>
        <v>On time</v>
      </c>
      <c r="F151" t="s">
        <v>2481</v>
      </c>
      <c r="G151" t="s">
        <v>14</v>
      </c>
      <c r="H151" t="s">
        <v>25</v>
      </c>
      <c r="I151" t="s">
        <v>26</v>
      </c>
      <c r="J151" t="s">
        <v>33</v>
      </c>
      <c r="K151" t="s">
        <v>300</v>
      </c>
      <c r="L151">
        <v>31.44</v>
      </c>
      <c r="M151">
        <v>3</v>
      </c>
      <c r="N151" t="str">
        <f>IF(Walmart[[#This Row],[Quantity]]&gt;=7,"Bulk",IF(Walmart[[#This Row],[Quantity]]&gt;=2,"Multi","Single"))</f>
        <v>Multi</v>
      </c>
      <c r="O151">
        <v>8.49</v>
      </c>
      <c r="P151" t="str">
        <f>IF(Walmart[[#This Row],[Sales]]&gt;=1000,"High Value", IF(Walmart[[#This Row],[Sales]]&gt;=500,"Medium Value","Low Value"))</f>
        <v>Low Value</v>
      </c>
    </row>
    <row r="152" spans="1:16" hidden="1" x14ac:dyDescent="0.3">
      <c r="A152" t="s">
        <v>523</v>
      </c>
      <c r="B152" s="1">
        <v>41264</v>
      </c>
      <c r="C152" s="1" t="str">
        <f>TEXT(Walmart[[#This Row],[Order Date]],"mmmm")</f>
        <v>December</v>
      </c>
      <c r="D152" s="1">
        <v>41267</v>
      </c>
      <c r="E152" s="1" t="str">
        <f>IF(DATEDIF(Walmart[[#This Row],[Order Date]],Walmart[[#This Row],[Ship Date]],"D")&lt;7,"On time","Delayed")</f>
        <v>On time</v>
      </c>
      <c r="F152" t="s">
        <v>524</v>
      </c>
      <c r="G152" t="s">
        <v>14</v>
      </c>
      <c r="H152" t="s">
        <v>25</v>
      </c>
      <c r="I152" t="s">
        <v>26</v>
      </c>
      <c r="J152" t="s">
        <v>43</v>
      </c>
      <c r="K152" t="s">
        <v>525</v>
      </c>
      <c r="L152">
        <v>1618.37</v>
      </c>
      <c r="M152">
        <v>13</v>
      </c>
      <c r="N152" t="str">
        <f>IF(Walmart[[#This Row],[Quantity]]&gt;=7,"Bulk",IF(Walmart[[#This Row],[Quantity]]&gt;=2,"Multi","Single"))</f>
        <v>Bulk</v>
      </c>
      <c r="O152">
        <v>356.04</v>
      </c>
      <c r="P152" t="str">
        <f>IF(Walmart[[#This Row],[Sales]]&gt;=1000,"High Value", IF(Walmart[[#This Row],[Sales]]&gt;=500,"Medium Value","Low Value"))</f>
        <v>High Value</v>
      </c>
    </row>
    <row r="153" spans="1:16" hidden="1" x14ac:dyDescent="0.3">
      <c r="A153" t="s">
        <v>526</v>
      </c>
      <c r="B153" s="1">
        <v>41169</v>
      </c>
      <c r="C153" s="1" t="str">
        <f>TEXT(Walmart[[#This Row],[Order Date]],"mmmm")</f>
        <v>September</v>
      </c>
      <c r="D153" s="1">
        <v>41171</v>
      </c>
      <c r="E153" s="1" t="str">
        <f>IF(DATEDIF(Walmart[[#This Row],[Order Date]],Walmart[[#This Row],[Ship Date]],"D")&lt;7,"On time","Delayed")</f>
        <v>On time</v>
      </c>
      <c r="F153" t="s">
        <v>527</v>
      </c>
      <c r="G153" t="s">
        <v>14</v>
      </c>
      <c r="H153" t="s">
        <v>15</v>
      </c>
      <c r="I153" t="s">
        <v>16</v>
      </c>
      <c r="J153" t="s">
        <v>93</v>
      </c>
      <c r="K153" t="s">
        <v>528</v>
      </c>
      <c r="L153">
        <v>32.4</v>
      </c>
      <c r="M153">
        <v>5</v>
      </c>
      <c r="N153" t="str">
        <f>IF(Walmart[[#This Row],[Quantity]]&gt;=7,"Bulk",IF(Walmart[[#This Row],[Quantity]]&gt;=2,"Multi","Single"))</f>
        <v>Multi</v>
      </c>
      <c r="O153">
        <v>15.55</v>
      </c>
      <c r="P153" t="str">
        <f>IF(Walmart[[#This Row],[Sales]]&gt;=1000,"High Value", IF(Walmart[[#This Row],[Sales]]&gt;=500,"Medium Value","Low Value"))</f>
        <v>Low Value</v>
      </c>
    </row>
    <row r="154" spans="1:16" x14ac:dyDescent="0.3">
      <c r="A154" t="s">
        <v>3479</v>
      </c>
      <c r="B154" s="1">
        <v>41987</v>
      </c>
      <c r="C154" s="1" t="str">
        <f>TEXT(Walmart[[#This Row],[Order Date]],"mmmm")</f>
        <v>December</v>
      </c>
      <c r="D154" s="1">
        <v>41992</v>
      </c>
      <c r="E154" s="1" t="str">
        <f>IF(DATEDIF(Walmart[[#This Row],[Order Date]],Walmart[[#This Row],[Ship Date]],"D")&lt;7,"On time","Delayed")</f>
        <v>On time</v>
      </c>
      <c r="F154" t="s">
        <v>1370</v>
      </c>
      <c r="G154" t="s">
        <v>14</v>
      </c>
      <c r="H154" t="s">
        <v>37</v>
      </c>
      <c r="I154" t="s">
        <v>16</v>
      </c>
      <c r="J154" t="s">
        <v>17</v>
      </c>
      <c r="K154" t="s">
        <v>3061</v>
      </c>
      <c r="L154">
        <v>8.64</v>
      </c>
      <c r="M154">
        <v>3</v>
      </c>
      <c r="N154" t="str">
        <f>IF(Walmart[[#This Row],[Quantity]]&gt;=7,"Bulk",IF(Walmart[[#This Row],[Quantity]]&gt;=2,"Multi","Single"))</f>
        <v>Multi</v>
      </c>
      <c r="O154">
        <v>4.2300000000000004</v>
      </c>
      <c r="P154" t="str">
        <f>IF(Walmart[[#This Row],[Sales]]&gt;=1000,"High Value", IF(Walmart[[#This Row],[Sales]]&gt;=500,"Medium Value","Low Value"))</f>
        <v>Low Value</v>
      </c>
    </row>
    <row r="155" spans="1:16" hidden="1" x14ac:dyDescent="0.3">
      <c r="A155" t="s">
        <v>532</v>
      </c>
      <c r="B155" s="1">
        <v>41073</v>
      </c>
      <c r="C155" s="1" t="str">
        <f>TEXT(Walmart[[#This Row],[Order Date]],"mmmm")</f>
        <v>June</v>
      </c>
      <c r="D155" s="1">
        <v>41074</v>
      </c>
      <c r="E155" s="1" t="str">
        <f>IF(DATEDIF(Walmart[[#This Row],[Order Date]],Walmart[[#This Row],[Ship Date]],"D")&lt;7,"On time","Delayed")</f>
        <v>On time</v>
      </c>
      <c r="F155" t="s">
        <v>533</v>
      </c>
      <c r="G155" t="s">
        <v>14</v>
      </c>
      <c r="H155" t="s">
        <v>15</v>
      </c>
      <c r="I155" t="s">
        <v>16</v>
      </c>
      <c r="J155" t="s">
        <v>27</v>
      </c>
      <c r="K155" t="s">
        <v>534</v>
      </c>
      <c r="L155">
        <v>36.619999999999997</v>
      </c>
      <c r="M155">
        <v>3</v>
      </c>
      <c r="N155" t="str">
        <f>IF(Walmart[[#This Row],[Quantity]]&gt;=7,"Bulk",IF(Walmart[[#This Row],[Quantity]]&gt;=2,"Multi","Single"))</f>
        <v>Multi</v>
      </c>
      <c r="O155">
        <v>13.73</v>
      </c>
      <c r="P155" t="str">
        <f>IF(Walmart[[#This Row],[Sales]]&gt;=1000,"High Value", IF(Walmart[[#This Row],[Sales]]&gt;=500,"Medium Value","Low Value"))</f>
        <v>Low Value</v>
      </c>
    </row>
    <row r="156" spans="1:16" hidden="1" x14ac:dyDescent="0.3">
      <c r="A156" t="s">
        <v>535</v>
      </c>
      <c r="B156" s="1">
        <v>40690</v>
      </c>
      <c r="C156" s="1" t="str">
        <f>TEXT(Walmart[[#This Row],[Order Date]],"mmmm")</f>
        <v>May</v>
      </c>
      <c r="D156" s="1">
        <v>40695</v>
      </c>
      <c r="E156" s="1" t="str">
        <f>IF(DATEDIF(Walmart[[#This Row],[Order Date]],Walmart[[#This Row],[Ship Date]],"D")&lt;7,"On time","Delayed")</f>
        <v>On time</v>
      </c>
      <c r="F156" t="s">
        <v>91</v>
      </c>
      <c r="G156" t="s">
        <v>14</v>
      </c>
      <c r="H156" t="s">
        <v>37</v>
      </c>
      <c r="I156" t="s">
        <v>16</v>
      </c>
      <c r="J156" t="s">
        <v>146</v>
      </c>
      <c r="K156" t="s">
        <v>536</v>
      </c>
      <c r="L156">
        <v>1113.5</v>
      </c>
      <c r="M156">
        <v>12</v>
      </c>
      <c r="N156" t="str">
        <f>IF(Walmart[[#This Row],[Quantity]]&gt;=7,"Bulk",IF(Walmart[[#This Row],[Quantity]]&gt;=2,"Multi","Single"))</f>
        <v>Bulk</v>
      </c>
      <c r="O156">
        <v>125.27</v>
      </c>
      <c r="P156" t="str">
        <f>IF(Walmart[[#This Row],[Sales]]&gt;=1000,"High Value", IF(Walmart[[#This Row],[Sales]]&gt;=500,"Medium Value","Low Value"))</f>
        <v>High Value</v>
      </c>
    </row>
    <row r="157" spans="1:16" x14ac:dyDescent="0.3">
      <c r="A157" t="s">
        <v>537</v>
      </c>
      <c r="B157" s="1">
        <v>41984</v>
      </c>
      <c r="C157" s="1" t="str">
        <f>TEXT(Walmart[[#This Row],[Order Date]],"mmmm")</f>
        <v>December</v>
      </c>
      <c r="D157" s="1">
        <v>41991</v>
      </c>
      <c r="E157" s="1" t="str">
        <f>IF(DATEDIF(Walmart[[#This Row],[Order Date]],Walmart[[#This Row],[Ship Date]],"D")&lt;7,"On time","Delayed")</f>
        <v>Delayed</v>
      </c>
      <c r="F157" t="s">
        <v>185</v>
      </c>
      <c r="G157" t="s">
        <v>14</v>
      </c>
      <c r="H157" t="s">
        <v>160</v>
      </c>
      <c r="I157" t="s">
        <v>16</v>
      </c>
      <c r="J157" t="s">
        <v>27</v>
      </c>
      <c r="K157" t="s">
        <v>538</v>
      </c>
      <c r="L157">
        <v>19.940000000000001</v>
      </c>
      <c r="M157">
        <v>4</v>
      </c>
      <c r="N157" t="str">
        <f>IF(Walmart[[#This Row],[Quantity]]&gt;=7,"Bulk",IF(Walmart[[#This Row],[Quantity]]&gt;=2,"Multi","Single"))</f>
        <v>Multi</v>
      </c>
      <c r="O157">
        <v>7.23</v>
      </c>
      <c r="P157" t="str">
        <f>IF(Walmart[[#This Row],[Sales]]&gt;=1000,"High Value", IF(Walmart[[#This Row],[Sales]]&gt;=500,"Medium Value","Low Value"))</f>
        <v>Low Value</v>
      </c>
    </row>
    <row r="158" spans="1:16" hidden="1" x14ac:dyDescent="0.3">
      <c r="A158" t="s">
        <v>539</v>
      </c>
      <c r="B158" s="1">
        <v>41549</v>
      </c>
      <c r="C158" s="1" t="str">
        <f>TEXT(Walmart[[#This Row],[Order Date]],"mmmm")</f>
        <v>October</v>
      </c>
      <c r="D158" s="1">
        <v>41550</v>
      </c>
      <c r="E158" s="1" t="str">
        <f>IF(DATEDIF(Walmart[[#This Row],[Order Date]],Walmart[[#This Row],[Ship Date]],"D")&lt;7,"On time","Delayed")</f>
        <v>On time</v>
      </c>
      <c r="F158" t="s">
        <v>540</v>
      </c>
      <c r="G158" t="s">
        <v>14</v>
      </c>
      <c r="H158" t="s">
        <v>37</v>
      </c>
      <c r="I158" t="s">
        <v>16</v>
      </c>
      <c r="J158" t="s">
        <v>88</v>
      </c>
      <c r="K158" t="s">
        <v>541</v>
      </c>
      <c r="L158">
        <v>194.85</v>
      </c>
      <c r="M158">
        <v>4</v>
      </c>
      <c r="N158" t="str">
        <f>IF(Walmart[[#This Row],[Quantity]]&gt;=7,"Bulk",IF(Walmart[[#This Row],[Quantity]]&gt;=2,"Multi","Single"))</f>
        <v>Multi</v>
      </c>
      <c r="O158">
        <v>12.18</v>
      </c>
      <c r="P158" t="str">
        <f>IF(Walmart[[#This Row],[Sales]]&gt;=1000,"High Value", IF(Walmart[[#This Row],[Sales]]&gt;=500,"Medium Value","Low Value"))</f>
        <v>Low Value</v>
      </c>
    </row>
    <row r="159" spans="1:16" hidden="1" x14ac:dyDescent="0.3">
      <c r="A159" t="s">
        <v>542</v>
      </c>
      <c r="B159" s="1">
        <v>41233</v>
      </c>
      <c r="C159" s="1" t="str">
        <f>TEXT(Walmart[[#This Row],[Order Date]],"mmmm")</f>
        <v>November</v>
      </c>
      <c r="D159" s="1">
        <v>41239</v>
      </c>
      <c r="E159" s="1" t="str">
        <f>IF(DATEDIF(Walmart[[#This Row],[Order Date]],Walmart[[#This Row],[Ship Date]],"D")&lt;7,"On time","Delayed")</f>
        <v>On time</v>
      </c>
      <c r="F159" t="s">
        <v>543</v>
      </c>
      <c r="G159" t="s">
        <v>14</v>
      </c>
      <c r="H159" t="s">
        <v>15</v>
      </c>
      <c r="I159" t="s">
        <v>16</v>
      </c>
      <c r="J159" t="s">
        <v>38</v>
      </c>
      <c r="K159" t="s">
        <v>544</v>
      </c>
      <c r="L159">
        <v>19.46</v>
      </c>
      <c r="M159">
        <v>7</v>
      </c>
      <c r="N159" t="str">
        <f>IF(Walmart[[#This Row],[Quantity]]&gt;=7,"Bulk",IF(Walmart[[#This Row],[Quantity]]&gt;=2,"Multi","Single"))</f>
        <v>Bulk</v>
      </c>
      <c r="O159">
        <v>5.0599999999999996</v>
      </c>
      <c r="P159" t="str">
        <f>IF(Walmart[[#This Row],[Sales]]&gt;=1000,"High Value", IF(Walmart[[#This Row],[Sales]]&gt;=500,"Medium Value","Low Value"))</f>
        <v>Low Value</v>
      </c>
    </row>
    <row r="160" spans="1:16" hidden="1" x14ac:dyDescent="0.3">
      <c r="A160" t="s">
        <v>545</v>
      </c>
      <c r="B160" s="1">
        <v>41393</v>
      </c>
      <c r="C160" s="1" t="str">
        <f>TEXT(Walmart[[#This Row],[Order Date]],"mmmm")</f>
        <v>April</v>
      </c>
      <c r="D160" s="1">
        <v>41397</v>
      </c>
      <c r="E160" s="1" t="str">
        <f>IF(DATEDIF(Walmart[[#This Row],[Order Date]],Walmart[[#This Row],[Ship Date]],"D")&lt;7,"On time","Delayed")</f>
        <v>On time</v>
      </c>
      <c r="F160" t="s">
        <v>546</v>
      </c>
      <c r="G160" t="s">
        <v>14</v>
      </c>
      <c r="H160" t="s">
        <v>141</v>
      </c>
      <c r="I160" t="s">
        <v>77</v>
      </c>
      <c r="J160" t="s">
        <v>93</v>
      </c>
      <c r="K160" t="s">
        <v>547</v>
      </c>
      <c r="L160">
        <v>29.47</v>
      </c>
      <c r="M160">
        <v>3</v>
      </c>
      <c r="N160" t="str">
        <f>IF(Walmart[[#This Row],[Quantity]]&gt;=7,"Bulk",IF(Walmart[[#This Row],[Quantity]]&gt;=2,"Multi","Single"))</f>
        <v>Multi</v>
      </c>
      <c r="O160">
        <v>9.9499999999999993</v>
      </c>
      <c r="P160" t="str">
        <f>IF(Walmart[[#This Row],[Sales]]&gt;=1000,"High Value", IF(Walmart[[#This Row],[Sales]]&gt;=500,"Medium Value","Low Value"))</f>
        <v>Low Value</v>
      </c>
    </row>
    <row r="161" spans="1:16" hidden="1" x14ac:dyDescent="0.3">
      <c r="A161" t="s">
        <v>548</v>
      </c>
      <c r="B161" s="1">
        <v>41591</v>
      </c>
      <c r="C161" s="1" t="str">
        <f>TEXT(Walmart[[#This Row],[Order Date]],"mmmm")</f>
        <v>November</v>
      </c>
      <c r="D161" s="1">
        <v>41598</v>
      </c>
      <c r="E161" s="1" t="str">
        <f>IF(DATEDIF(Walmart[[#This Row],[Order Date]],Walmart[[#This Row],[Ship Date]],"D")&lt;7,"On time","Delayed")</f>
        <v>Delayed</v>
      </c>
      <c r="F161" t="s">
        <v>549</v>
      </c>
      <c r="G161" t="s">
        <v>14</v>
      </c>
      <c r="H161" t="s">
        <v>299</v>
      </c>
      <c r="I161" t="s">
        <v>58</v>
      </c>
      <c r="J161" t="s">
        <v>27</v>
      </c>
      <c r="K161" t="s">
        <v>550</v>
      </c>
      <c r="L161">
        <v>6.27</v>
      </c>
      <c r="M161">
        <v>5</v>
      </c>
      <c r="N161" t="str">
        <f>IF(Walmart[[#This Row],[Quantity]]&gt;=7,"Bulk",IF(Walmart[[#This Row],[Quantity]]&gt;=2,"Multi","Single"))</f>
        <v>Multi</v>
      </c>
      <c r="O161">
        <v>-4.5999999999999996</v>
      </c>
      <c r="P161" t="str">
        <f>IF(Walmart[[#This Row],[Sales]]&gt;=1000,"High Value", IF(Walmart[[#This Row],[Sales]]&gt;=500,"Medium Value","Low Value"))</f>
        <v>Low Value</v>
      </c>
    </row>
    <row r="162" spans="1:16" x14ac:dyDescent="0.3">
      <c r="A162" t="s">
        <v>745</v>
      </c>
      <c r="B162" s="1">
        <v>41984</v>
      </c>
      <c r="C162" s="1" t="str">
        <f>TEXT(Walmart[[#This Row],[Order Date]],"mmmm")</f>
        <v>December</v>
      </c>
      <c r="D162" s="1">
        <v>41988</v>
      </c>
      <c r="E162" s="1" t="str">
        <f>IF(DATEDIF(Walmart[[#This Row],[Order Date]],Walmart[[#This Row],[Ship Date]],"D")&lt;7,"On time","Delayed")</f>
        <v>On time</v>
      </c>
      <c r="F162" t="s">
        <v>746</v>
      </c>
      <c r="G162" t="s">
        <v>14</v>
      </c>
      <c r="H162" t="s">
        <v>747</v>
      </c>
      <c r="I162" t="s">
        <v>227</v>
      </c>
      <c r="J162" t="s">
        <v>43</v>
      </c>
      <c r="K162" t="s">
        <v>748</v>
      </c>
      <c r="L162">
        <v>1669.6</v>
      </c>
      <c r="M162">
        <v>4</v>
      </c>
      <c r="N162" t="str">
        <f>IF(Walmart[[#This Row],[Quantity]]&gt;=7,"Bulk",IF(Walmart[[#This Row],[Quantity]]&gt;=2,"Multi","Single"))</f>
        <v>Multi</v>
      </c>
      <c r="O162">
        <v>116.87</v>
      </c>
      <c r="P162" t="str">
        <f>IF(Walmart[[#This Row],[Sales]]&gt;=1000,"High Value", IF(Walmart[[#This Row],[Sales]]&gt;=500,"Medium Value","Low Value"))</f>
        <v>High Value</v>
      </c>
    </row>
    <row r="163" spans="1:16" hidden="1" x14ac:dyDescent="0.3">
      <c r="A163" t="s">
        <v>554</v>
      </c>
      <c r="B163" s="1">
        <v>41502</v>
      </c>
      <c r="C163" s="1" t="str">
        <f>TEXT(Walmart[[#This Row],[Order Date]],"mmmm")</f>
        <v>August</v>
      </c>
      <c r="D163" s="1">
        <v>41507</v>
      </c>
      <c r="E163" s="1" t="str">
        <f>IF(DATEDIF(Walmart[[#This Row],[Order Date]],Walmart[[#This Row],[Ship Date]],"D")&lt;7,"On time","Delayed")</f>
        <v>On time</v>
      </c>
      <c r="F163" t="s">
        <v>555</v>
      </c>
      <c r="G163" t="s">
        <v>14</v>
      </c>
      <c r="H163" t="s">
        <v>556</v>
      </c>
      <c r="I163" t="s">
        <v>16</v>
      </c>
      <c r="J163" t="s">
        <v>146</v>
      </c>
      <c r="K163" t="s">
        <v>557</v>
      </c>
      <c r="L163">
        <v>71.98</v>
      </c>
      <c r="M163">
        <v>3</v>
      </c>
      <c r="N163" t="str">
        <f>IF(Walmart[[#This Row],[Quantity]]&gt;=7,"Bulk",IF(Walmart[[#This Row],[Quantity]]&gt;=2,"Multi","Single"))</f>
        <v>Multi</v>
      </c>
      <c r="O163">
        <v>7.2</v>
      </c>
      <c r="P163" t="str">
        <f>IF(Walmart[[#This Row],[Sales]]&gt;=1000,"High Value", IF(Walmart[[#This Row],[Sales]]&gt;=500,"Medium Value","Low Value"))</f>
        <v>Low Value</v>
      </c>
    </row>
    <row r="164" spans="1:16" hidden="1" x14ac:dyDescent="0.3">
      <c r="A164" t="s">
        <v>558</v>
      </c>
      <c r="B164" s="1">
        <v>41249</v>
      </c>
      <c r="C164" s="1" t="str">
        <f>TEXT(Walmart[[#This Row],[Order Date]],"mmmm")</f>
        <v>December</v>
      </c>
      <c r="D164" s="1">
        <v>41256</v>
      </c>
      <c r="E164" s="1" t="str">
        <f>IF(DATEDIF(Walmart[[#This Row],[Order Date]],Walmart[[#This Row],[Ship Date]],"D")&lt;7,"On time","Delayed")</f>
        <v>Delayed</v>
      </c>
      <c r="F164" t="s">
        <v>559</v>
      </c>
      <c r="G164" t="s">
        <v>14</v>
      </c>
      <c r="H164" t="s">
        <v>160</v>
      </c>
      <c r="I164" t="s">
        <v>16</v>
      </c>
      <c r="J164" t="s">
        <v>38</v>
      </c>
      <c r="K164" t="s">
        <v>560</v>
      </c>
      <c r="L164">
        <v>120.15</v>
      </c>
      <c r="M164">
        <v>9</v>
      </c>
      <c r="N164" t="str">
        <f>IF(Walmart[[#This Row],[Quantity]]&gt;=7,"Bulk",IF(Walmart[[#This Row],[Quantity]]&gt;=2,"Multi","Single"))</f>
        <v>Bulk</v>
      </c>
      <c r="O164">
        <v>33.64</v>
      </c>
      <c r="P164" t="str">
        <f>IF(Walmart[[#This Row],[Sales]]&gt;=1000,"High Value", IF(Walmart[[#This Row],[Sales]]&gt;=500,"Medium Value","Low Value"))</f>
        <v>Low Value</v>
      </c>
    </row>
    <row r="165" spans="1:16" hidden="1" x14ac:dyDescent="0.3">
      <c r="A165" t="s">
        <v>561</v>
      </c>
      <c r="B165" s="1">
        <v>40719</v>
      </c>
      <c r="C165" s="1" t="str">
        <f>TEXT(Walmart[[#This Row],[Order Date]],"mmmm")</f>
        <v>June</v>
      </c>
      <c r="D165" s="1">
        <v>40722</v>
      </c>
      <c r="E165" s="1" t="str">
        <f>IF(DATEDIF(Walmart[[#This Row],[Order Date]],Walmart[[#This Row],[Ship Date]],"D")&lt;7,"On time","Delayed")</f>
        <v>On time</v>
      </c>
      <c r="F165" t="s">
        <v>562</v>
      </c>
      <c r="G165" t="s">
        <v>14</v>
      </c>
      <c r="H165" t="s">
        <v>15</v>
      </c>
      <c r="I165" t="s">
        <v>16</v>
      </c>
      <c r="J165" t="s">
        <v>43</v>
      </c>
      <c r="K165" t="s">
        <v>563</v>
      </c>
      <c r="L165">
        <v>447.84</v>
      </c>
      <c r="M165">
        <v>5</v>
      </c>
      <c r="N165" t="str">
        <f>IF(Walmart[[#This Row],[Quantity]]&gt;=7,"Bulk",IF(Walmart[[#This Row],[Quantity]]&gt;=2,"Multi","Single"))</f>
        <v>Multi</v>
      </c>
      <c r="O165">
        <v>11.2</v>
      </c>
      <c r="P165" t="str">
        <f>IF(Walmart[[#This Row],[Sales]]&gt;=1000,"High Value", IF(Walmart[[#This Row],[Sales]]&gt;=500,"Medium Value","Low Value"))</f>
        <v>Low Value</v>
      </c>
    </row>
    <row r="166" spans="1:16" hidden="1" x14ac:dyDescent="0.3">
      <c r="A166" t="s">
        <v>564</v>
      </c>
      <c r="B166" s="1">
        <v>41440</v>
      </c>
      <c r="C166" s="1" t="str">
        <f>TEXT(Walmart[[#This Row],[Order Date]],"mmmm")</f>
        <v>June</v>
      </c>
      <c r="D166" s="1">
        <v>41443</v>
      </c>
      <c r="E166" s="1" t="str">
        <f>IF(DATEDIF(Walmart[[#This Row],[Order Date]],Walmart[[#This Row],[Ship Date]],"D")&lt;7,"On time","Delayed")</f>
        <v>On time</v>
      </c>
      <c r="F166" t="s">
        <v>565</v>
      </c>
      <c r="G166" t="s">
        <v>14</v>
      </c>
      <c r="H166" t="s">
        <v>37</v>
      </c>
      <c r="I166" t="s">
        <v>16</v>
      </c>
      <c r="J166" t="s">
        <v>38</v>
      </c>
      <c r="K166" t="s">
        <v>566</v>
      </c>
      <c r="L166">
        <v>7.04</v>
      </c>
      <c r="M166">
        <v>4</v>
      </c>
      <c r="N166" t="str">
        <f>IF(Walmart[[#This Row],[Quantity]]&gt;=7,"Bulk",IF(Walmart[[#This Row],[Quantity]]&gt;=2,"Multi","Single"))</f>
        <v>Multi</v>
      </c>
      <c r="O166">
        <v>2.04</v>
      </c>
      <c r="P166" t="str">
        <f>IF(Walmart[[#This Row],[Sales]]&gt;=1000,"High Value", IF(Walmart[[#This Row],[Sales]]&gt;=500,"Medium Value","Low Value"))</f>
        <v>Low Value</v>
      </c>
    </row>
    <row r="167" spans="1:16" hidden="1" x14ac:dyDescent="0.3">
      <c r="A167" t="s">
        <v>567</v>
      </c>
      <c r="B167" s="1">
        <v>41569</v>
      </c>
      <c r="C167" s="1" t="str">
        <f>TEXT(Walmart[[#This Row],[Order Date]],"mmmm")</f>
        <v>October</v>
      </c>
      <c r="D167" s="1">
        <v>41575</v>
      </c>
      <c r="E167" s="1" t="str">
        <f>IF(DATEDIF(Walmart[[#This Row],[Order Date]],Walmart[[#This Row],[Ship Date]],"D")&lt;7,"On time","Delayed")</f>
        <v>On time</v>
      </c>
      <c r="F167" t="s">
        <v>568</v>
      </c>
      <c r="G167" t="s">
        <v>14</v>
      </c>
      <c r="H167" t="s">
        <v>471</v>
      </c>
      <c r="I167" t="s">
        <v>16</v>
      </c>
      <c r="J167" t="s">
        <v>93</v>
      </c>
      <c r="K167" t="s">
        <v>569</v>
      </c>
      <c r="L167">
        <v>22.92</v>
      </c>
      <c r="M167">
        <v>3</v>
      </c>
      <c r="N167" t="str">
        <f>IF(Walmart[[#This Row],[Quantity]]&gt;=7,"Bulk",IF(Walmart[[#This Row],[Quantity]]&gt;=2,"Multi","Single"))</f>
        <v>Multi</v>
      </c>
      <c r="O167">
        <v>11.23</v>
      </c>
      <c r="P167" t="str">
        <f>IF(Walmart[[#This Row],[Sales]]&gt;=1000,"High Value", IF(Walmart[[#This Row],[Sales]]&gt;=500,"Medium Value","Low Value"))</f>
        <v>Low Value</v>
      </c>
    </row>
    <row r="168" spans="1:16" x14ac:dyDescent="0.3">
      <c r="A168" t="s">
        <v>1490</v>
      </c>
      <c r="B168" s="1">
        <v>41984</v>
      </c>
      <c r="C168" s="1" t="str">
        <f>TEXT(Walmart[[#This Row],[Order Date]],"mmmm")</f>
        <v>December</v>
      </c>
      <c r="D168" s="1">
        <v>41986</v>
      </c>
      <c r="E168" s="1" t="str">
        <f>IF(DATEDIF(Walmart[[#This Row],[Order Date]],Walmart[[#This Row],[Ship Date]],"D")&lt;7,"On time","Delayed")</f>
        <v>On time</v>
      </c>
      <c r="F168" t="s">
        <v>185</v>
      </c>
      <c r="G168" t="s">
        <v>14</v>
      </c>
      <c r="H168" t="s">
        <v>25</v>
      </c>
      <c r="I168" t="s">
        <v>26</v>
      </c>
      <c r="J168" t="s">
        <v>53</v>
      </c>
      <c r="K168" t="s">
        <v>1491</v>
      </c>
      <c r="L168">
        <v>49.08</v>
      </c>
      <c r="M168">
        <v>3</v>
      </c>
      <c r="N168" t="str">
        <f>IF(Walmart[[#This Row],[Quantity]]&gt;=7,"Bulk",IF(Walmart[[#This Row],[Quantity]]&gt;=2,"Multi","Single"))</f>
        <v>Multi</v>
      </c>
      <c r="O168">
        <v>4.91</v>
      </c>
      <c r="P168" t="str">
        <f>IF(Walmart[[#This Row],[Sales]]&gt;=1000,"High Value", IF(Walmart[[#This Row],[Sales]]&gt;=500,"Medium Value","Low Value"))</f>
        <v>Low Value</v>
      </c>
    </row>
    <row r="169" spans="1:16" hidden="1" x14ac:dyDescent="0.3">
      <c r="A169" t="s">
        <v>573</v>
      </c>
      <c r="B169" s="1">
        <v>41478</v>
      </c>
      <c r="C169" s="1" t="str">
        <f>TEXT(Walmart[[#This Row],[Order Date]],"mmmm")</f>
        <v>July</v>
      </c>
      <c r="D169" s="1">
        <v>41480</v>
      </c>
      <c r="E169" s="1" t="str">
        <f>IF(DATEDIF(Walmart[[#This Row],[Order Date]],Walmart[[#This Row],[Ship Date]],"D")&lt;7,"On time","Delayed")</f>
        <v>On time</v>
      </c>
      <c r="F169" t="s">
        <v>574</v>
      </c>
      <c r="G169" t="s">
        <v>14</v>
      </c>
      <c r="H169" t="s">
        <v>37</v>
      </c>
      <c r="I169" t="s">
        <v>16</v>
      </c>
      <c r="J169" t="s">
        <v>17</v>
      </c>
      <c r="K169" t="s">
        <v>575</v>
      </c>
      <c r="L169">
        <v>6.3</v>
      </c>
      <c r="M169">
        <v>2</v>
      </c>
      <c r="N169" t="str">
        <f>IF(Walmart[[#This Row],[Quantity]]&gt;=7,"Bulk",IF(Walmart[[#This Row],[Quantity]]&gt;=2,"Multi","Single"))</f>
        <v>Multi</v>
      </c>
      <c r="O169">
        <v>3.02</v>
      </c>
      <c r="P169" t="str">
        <f>IF(Walmart[[#This Row],[Sales]]&gt;=1000,"High Value", IF(Walmart[[#This Row],[Sales]]&gt;=500,"Medium Value","Low Value"))</f>
        <v>Low Value</v>
      </c>
    </row>
    <row r="170" spans="1:16" hidden="1" x14ac:dyDescent="0.3">
      <c r="A170" t="s">
        <v>576</v>
      </c>
      <c r="B170" s="1">
        <v>41615</v>
      </c>
      <c r="C170" s="1" t="str">
        <f>TEXT(Walmart[[#This Row],[Order Date]],"mmmm")</f>
        <v>December</v>
      </c>
      <c r="D170" s="1">
        <v>41616</v>
      </c>
      <c r="E170" s="1" t="str">
        <f>IF(DATEDIF(Walmart[[#This Row],[Order Date]],Walmart[[#This Row],[Ship Date]],"D")&lt;7,"On time","Delayed")</f>
        <v>On time</v>
      </c>
      <c r="F170" t="s">
        <v>577</v>
      </c>
      <c r="G170" t="s">
        <v>14</v>
      </c>
      <c r="H170" t="s">
        <v>578</v>
      </c>
      <c r="I170" t="s">
        <v>16</v>
      </c>
      <c r="J170" t="s">
        <v>93</v>
      </c>
      <c r="K170" t="s">
        <v>528</v>
      </c>
      <c r="L170">
        <v>19.440000000000001</v>
      </c>
      <c r="M170">
        <v>3</v>
      </c>
      <c r="N170" t="str">
        <f>IF(Walmart[[#This Row],[Quantity]]&gt;=7,"Bulk",IF(Walmart[[#This Row],[Quantity]]&gt;=2,"Multi","Single"))</f>
        <v>Multi</v>
      </c>
      <c r="O170">
        <v>9.33</v>
      </c>
      <c r="P170" t="str">
        <f>IF(Walmart[[#This Row],[Sales]]&gt;=1000,"High Value", IF(Walmart[[#This Row],[Sales]]&gt;=500,"Medium Value","Low Value"))</f>
        <v>Low Value</v>
      </c>
    </row>
    <row r="171" spans="1:16" hidden="1" x14ac:dyDescent="0.3">
      <c r="A171" t="s">
        <v>579</v>
      </c>
      <c r="B171" s="1">
        <v>40815</v>
      </c>
      <c r="C171" s="1" t="str">
        <f>TEXT(Walmart[[#This Row],[Order Date]],"mmmm")</f>
        <v>September</v>
      </c>
      <c r="D171" s="1">
        <v>40819</v>
      </c>
      <c r="E171" s="1" t="str">
        <f>IF(DATEDIF(Walmart[[#This Row],[Order Date]],Walmart[[#This Row],[Ship Date]],"D")&lt;7,"On time","Delayed")</f>
        <v>On time</v>
      </c>
      <c r="F171" t="s">
        <v>580</v>
      </c>
      <c r="G171" t="s">
        <v>14</v>
      </c>
      <c r="H171" t="s">
        <v>15</v>
      </c>
      <c r="I171" t="s">
        <v>16</v>
      </c>
      <c r="J171" t="s">
        <v>21</v>
      </c>
      <c r="K171" t="s">
        <v>492</v>
      </c>
      <c r="L171">
        <v>204.6</v>
      </c>
      <c r="M171">
        <v>2</v>
      </c>
      <c r="N171" t="str">
        <f>IF(Walmart[[#This Row],[Quantity]]&gt;=7,"Bulk",IF(Walmart[[#This Row],[Quantity]]&gt;=2,"Multi","Single"))</f>
        <v>Multi</v>
      </c>
      <c r="O171">
        <v>53.2</v>
      </c>
      <c r="P171" t="str">
        <f>IF(Walmart[[#This Row],[Sales]]&gt;=1000,"High Value", IF(Walmart[[#This Row],[Sales]]&gt;=500,"Medium Value","Low Value"))</f>
        <v>Low Value</v>
      </c>
    </row>
    <row r="172" spans="1:16" x14ac:dyDescent="0.3">
      <c r="A172" t="s">
        <v>1826</v>
      </c>
      <c r="B172" s="1">
        <v>41984</v>
      </c>
      <c r="C172" s="1" t="str">
        <f>TEXT(Walmart[[#This Row],[Order Date]],"mmmm")</f>
        <v>December</v>
      </c>
      <c r="D172" s="1">
        <v>41986</v>
      </c>
      <c r="E172" s="1" t="str">
        <f>IF(DATEDIF(Walmart[[#This Row],[Order Date]],Walmart[[#This Row],[Ship Date]],"D")&lt;7,"On time","Delayed")</f>
        <v>On time</v>
      </c>
      <c r="F172" t="s">
        <v>1827</v>
      </c>
      <c r="G172" t="s">
        <v>14</v>
      </c>
      <c r="H172" t="s">
        <v>1028</v>
      </c>
      <c r="I172" t="s">
        <v>16</v>
      </c>
      <c r="J172" t="s">
        <v>146</v>
      </c>
      <c r="K172" t="s">
        <v>1828</v>
      </c>
      <c r="L172">
        <v>95.84</v>
      </c>
      <c r="M172">
        <v>4</v>
      </c>
      <c r="N172" t="str">
        <f>IF(Walmart[[#This Row],[Quantity]]&gt;=7,"Bulk",IF(Walmart[[#This Row],[Quantity]]&gt;=2,"Multi","Single"))</f>
        <v>Multi</v>
      </c>
      <c r="O172">
        <v>34.74</v>
      </c>
      <c r="P172" t="str">
        <f>IF(Walmart[[#This Row],[Sales]]&gt;=1000,"High Value", IF(Walmart[[#This Row],[Sales]]&gt;=500,"Medium Value","Low Value"))</f>
        <v>Low Value</v>
      </c>
    </row>
    <row r="173" spans="1:16" hidden="1" x14ac:dyDescent="0.3">
      <c r="A173" t="s">
        <v>584</v>
      </c>
      <c r="B173" s="1">
        <v>41458</v>
      </c>
      <c r="C173" s="1" t="str">
        <f>TEXT(Walmart[[#This Row],[Order Date]],"mmmm")</f>
        <v>July</v>
      </c>
      <c r="D173" s="1">
        <v>41463</v>
      </c>
      <c r="E173" s="1" t="str">
        <f>IF(DATEDIF(Walmart[[#This Row],[Order Date]],Walmart[[#This Row],[Ship Date]],"D")&lt;7,"On time","Delayed")</f>
        <v>On time</v>
      </c>
      <c r="F173" t="s">
        <v>585</v>
      </c>
      <c r="G173" t="s">
        <v>14</v>
      </c>
      <c r="H173" t="s">
        <v>15</v>
      </c>
      <c r="I173" t="s">
        <v>16</v>
      </c>
      <c r="J173" t="s">
        <v>88</v>
      </c>
      <c r="K173" t="s">
        <v>586</v>
      </c>
      <c r="L173">
        <v>195.18</v>
      </c>
      <c r="M173">
        <v>1</v>
      </c>
      <c r="N173" t="str">
        <f>IF(Walmart[[#This Row],[Quantity]]&gt;=7,"Bulk",IF(Walmart[[#This Row],[Quantity]]&gt;=2,"Multi","Single"))</f>
        <v>Single</v>
      </c>
      <c r="O173">
        <v>19.52</v>
      </c>
      <c r="P173" t="str">
        <f>IF(Walmart[[#This Row],[Sales]]&gt;=1000,"High Value", IF(Walmart[[#This Row],[Sales]]&gt;=500,"Medium Value","Low Value"))</f>
        <v>Low Value</v>
      </c>
    </row>
    <row r="174" spans="1:16" hidden="1" x14ac:dyDescent="0.3">
      <c r="A174" t="s">
        <v>587</v>
      </c>
      <c r="B174" s="1">
        <v>40787</v>
      </c>
      <c r="C174" s="1" t="str">
        <f>TEXT(Walmart[[#This Row],[Order Date]],"mmmm")</f>
        <v>September</v>
      </c>
      <c r="D174" s="1">
        <v>40791</v>
      </c>
      <c r="E174" s="1" t="str">
        <f>IF(DATEDIF(Walmart[[#This Row],[Order Date]],Walmart[[#This Row],[Ship Date]],"D")&lt;7,"On time","Delayed")</f>
        <v>On time</v>
      </c>
      <c r="F174" t="s">
        <v>588</v>
      </c>
      <c r="G174" t="s">
        <v>14</v>
      </c>
      <c r="H174" t="s">
        <v>589</v>
      </c>
      <c r="I174" t="s">
        <v>16</v>
      </c>
      <c r="J174" t="s">
        <v>38</v>
      </c>
      <c r="K174" t="s">
        <v>590</v>
      </c>
      <c r="L174">
        <v>53.94</v>
      </c>
      <c r="M174">
        <v>3</v>
      </c>
      <c r="N174" t="str">
        <f>IF(Walmart[[#This Row],[Quantity]]&gt;=7,"Bulk",IF(Walmart[[#This Row],[Quantity]]&gt;=2,"Multi","Single"))</f>
        <v>Multi</v>
      </c>
      <c r="O174">
        <v>15.64</v>
      </c>
      <c r="P174" t="str">
        <f>IF(Walmart[[#This Row],[Sales]]&gt;=1000,"High Value", IF(Walmart[[#This Row],[Sales]]&gt;=500,"Medium Value","Low Value"))</f>
        <v>Low Value</v>
      </c>
    </row>
    <row r="175" spans="1:16" hidden="1" x14ac:dyDescent="0.3">
      <c r="A175" t="s">
        <v>591</v>
      </c>
      <c r="B175" s="1">
        <v>41215</v>
      </c>
      <c r="C175" s="1" t="str">
        <f>TEXT(Walmart[[#This Row],[Order Date]],"mmmm")</f>
        <v>November</v>
      </c>
      <c r="D175" s="1">
        <v>41215</v>
      </c>
      <c r="E175" s="1" t="str">
        <f>IF(DATEDIF(Walmart[[#This Row],[Order Date]],Walmart[[#This Row],[Ship Date]],"D")&lt;7,"On time","Delayed")</f>
        <v>On time</v>
      </c>
      <c r="F175" t="s">
        <v>159</v>
      </c>
      <c r="G175" t="s">
        <v>14</v>
      </c>
      <c r="H175" t="s">
        <v>25</v>
      </c>
      <c r="I175" t="s">
        <v>26</v>
      </c>
      <c r="J175" t="s">
        <v>53</v>
      </c>
      <c r="K175" t="s">
        <v>78</v>
      </c>
      <c r="L175">
        <v>447.93</v>
      </c>
      <c r="M175">
        <v>9</v>
      </c>
      <c r="N175" t="str">
        <f>IF(Walmart[[#This Row],[Quantity]]&gt;=7,"Bulk",IF(Walmart[[#This Row],[Quantity]]&gt;=2,"Multi","Single"))</f>
        <v>Bulk</v>
      </c>
      <c r="O175">
        <v>49.27</v>
      </c>
      <c r="P175" t="str">
        <f>IF(Walmart[[#This Row],[Sales]]&gt;=1000,"High Value", IF(Walmart[[#This Row],[Sales]]&gt;=500,"Medium Value","Low Value"))</f>
        <v>Low Value</v>
      </c>
    </row>
    <row r="176" spans="1:16" hidden="1" x14ac:dyDescent="0.3">
      <c r="A176" t="s">
        <v>592</v>
      </c>
      <c r="B176" s="1">
        <v>40654</v>
      </c>
      <c r="C176" s="1" t="str">
        <f>TEXT(Walmart[[#This Row],[Order Date]],"mmmm")</f>
        <v>April</v>
      </c>
      <c r="D176" s="1">
        <v>40658</v>
      </c>
      <c r="E176" s="1" t="str">
        <f>IF(DATEDIF(Walmart[[#This Row],[Order Date]],Walmart[[#This Row],[Ship Date]],"D")&lt;7,"On time","Delayed")</f>
        <v>On time</v>
      </c>
      <c r="F176" t="s">
        <v>298</v>
      </c>
      <c r="G176" t="s">
        <v>14</v>
      </c>
      <c r="H176" t="s">
        <v>15</v>
      </c>
      <c r="I176" t="s">
        <v>16</v>
      </c>
      <c r="J176" t="s">
        <v>27</v>
      </c>
      <c r="K176" t="s">
        <v>593</v>
      </c>
      <c r="L176">
        <v>16.52</v>
      </c>
      <c r="M176">
        <v>5</v>
      </c>
      <c r="N176" t="str">
        <f>IF(Walmart[[#This Row],[Quantity]]&gt;=7,"Bulk",IF(Walmart[[#This Row],[Quantity]]&gt;=2,"Multi","Single"))</f>
        <v>Multi</v>
      </c>
      <c r="O176">
        <v>5.58</v>
      </c>
      <c r="P176" t="str">
        <f>IF(Walmart[[#This Row],[Sales]]&gt;=1000,"High Value", IF(Walmart[[#This Row],[Sales]]&gt;=500,"Medium Value","Low Value"))</f>
        <v>Low Value</v>
      </c>
    </row>
    <row r="177" spans="1:16" hidden="1" x14ac:dyDescent="0.3">
      <c r="A177" t="s">
        <v>594</v>
      </c>
      <c r="B177" s="1">
        <v>40904</v>
      </c>
      <c r="C177" s="1" t="str">
        <f>TEXT(Walmart[[#This Row],[Order Date]],"mmmm")</f>
        <v>December</v>
      </c>
      <c r="D177" s="1">
        <v>40907</v>
      </c>
      <c r="E177" s="1" t="str">
        <f>IF(DATEDIF(Walmart[[#This Row],[Order Date]],Walmart[[#This Row],[Ship Date]],"D")&lt;7,"On time","Delayed")</f>
        <v>On time</v>
      </c>
      <c r="F177" t="s">
        <v>595</v>
      </c>
      <c r="G177" t="s">
        <v>14</v>
      </c>
      <c r="H177" t="s">
        <v>15</v>
      </c>
      <c r="I177" t="s">
        <v>16</v>
      </c>
      <c r="J177" t="s">
        <v>17</v>
      </c>
      <c r="K177" t="s">
        <v>125</v>
      </c>
      <c r="L177">
        <v>11.56</v>
      </c>
      <c r="M177">
        <v>4</v>
      </c>
      <c r="N177" t="str">
        <f>IF(Walmart[[#This Row],[Quantity]]&gt;=7,"Bulk",IF(Walmart[[#This Row],[Quantity]]&gt;=2,"Multi","Single"))</f>
        <v>Multi</v>
      </c>
      <c r="O177">
        <v>5.43</v>
      </c>
      <c r="P177" t="str">
        <f>IF(Walmart[[#This Row],[Sales]]&gt;=1000,"High Value", IF(Walmart[[#This Row],[Sales]]&gt;=500,"Medium Value","Low Value"))</f>
        <v>Low Value</v>
      </c>
    </row>
    <row r="178" spans="1:16" hidden="1" x14ac:dyDescent="0.3">
      <c r="A178" t="s">
        <v>596</v>
      </c>
      <c r="B178" s="1">
        <v>40871</v>
      </c>
      <c r="C178" s="1" t="str">
        <f>TEXT(Walmart[[#This Row],[Order Date]],"mmmm")</f>
        <v>November</v>
      </c>
      <c r="D178" s="1">
        <v>40877</v>
      </c>
      <c r="E178" s="1" t="str">
        <f>IF(DATEDIF(Walmart[[#This Row],[Order Date]],Walmart[[#This Row],[Ship Date]],"D")&lt;7,"On time","Delayed")</f>
        <v>On time</v>
      </c>
      <c r="F178" t="s">
        <v>597</v>
      </c>
      <c r="G178" t="s">
        <v>14</v>
      </c>
      <c r="H178" t="s">
        <v>25</v>
      </c>
      <c r="I178" t="s">
        <v>26</v>
      </c>
      <c r="J178" t="s">
        <v>27</v>
      </c>
      <c r="K178" t="s">
        <v>598</v>
      </c>
      <c r="L178">
        <v>12.1</v>
      </c>
      <c r="M178">
        <v>7</v>
      </c>
      <c r="N178" t="str">
        <f>IF(Walmart[[#This Row],[Quantity]]&gt;=7,"Bulk",IF(Walmart[[#This Row],[Quantity]]&gt;=2,"Multi","Single"))</f>
        <v>Bulk</v>
      </c>
      <c r="O178">
        <v>4.2300000000000004</v>
      </c>
      <c r="P178" t="str">
        <f>IF(Walmart[[#This Row],[Sales]]&gt;=1000,"High Value", IF(Walmart[[#This Row],[Sales]]&gt;=500,"Medium Value","Low Value"))</f>
        <v>Low Value</v>
      </c>
    </row>
    <row r="179" spans="1:16" x14ac:dyDescent="0.3">
      <c r="A179" t="s">
        <v>143</v>
      </c>
      <c r="B179" s="1">
        <v>41983</v>
      </c>
      <c r="C179" s="1" t="str">
        <f>TEXT(Walmart[[#This Row],[Order Date]],"mmmm")</f>
        <v>December</v>
      </c>
      <c r="D179" s="1">
        <v>41988</v>
      </c>
      <c r="E179" s="1" t="str">
        <f>IF(DATEDIF(Walmart[[#This Row],[Order Date]],Walmart[[#This Row],[Ship Date]],"D")&lt;7,"On time","Delayed")</f>
        <v>On time</v>
      </c>
      <c r="F179" t="s">
        <v>144</v>
      </c>
      <c r="G179" t="s">
        <v>14</v>
      </c>
      <c r="H179" t="s">
        <v>145</v>
      </c>
      <c r="I179" t="s">
        <v>16</v>
      </c>
      <c r="J179" t="s">
        <v>146</v>
      </c>
      <c r="K179" t="s">
        <v>147</v>
      </c>
      <c r="L179">
        <v>444.77</v>
      </c>
      <c r="M179">
        <v>4</v>
      </c>
      <c r="N179" t="str">
        <f>IF(Walmart[[#This Row],[Quantity]]&gt;=7,"Bulk",IF(Walmart[[#This Row],[Quantity]]&gt;=2,"Multi","Single"))</f>
        <v>Multi</v>
      </c>
      <c r="O179">
        <v>44.48</v>
      </c>
      <c r="P179" t="str">
        <f>IF(Walmart[[#This Row],[Sales]]&gt;=1000,"High Value", IF(Walmart[[#This Row],[Sales]]&gt;=500,"Medium Value","Low Value"))</f>
        <v>Low Value</v>
      </c>
    </row>
    <row r="180" spans="1:16" hidden="1" x14ac:dyDescent="0.3">
      <c r="A180" t="s">
        <v>602</v>
      </c>
      <c r="B180" s="1">
        <v>41474</v>
      </c>
      <c r="C180" s="1" t="str">
        <f>TEXT(Walmart[[#This Row],[Order Date]],"mmmm")</f>
        <v>July</v>
      </c>
      <c r="D180" s="1">
        <v>41480</v>
      </c>
      <c r="E180" s="1" t="str">
        <f>IF(DATEDIF(Walmart[[#This Row],[Order Date]],Walmart[[#This Row],[Ship Date]],"D")&lt;7,"On time","Delayed")</f>
        <v>On time</v>
      </c>
      <c r="F180" t="s">
        <v>603</v>
      </c>
      <c r="G180" t="s">
        <v>14</v>
      </c>
      <c r="H180" t="s">
        <v>141</v>
      </c>
      <c r="I180" t="s">
        <v>77</v>
      </c>
      <c r="J180" t="s">
        <v>88</v>
      </c>
      <c r="K180" t="s">
        <v>409</v>
      </c>
      <c r="L180">
        <v>544.01</v>
      </c>
      <c r="M180">
        <v>3</v>
      </c>
      <c r="N180" t="str">
        <f>IF(Walmart[[#This Row],[Quantity]]&gt;=7,"Bulk",IF(Walmart[[#This Row],[Quantity]]&gt;=2,"Multi","Single"))</f>
        <v>Multi</v>
      </c>
      <c r="O180">
        <v>40.799999999999997</v>
      </c>
      <c r="P180" t="str">
        <f>IF(Walmart[[#This Row],[Sales]]&gt;=1000,"High Value", IF(Walmart[[#This Row],[Sales]]&gt;=500,"Medium Value","Low Value"))</f>
        <v>Medium Value</v>
      </c>
    </row>
    <row r="181" spans="1:16" hidden="1" x14ac:dyDescent="0.3">
      <c r="A181" t="s">
        <v>604</v>
      </c>
      <c r="B181" s="1">
        <v>40736</v>
      </c>
      <c r="C181" s="1" t="str">
        <f>TEXT(Walmart[[#This Row],[Order Date]],"mmmm")</f>
        <v>July</v>
      </c>
      <c r="D181" s="1">
        <v>40740</v>
      </c>
      <c r="E181" s="1" t="str">
        <f>IF(DATEDIF(Walmart[[#This Row],[Order Date]],Walmart[[#This Row],[Ship Date]],"D")&lt;7,"On time","Delayed")</f>
        <v>On time</v>
      </c>
      <c r="F181" t="s">
        <v>605</v>
      </c>
      <c r="G181" t="s">
        <v>14</v>
      </c>
      <c r="H181" t="s">
        <v>15</v>
      </c>
      <c r="I181" t="s">
        <v>16</v>
      </c>
      <c r="J181" t="s">
        <v>33</v>
      </c>
      <c r="K181" t="s">
        <v>34</v>
      </c>
      <c r="L181">
        <v>249.75</v>
      </c>
      <c r="M181">
        <v>9</v>
      </c>
      <c r="N181" t="str">
        <f>IF(Walmart[[#This Row],[Quantity]]&gt;=7,"Bulk",IF(Walmart[[#This Row],[Quantity]]&gt;=2,"Multi","Single"))</f>
        <v>Bulk</v>
      </c>
      <c r="O181">
        <v>44.96</v>
      </c>
      <c r="P181" t="str">
        <f>IF(Walmart[[#This Row],[Sales]]&gt;=1000,"High Value", IF(Walmart[[#This Row],[Sales]]&gt;=500,"Medium Value","Low Value"))</f>
        <v>Low Value</v>
      </c>
    </row>
    <row r="182" spans="1:16" x14ac:dyDescent="0.3">
      <c r="A182" t="s">
        <v>1794</v>
      </c>
      <c r="B182" s="1">
        <v>41983</v>
      </c>
      <c r="C182" s="1" t="str">
        <f>TEXT(Walmart[[#This Row],[Order Date]],"mmmm")</f>
        <v>December</v>
      </c>
      <c r="D182" s="1">
        <v>41987</v>
      </c>
      <c r="E182" s="1" t="str">
        <f>IF(DATEDIF(Walmart[[#This Row],[Order Date]],Walmart[[#This Row],[Ship Date]],"D")&lt;7,"On time","Delayed")</f>
        <v>On time</v>
      </c>
      <c r="F182" t="s">
        <v>595</v>
      </c>
      <c r="G182" t="s">
        <v>14</v>
      </c>
      <c r="H182" t="s">
        <v>15</v>
      </c>
      <c r="I182" t="s">
        <v>16</v>
      </c>
      <c r="J182" t="s">
        <v>38</v>
      </c>
      <c r="K182" t="s">
        <v>1795</v>
      </c>
      <c r="L182">
        <v>11.16</v>
      </c>
      <c r="M182">
        <v>2</v>
      </c>
      <c r="N182" t="str">
        <f>IF(Walmart[[#This Row],[Quantity]]&gt;=7,"Bulk",IF(Walmart[[#This Row],[Quantity]]&gt;=2,"Multi","Single"))</f>
        <v>Multi</v>
      </c>
      <c r="O182">
        <v>2.79</v>
      </c>
      <c r="P182" t="str">
        <f>IF(Walmart[[#This Row],[Sales]]&gt;=1000,"High Value", IF(Walmart[[#This Row],[Sales]]&gt;=500,"Medium Value","Low Value"))</f>
        <v>Low Value</v>
      </c>
    </row>
    <row r="183" spans="1:16" hidden="1" x14ac:dyDescent="0.3">
      <c r="A183" t="s">
        <v>608</v>
      </c>
      <c r="B183" s="1">
        <v>40766</v>
      </c>
      <c r="C183" s="1" t="str">
        <f>TEXT(Walmart[[#This Row],[Order Date]],"mmmm")</f>
        <v>August</v>
      </c>
      <c r="D183" s="1">
        <v>40770</v>
      </c>
      <c r="E183" s="1" t="str">
        <f>IF(DATEDIF(Walmart[[#This Row],[Order Date]],Walmart[[#This Row],[Ship Date]],"D")&lt;7,"On time","Delayed")</f>
        <v>On time</v>
      </c>
      <c r="F183" t="s">
        <v>609</v>
      </c>
      <c r="G183" t="s">
        <v>14</v>
      </c>
      <c r="H183" t="s">
        <v>25</v>
      </c>
      <c r="I183" t="s">
        <v>26</v>
      </c>
      <c r="J183" t="s">
        <v>21</v>
      </c>
      <c r="K183" t="s">
        <v>610</v>
      </c>
      <c r="L183">
        <v>12.35</v>
      </c>
      <c r="M183">
        <v>1</v>
      </c>
      <c r="N183" t="str">
        <f>IF(Walmart[[#This Row],[Quantity]]&gt;=7,"Bulk",IF(Walmart[[#This Row],[Quantity]]&gt;=2,"Multi","Single"))</f>
        <v>Single</v>
      </c>
      <c r="O183">
        <v>5.43</v>
      </c>
      <c r="P183" t="str">
        <f>IF(Walmart[[#This Row],[Sales]]&gt;=1000,"High Value", IF(Walmart[[#This Row],[Sales]]&gt;=500,"Medium Value","Low Value"))</f>
        <v>Low Value</v>
      </c>
    </row>
    <row r="184" spans="1:16" hidden="1" x14ac:dyDescent="0.3">
      <c r="A184" t="s">
        <v>611</v>
      </c>
      <c r="B184" s="1">
        <v>40889</v>
      </c>
      <c r="C184" s="1" t="str">
        <f>TEXT(Walmart[[#This Row],[Order Date]],"mmmm")</f>
        <v>December</v>
      </c>
      <c r="D184" s="1">
        <v>40891</v>
      </c>
      <c r="E184" s="1" t="str">
        <f>IF(DATEDIF(Walmart[[#This Row],[Order Date]],Walmart[[#This Row],[Ship Date]],"D")&lt;7,"On time","Delayed")</f>
        <v>On time</v>
      </c>
      <c r="F184" t="s">
        <v>612</v>
      </c>
      <c r="G184" t="s">
        <v>14</v>
      </c>
      <c r="H184" t="s">
        <v>613</v>
      </c>
      <c r="I184" t="s">
        <v>16</v>
      </c>
      <c r="J184" t="s">
        <v>43</v>
      </c>
      <c r="K184" t="s">
        <v>614</v>
      </c>
      <c r="L184">
        <v>764.69</v>
      </c>
      <c r="M184">
        <v>6</v>
      </c>
      <c r="N184" t="str">
        <f>IF(Walmart[[#This Row],[Quantity]]&gt;=7,"Bulk",IF(Walmart[[#This Row],[Quantity]]&gt;=2,"Multi","Single"))</f>
        <v>Multi</v>
      </c>
      <c r="O184">
        <v>95.59</v>
      </c>
      <c r="P184" t="str">
        <f>IF(Walmart[[#This Row],[Sales]]&gt;=1000,"High Value", IF(Walmart[[#This Row],[Sales]]&gt;=500,"Medium Value","Low Value"))</f>
        <v>Medium Value</v>
      </c>
    </row>
    <row r="185" spans="1:16" x14ac:dyDescent="0.3">
      <c r="A185" t="s">
        <v>2634</v>
      </c>
      <c r="B185" s="1">
        <v>41983</v>
      </c>
      <c r="C185" s="1" t="str">
        <f>TEXT(Walmart[[#This Row],[Order Date]],"mmmm")</f>
        <v>December</v>
      </c>
      <c r="D185" s="1">
        <v>41987</v>
      </c>
      <c r="E185" s="1" t="str">
        <f>IF(DATEDIF(Walmart[[#This Row],[Order Date]],Walmart[[#This Row],[Ship Date]],"D")&lt;7,"On time","Delayed")</f>
        <v>On time</v>
      </c>
      <c r="F185" t="s">
        <v>1770</v>
      </c>
      <c r="G185" t="s">
        <v>14</v>
      </c>
      <c r="H185" t="s">
        <v>84</v>
      </c>
      <c r="I185" t="s">
        <v>58</v>
      </c>
      <c r="J185" t="s">
        <v>93</v>
      </c>
      <c r="K185" t="s">
        <v>1045</v>
      </c>
      <c r="L185">
        <v>419.4</v>
      </c>
      <c r="M185">
        <v>5</v>
      </c>
      <c r="N185" t="str">
        <f>IF(Walmart[[#This Row],[Quantity]]&gt;=7,"Bulk",IF(Walmart[[#This Row],[Quantity]]&gt;=2,"Multi","Single"))</f>
        <v>Multi</v>
      </c>
      <c r="O185">
        <v>146.79</v>
      </c>
      <c r="P185" t="str">
        <f>IF(Walmart[[#This Row],[Sales]]&gt;=1000,"High Value", IF(Walmart[[#This Row],[Sales]]&gt;=500,"Medium Value","Low Value"))</f>
        <v>Low Value</v>
      </c>
    </row>
    <row r="186" spans="1:16" hidden="1" x14ac:dyDescent="0.3">
      <c r="A186" t="s">
        <v>618</v>
      </c>
      <c r="B186" s="1">
        <v>40901</v>
      </c>
      <c r="C186" s="1" t="str">
        <f>TEXT(Walmart[[#This Row],[Order Date]],"mmmm")</f>
        <v>December</v>
      </c>
      <c r="D186" s="1">
        <v>40906</v>
      </c>
      <c r="E186" s="1" t="str">
        <f>IF(DATEDIF(Walmart[[#This Row],[Order Date]],Walmart[[#This Row],[Ship Date]],"D")&lt;7,"On time","Delayed")</f>
        <v>On time</v>
      </c>
      <c r="F186" t="s">
        <v>619</v>
      </c>
      <c r="G186" t="s">
        <v>14</v>
      </c>
      <c r="H186" t="s">
        <v>15</v>
      </c>
      <c r="I186" t="s">
        <v>16</v>
      </c>
      <c r="J186" t="s">
        <v>33</v>
      </c>
      <c r="K186" t="s">
        <v>620</v>
      </c>
      <c r="L186">
        <v>142.86000000000001</v>
      </c>
      <c r="M186">
        <v>1</v>
      </c>
      <c r="N186" t="str">
        <f>IF(Walmart[[#This Row],[Quantity]]&gt;=7,"Bulk",IF(Walmart[[#This Row],[Quantity]]&gt;=2,"Multi","Single"))</f>
        <v>Single</v>
      </c>
      <c r="O186">
        <v>41.43</v>
      </c>
      <c r="P186" t="str">
        <f>IF(Walmart[[#This Row],[Sales]]&gt;=1000,"High Value", IF(Walmart[[#This Row],[Sales]]&gt;=500,"Medium Value","Low Value"))</f>
        <v>Low Value</v>
      </c>
    </row>
    <row r="187" spans="1:16" x14ac:dyDescent="0.3">
      <c r="A187" t="s">
        <v>2725</v>
      </c>
      <c r="B187" s="1">
        <v>41983</v>
      </c>
      <c r="C187" s="1" t="str">
        <f>TEXT(Walmart[[#This Row],[Order Date]],"mmmm")</f>
        <v>December</v>
      </c>
      <c r="D187" s="1">
        <v>41985</v>
      </c>
      <c r="E187" s="1" t="str">
        <f>IF(DATEDIF(Walmart[[#This Row],[Order Date]],Walmart[[#This Row],[Ship Date]],"D")&lt;7,"On time","Delayed")</f>
        <v>On time</v>
      </c>
      <c r="F187" t="s">
        <v>2726</v>
      </c>
      <c r="G187" t="s">
        <v>14</v>
      </c>
      <c r="H187" t="s">
        <v>447</v>
      </c>
      <c r="I187" t="s">
        <v>16</v>
      </c>
      <c r="J187" t="s">
        <v>671</v>
      </c>
      <c r="K187" t="s">
        <v>2727</v>
      </c>
      <c r="L187">
        <v>148.26</v>
      </c>
      <c r="M187">
        <v>3</v>
      </c>
      <c r="N187" t="str">
        <f>IF(Walmart[[#This Row],[Quantity]]&gt;=7,"Bulk",IF(Walmart[[#This Row],[Quantity]]&gt;=2,"Multi","Single"))</f>
        <v>Multi</v>
      </c>
      <c r="O187">
        <v>15.7</v>
      </c>
      <c r="P187" t="str">
        <f>IF(Walmart[[#This Row],[Sales]]&gt;=1000,"High Value", IF(Walmart[[#This Row],[Sales]]&gt;=500,"Medium Value","Low Value"))</f>
        <v>Low Value</v>
      </c>
    </row>
    <row r="188" spans="1:16" hidden="1" x14ac:dyDescent="0.3">
      <c r="A188" t="s">
        <v>624</v>
      </c>
      <c r="B188" s="1">
        <v>41589</v>
      </c>
      <c r="C188" s="1" t="str">
        <f>TEXT(Walmart[[#This Row],[Order Date]],"mmmm")</f>
        <v>November</v>
      </c>
      <c r="D188" s="1">
        <v>41591</v>
      </c>
      <c r="E188" s="1" t="str">
        <f>IF(DATEDIF(Walmart[[#This Row],[Order Date]],Walmart[[#This Row],[Ship Date]],"D")&lt;7,"On time","Delayed")</f>
        <v>On time</v>
      </c>
      <c r="F188" t="s">
        <v>625</v>
      </c>
      <c r="G188" t="s">
        <v>14</v>
      </c>
      <c r="H188" t="s">
        <v>37</v>
      </c>
      <c r="I188" t="s">
        <v>16</v>
      </c>
      <c r="J188" t="s">
        <v>27</v>
      </c>
      <c r="K188" t="s">
        <v>626</v>
      </c>
      <c r="L188">
        <v>13.22</v>
      </c>
      <c r="M188">
        <v>4</v>
      </c>
      <c r="N188" t="str">
        <f>IF(Walmart[[#This Row],[Quantity]]&gt;=7,"Bulk",IF(Walmart[[#This Row],[Quantity]]&gt;=2,"Multi","Single"))</f>
        <v>Multi</v>
      </c>
      <c r="O188">
        <v>4.46</v>
      </c>
      <c r="P188" t="str">
        <f>IF(Walmart[[#This Row],[Sales]]&gt;=1000,"High Value", IF(Walmart[[#This Row],[Sales]]&gt;=500,"Medium Value","Low Value"))</f>
        <v>Low Value</v>
      </c>
    </row>
    <row r="189" spans="1:16" hidden="1" x14ac:dyDescent="0.3">
      <c r="A189" t="s">
        <v>627</v>
      </c>
      <c r="B189" s="1">
        <v>41148</v>
      </c>
      <c r="C189" s="1" t="str">
        <f>TEXT(Walmart[[#This Row],[Order Date]],"mmmm")</f>
        <v>August</v>
      </c>
      <c r="D189" s="1">
        <v>41153</v>
      </c>
      <c r="E189" s="1" t="str">
        <f>IF(DATEDIF(Walmart[[#This Row],[Order Date]],Walmart[[#This Row],[Ship Date]],"D")&lt;7,"On time","Delayed")</f>
        <v>On time</v>
      </c>
      <c r="F189" t="s">
        <v>520</v>
      </c>
      <c r="G189" t="s">
        <v>14</v>
      </c>
      <c r="H189" t="s">
        <v>160</v>
      </c>
      <c r="I189" t="s">
        <v>16</v>
      </c>
      <c r="J189" t="s">
        <v>334</v>
      </c>
      <c r="K189" t="s">
        <v>628</v>
      </c>
      <c r="L189">
        <v>32.94</v>
      </c>
      <c r="M189">
        <v>3</v>
      </c>
      <c r="N189" t="str">
        <f>IF(Walmart[[#This Row],[Quantity]]&gt;=7,"Bulk",IF(Walmart[[#This Row],[Quantity]]&gt;=2,"Multi","Single"))</f>
        <v>Multi</v>
      </c>
      <c r="O189">
        <v>9.2200000000000006</v>
      </c>
      <c r="P189" t="str">
        <f>IF(Walmart[[#This Row],[Sales]]&gt;=1000,"High Value", IF(Walmart[[#This Row],[Sales]]&gt;=500,"Medium Value","Low Value"))</f>
        <v>Low Value</v>
      </c>
    </row>
    <row r="190" spans="1:16" hidden="1" x14ac:dyDescent="0.3">
      <c r="A190" t="s">
        <v>629</v>
      </c>
      <c r="B190" s="1">
        <v>41054</v>
      </c>
      <c r="C190" s="1" t="str">
        <f>TEXT(Walmart[[#This Row],[Order Date]],"mmmm")</f>
        <v>May</v>
      </c>
      <c r="D190" s="1">
        <v>41058</v>
      </c>
      <c r="E190" s="1" t="str">
        <f>IF(DATEDIF(Walmart[[#This Row],[Order Date]],Walmart[[#This Row],[Ship Date]],"D")&lt;7,"On time","Delayed")</f>
        <v>On time</v>
      </c>
      <c r="F190" t="s">
        <v>630</v>
      </c>
      <c r="G190" t="s">
        <v>14</v>
      </c>
      <c r="H190" t="s">
        <v>631</v>
      </c>
      <c r="I190" t="s">
        <v>77</v>
      </c>
      <c r="J190" t="s">
        <v>105</v>
      </c>
      <c r="K190" t="s">
        <v>632</v>
      </c>
      <c r="L190">
        <v>845.73</v>
      </c>
      <c r="M190">
        <v>13</v>
      </c>
      <c r="N190" t="str">
        <f>IF(Walmart[[#This Row],[Quantity]]&gt;=7,"Bulk",IF(Walmart[[#This Row],[Quantity]]&gt;=2,"Multi","Single"))</f>
        <v>Bulk</v>
      </c>
      <c r="O190">
        <v>84.57</v>
      </c>
      <c r="P190" t="str">
        <f>IF(Walmart[[#This Row],[Sales]]&gt;=1000,"High Value", IF(Walmart[[#This Row],[Sales]]&gt;=500,"Medium Value","Low Value"))</f>
        <v>Medium Value</v>
      </c>
    </row>
    <row r="191" spans="1:16" x14ac:dyDescent="0.3">
      <c r="A191" t="s">
        <v>229</v>
      </c>
      <c r="B191" s="1">
        <v>41982</v>
      </c>
      <c r="C191" s="1" t="str">
        <f>TEXT(Walmart[[#This Row],[Order Date]],"mmmm")</f>
        <v>December</v>
      </c>
      <c r="D191" s="1">
        <v>41986</v>
      </c>
      <c r="E191" s="1" t="str">
        <f>IF(DATEDIF(Walmart[[#This Row],[Order Date]],Walmart[[#This Row],[Ship Date]],"D")&lt;7,"On time","Delayed")</f>
        <v>On time</v>
      </c>
      <c r="F191" t="s">
        <v>230</v>
      </c>
      <c r="G191" t="s">
        <v>14</v>
      </c>
      <c r="H191" t="s">
        <v>37</v>
      </c>
      <c r="I191" t="s">
        <v>16</v>
      </c>
      <c r="J191" t="s">
        <v>53</v>
      </c>
      <c r="K191" t="s">
        <v>231</v>
      </c>
      <c r="L191">
        <v>179.95</v>
      </c>
      <c r="M191">
        <v>5</v>
      </c>
      <c r="N191" t="str">
        <f>IF(Walmart[[#This Row],[Quantity]]&gt;=7,"Bulk",IF(Walmart[[#This Row],[Quantity]]&gt;=2,"Multi","Single"))</f>
        <v>Multi</v>
      </c>
      <c r="O191">
        <v>37.79</v>
      </c>
      <c r="P191" t="str">
        <f>IF(Walmart[[#This Row],[Sales]]&gt;=1000,"High Value", IF(Walmart[[#This Row],[Sales]]&gt;=500,"Medium Value","Low Value"))</f>
        <v>Low Value</v>
      </c>
    </row>
    <row r="192" spans="1:16" hidden="1" x14ac:dyDescent="0.3">
      <c r="A192" t="s">
        <v>637</v>
      </c>
      <c r="B192" s="1">
        <v>41186</v>
      </c>
      <c r="C192" s="1" t="str">
        <f>TEXT(Walmart[[#This Row],[Order Date]],"mmmm")</f>
        <v>October</v>
      </c>
      <c r="D192" s="1">
        <v>41189</v>
      </c>
      <c r="E192" s="1" t="str">
        <f>IF(DATEDIF(Walmart[[#This Row],[Order Date]],Walmart[[#This Row],[Ship Date]],"D")&lt;7,"On time","Delayed")</f>
        <v>On time</v>
      </c>
      <c r="F192" t="s">
        <v>638</v>
      </c>
      <c r="G192" t="s">
        <v>14</v>
      </c>
      <c r="H192" t="s">
        <v>37</v>
      </c>
      <c r="I192" t="s">
        <v>16</v>
      </c>
      <c r="J192" t="s">
        <v>33</v>
      </c>
      <c r="K192" t="s">
        <v>639</v>
      </c>
      <c r="L192">
        <v>26.96</v>
      </c>
      <c r="M192">
        <v>2</v>
      </c>
      <c r="N192" t="str">
        <f>IF(Walmart[[#This Row],[Quantity]]&gt;=7,"Bulk",IF(Walmart[[#This Row],[Quantity]]&gt;=2,"Multi","Single"))</f>
        <v>Multi</v>
      </c>
      <c r="O192">
        <v>7.01</v>
      </c>
      <c r="P192" t="str">
        <f>IF(Walmart[[#This Row],[Sales]]&gt;=1000,"High Value", IF(Walmart[[#This Row],[Sales]]&gt;=500,"Medium Value","Low Value"))</f>
        <v>Low Value</v>
      </c>
    </row>
    <row r="193" spans="1:16" hidden="1" x14ac:dyDescent="0.3">
      <c r="A193" t="s">
        <v>640</v>
      </c>
      <c r="B193" s="1">
        <v>41446</v>
      </c>
      <c r="C193" s="1" t="str">
        <f>TEXT(Walmart[[#This Row],[Order Date]],"mmmm")</f>
        <v>June</v>
      </c>
      <c r="D193" s="1">
        <v>41447</v>
      </c>
      <c r="E193" s="1" t="str">
        <f>IF(DATEDIF(Walmart[[#This Row],[Order Date]],Walmart[[#This Row],[Ship Date]],"D")&lt;7,"On time","Delayed")</f>
        <v>On time</v>
      </c>
      <c r="F193" t="s">
        <v>641</v>
      </c>
      <c r="G193" t="s">
        <v>14</v>
      </c>
      <c r="H193" t="s">
        <v>100</v>
      </c>
      <c r="I193" t="s">
        <v>16</v>
      </c>
      <c r="J193" t="s">
        <v>93</v>
      </c>
      <c r="K193" t="s">
        <v>642</v>
      </c>
      <c r="L193">
        <v>46.76</v>
      </c>
      <c r="M193">
        <v>7</v>
      </c>
      <c r="N193" t="str">
        <f>IF(Walmart[[#This Row],[Quantity]]&gt;=7,"Bulk",IF(Walmart[[#This Row],[Quantity]]&gt;=2,"Multi","Single"))</f>
        <v>Bulk</v>
      </c>
      <c r="O193">
        <v>22.44</v>
      </c>
      <c r="P193" t="str">
        <f>IF(Walmart[[#This Row],[Sales]]&gt;=1000,"High Value", IF(Walmart[[#This Row],[Sales]]&gt;=500,"Medium Value","Low Value"))</f>
        <v>Low Value</v>
      </c>
    </row>
    <row r="194" spans="1:16" hidden="1" x14ac:dyDescent="0.3">
      <c r="A194" t="s">
        <v>643</v>
      </c>
      <c r="B194" s="1">
        <v>41627</v>
      </c>
      <c r="C194" s="1" t="str">
        <f>TEXT(Walmart[[#This Row],[Order Date]],"mmmm")</f>
        <v>December</v>
      </c>
      <c r="D194" s="1">
        <v>41632</v>
      </c>
      <c r="E194" s="1" t="str">
        <f>IF(DATEDIF(Walmart[[#This Row],[Order Date]],Walmart[[#This Row],[Ship Date]],"D")&lt;7,"On time","Delayed")</f>
        <v>On time</v>
      </c>
      <c r="F194" t="s">
        <v>644</v>
      </c>
      <c r="G194" t="s">
        <v>14</v>
      </c>
      <c r="H194" t="s">
        <v>15</v>
      </c>
      <c r="I194" t="s">
        <v>16</v>
      </c>
      <c r="J194" t="s">
        <v>93</v>
      </c>
      <c r="K194" t="s">
        <v>645</v>
      </c>
      <c r="L194">
        <v>38.880000000000003</v>
      </c>
      <c r="M194">
        <v>6</v>
      </c>
      <c r="N194" t="str">
        <f>IF(Walmart[[#This Row],[Quantity]]&gt;=7,"Bulk",IF(Walmart[[#This Row],[Quantity]]&gt;=2,"Multi","Single"))</f>
        <v>Multi</v>
      </c>
      <c r="O194">
        <v>18.66</v>
      </c>
      <c r="P194" t="str">
        <f>IF(Walmart[[#This Row],[Sales]]&gt;=1000,"High Value", IF(Walmart[[#This Row],[Sales]]&gt;=500,"Medium Value","Low Value"))</f>
        <v>Low Value</v>
      </c>
    </row>
    <row r="195" spans="1:16" x14ac:dyDescent="0.3">
      <c r="A195" t="s">
        <v>1550</v>
      </c>
      <c r="B195" s="1">
        <v>41982</v>
      </c>
      <c r="C195" s="1" t="str">
        <f>TEXT(Walmart[[#This Row],[Order Date]],"mmmm")</f>
        <v>December</v>
      </c>
      <c r="D195" s="1">
        <v>41983</v>
      </c>
      <c r="E195" s="1" t="str">
        <f>IF(DATEDIF(Walmart[[#This Row],[Order Date]],Walmart[[#This Row],[Ship Date]],"D")&lt;7,"On time","Delayed")</f>
        <v>On time</v>
      </c>
      <c r="F195" t="s">
        <v>1551</v>
      </c>
      <c r="G195" t="s">
        <v>14</v>
      </c>
      <c r="H195" t="s">
        <v>173</v>
      </c>
      <c r="I195" t="s">
        <v>16</v>
      </c>
      <c r="J195" t="s">
        <v>33</v>
      </c>
      <c r="K195" t="s">
        <v>1552</v>
      </c>
      <c r="L195">
        <v>29.79</v>
      </c>
      <c r="M195">
        <v>3</v>
      </c>
      <c r="N195" t="str">
        <f>IF(Walmart[[#This Row],[Quantity]]&gt;=7,"Bulk",IF(Walmart[[#This Row],[Quantity]]&gt;=2,"Multi","Single"))</f>
        <v>Multi</v>
      </c>
      <c r="O195">
        <v>8.64</v>
      </c>
      <c r="P195" t="str">
        <f>IF(Walmart[[#This Row],[Sales]]&gt;=1000,"High Value", IF(Walmart[[#This Row],[Sales]]&gt;=500,"Medium Value","Low Value"))</f>
        <v>Low Value</v>
      </c>
    </row>
    <row r="196" spans="1:16" hidden="1" x14ac:dyDescent="0.3">
      <c r="A196" t="s">
        <v>649</v>
      </c>
      <c r="B196" s="1">
        <v>41418</v>
      </c>
      <c r="C196" s="1" t="str">
        <f>TEXT(Walmart[[#This Row],[Order Date]],"mmmm")</f>
        <v>May</v>
      </c>
      <c r="D196" s="1">
        <v>41422</v>
      </c>
      <c r="E196" s="1" t="str">
        <f>IF(DATEDIF(Walmart[[#This Row],[Order Date]],Walmart[[#This Row],[Ship Date]],"D")&lt;7,"On time","Delayed")</f>
        <v>On time</v>
      </c>
      <c r="F196" t="s">
        <v>650</v>
      </c>
      <c r="G196" t="s">
        <v>14</v>
      </c>
      <c r="H196" t="s">
        <v>37</v>
      </c>
      <c r="I196" t="s">
        <v>16</v>
      </c>
      <c r="J196" t="s">
        <v>21</v>
      </c>
      <c r="K196" t="s">
        <v>610</v>
      </c>
      <c r="L196">
        <v>37.049999999999997</v>
      </c>
      <c r="M196">
        <v>3</v>
      </c>
      <c r="N196" t="str">
        <f>IF(Walmart[[#This Row],[Quantity]]&gt;=7,"Bulk",IF(Walmart[[#This Row],[Quantity]]&gt;=2,"Multi","Single"))</f>
        <v>Multi</v>
      </c>
      <c r="O196">
        <v>16.3</v>
      </c>
      <c r="P196" t="str">
        <f>IF(Walmart[[#This Row],[Sales]]&gt;=1000,"High Value", IF(Walmart[[#This Row],[Sales]]&gt;=500,"Medium Value","Low Value"))</f>
        <v>Low Value</v>
      </c>
    </row>
    <row r="197" spans="1:16" hidden="1" x14ac:dyDescent="0.3">
      <c r="A197" t="s">
        <v>651</v>
      </c>
      <c r="B197" s="1">
        <v>40669</v>
      </c>
      <c r="C197" s="1" t="str">
        <f>TEXT(Walmart[[#This Row],[Order Date]],"mmmm")</f>
        <v>May</v>
      </c>
      <c r="D197" s="1">
        <v>40673</v>
      </c>
      <c r="E197" s="1" t="str">
        <f>IF(DATEDIF(Walmart[[#This Row],[Order Date]],Walmart[[#This Row],[Ship Date]],"D")&lt;7,"On time","Delayed")</f>
        <v>On time</v>
      </c>
      <c r="F197" t="s">
        <v>652</v>
      </c>
      <c r="G197" t="s">
        <v>14</v>
      </c>
      <c r="H197" t="s">
        <v>15</v>
      </c>
      <c r="I197" t="s">
        <v>16</v>
      </c>
      <c r="J197" t="s">
        <v>27</v>
      </c>
      <c r="K197" t="s">
        <v>653</v>
      </c>
      <c r="L197">
        <v>140.74</v>
      </c>
      <c r="M197">
        <v>8</v>
      </c>
      <c r="N197" t="str">
        <f>IF(Walmart[[#This Row],[Quantity]]&gt;=7,"Bulk",IF(Walmart[[#This Row],[Quantity]]&gt;=2,"Multi","Single"))</f>
        <v>Bulk</v>
      </c>
      <c r="O197">
        <v>52.78</v>
      </c>
      <c r="P197" t="str">
        <f>IF(Walmart[[#This Row],[Sales]]&gt;=1000,"High Value", IF(Walmart[[#This Row],[Sales]]&gt;=500,"Medium Value","Low Value"))</f>
        <v>Low Value</v>
      </c>
    </row>
    <row r="198" spans="1:16" x14ac:dyDescent="0.3">
      <c r="A198" t="s">
        <v>2026</v>
      </c>
      <c r="B198" s="1">
        <v>41982</v>
      </c>
      <c r="C198" s="1" t="str">
        <f>TEXT(Walmart[[#This Row],[Order Date]],"mmmm")</f>
        <v>December</v>
      </c>
      <c r="D198" s="1">
        <v>41986</v>
      </c>
      <c r="E198" s="1" t="str">
        <f>IF(DATEDIF(Walmart[[#This Row],[Order Date]],Walmart[[#This Row],[Ship Date]],"D")&lt;7,"On time","Delayed")</f>
        <v>On time</v>
      </c>
      <c r="F198" t="s">
        <v>1255</v>
      </c>
      <c r="G198" t="s">
        <v>14</v>
      </c>
      <c r="H198" t="s">
        <v>37</v>
      </c>
      <c r="I198" t="s">
        <v>16</v>
      </c>
      <c r="J198" t="s">
        <v>105</v>
      </c>
      <c r="K198" t="s">
        <v>2027</v>
      </c>
      <c r="L198">
        <v>69.48</v>
      </c>
      <c r="M198">
        <v>1</v>
      </c>
      <c r="N198" t="str">
        <f>IF(Walmart[[#This Row],[Quantity]]&gt;=7,"Bulk",IF(Walmart[[#This Row],[Quantity]]&gt;=2,"Multi","Single"))</f>
        <v>Single</v>
      </c>
      <c r="O198">
        <v>20.84</v>
      </c>
      <c r="P198" t="str">
        <f>IF(Walmart[[#This Row],[Sales]]&gt;=1000,"High Value", IF(Walmart[[#This Row],[Sales]]&gt;=500,"Medium Value","Low Value"))</f>
        <v>Low Value</v>
      </c>
    </row>
    <row r="199" spans="1:16" x14ac:dyDescent="0.3">
      <c r="A199" t="s">
        <v>2201</v>
      </c>
      <c r="B199" s="1">
        <v>41982</v>
      </c>
      <c r="C199" s="1" t="str">
        <f>TEXT(Walmart[[#This Row],[Order Date]],"mmmm")</f>
        <v>December</v>
      </c>
      <c r="D199" s="1">
        <v>41988</v>
      </c>
      <c r="E199" s="1" t="str">
        <f>IF(DATEDIF(Walmart[[#This Row],[Order Date]],Walmart[[#This Row],[Ship Date]],"D")&lt;7,"On time","Delayed")</f>
        <v>On time</v>
      </c>
      <c r="F199" t="s">
        <v>2202</v>
      </c>
      <c r="G199" t="s">
        <v>14</v>
      </c>
      <c r="H199" t="s">
        <v>37</v>
      </c>
      <c r="I199" t="s">
        <v>16</v>
      </c>
      <c r="J199" t="s">
        <v>93</v>
      </c>
      <c r="K199" t="s">
        <v>2203</v>
      </c>
      <c r="L199">
        <v>87.92</v>
      </c>
      <c r="M199">
        <v>4</v>
      </c>
      <c r="N199" t="str">
        <f>IF(Walmart[[#This Row],[Quantity]]&gt;=7,"Bulk",IF(Walmart[[#This Row],[Quantity]]&gt;=2,"Multi","Single"))</f>
        <v>Multi</v>
      </c>
      <c r="O199">
        <v>40.44</v>
      </c>
      <c r="P199" t="str">
        <f>IF(Walmart[[#This Row],[Sales]]&gt;=1000,"High Value", IF(Walmart[[#This Row],[Sales]]&gt;=500,"Medium Value","Low Value"))</f>
        <v>Low Value</v>
      </c>
    </row>
    <row r="200" spans="1:16" hidden="1" x14ac:dyDescent="0.3">
      <c r="A200" t="s">
        <v>659</v>
      </c>
      <c r="B200" s="1">
        <v>40812</v>
      </c>
      <c r="C200" s="1" t="str">
        <f>TEXT(Walmart[[#This Row],[Order Date]],"mmmm")</f>
        <v>September</v>
      </c>
      <c r="D200" s="1">
        <v>40817</v>
      </c>
      <c r="E200" s="1" t="str">
        <f>IF(DATEDIF(Walmart[[#This Row],[Order Date]],Walmart[[#This Row],[Ship Date]],"D")&lt;7,"On time","Delayed")</f>
        <v>On time</v>
      </c>
      <c r="F200" t="s">
        <v>660</v>
      </c>
      <c r="G200" t="s">
        <v>14</v>
      </c>
      <c r="H200" t="s">
        <v>15</v>
      </c>
      <c r="I200" t="s">
        <v>16</v>
      </c>
      <c r="J200" t="s">
        <v>88</v>
      </c>
      <c r="K200" t="s">
        <v>661</v>
      </c>
      <c r="L200">
        <v>145.57</v>
      </c>
      <c r="M200">
        <v>2</v>
      </c>
      <c r="N200" t="str">
        <f>IF(Walmart[[#This Row],[Quantity]]&gt;=7,"Bulk",IF(Walmart[[#This Row],[Quantity]]&gt;=2,"Multi","Single"))</f>
        <v>Multi</v>
      </c>
      <c r="O200">
        <v>0</v>
      </c>
      <c r="P200" t="str">
        <f>IF(Walmart[[#This Row],[Sales]]&gt;=1000,"High Value", IF(Walmart[[#This Row],[Sales]]&gt;=500,"Medium Value","Low Value"))</f>
        <v>Low Value</v>
      </c>
    </row>
    <row r="201" spans="1:16" x14ac:dyDescent="0.3">
      <c r="A201" t="s">
        <v>320</v>
      </c>
      <c r="B201" s="1">
        <v>41981</v>
      </c>
      <c r="C201" s="1" t="str">
        <f>TEXT(Walmart[[#This Row],[Order Date]],"mmmm")</f>
        <v>December</v>
      </c>
      <c r="D201" s="1">
        <v>41984</v>
      </c>
      <c r="E201" s="1" t="str">
        <f>IF(DATEDIF(Walmart[[#This Row],[Order Date]],Walmart[[#This Row],[Ship Date]],"D")&lt;7,"On time","Delayed")</f>
        <v>On time</v>
      </c>
      <c r="F201" t="s">
        <v>321</v>
      </c>
      <c r="G201" t="s">
        <v>14</v>
      </c>
      <c r="H201" t="s">
        <v>15</v>
      </c>
      <c r="I201" t="s">
        <v>16</v>
      </c>
      <c r="J201" t="s">
        <v>146</v>
      </c>
      <c r="K201" t="s">
        <v>322</v>
      </c>
      <c r="L201">
        <v>374.38</v>
      </c>
      <c r="M201">
        <v>3</v>
      </c>
      <c r="N201" t="str">
        <f>IF(Walmart[[#This Row],[Quantity]]&gt;=7,"Bulk",IF(Walmart[[#This Row],[Quantity]]&gt;=2,"Multi","Single"))</f>
        <v>Multi</v>
      </c>
      <c r="O201">
        <v>46.8</v>
      </c>
      <c r="P201" t="str">
        <f>IF(Walmart[[#This Row],[Sales]]&gt;=1000,"High Value", IF(Walmart[[#This Row],[Sales]]&gt;=500,"Medium Value","Low Value"))</f>
        <v>Low Value</v>
      </c>
    </row>
    <row r="202" spans="1:16" x14ac:dyDescent="0.3">
      <c r="A202" t="s">
        <v>3511</v>
      </c>
      <c r="B202" s="1">
        <v>41981</v>
      </c>
      <c r="C202" s="1" t="str">
        <f>TEXT(Walmart[[#This Row],[Order Date]],"mmmm")</f>
        <v>December</v>
      </c>
      <c r="D202" s="1">
        <v>41988</v>
      </c>
      <c r="E202" s="1" t="str">
        <f>IF(DATEDIF(Walmart[[#This Row],[Order Date]],Walmart[[#This Row],[Ship Date]],"D")&lt;7,"On time","Delayed")</f>
        <v>Delayed</v>
      </c>
      <c r="F202" t="s">
        <v>2030</v>
      </c>
      <c r="G202" t="s">
        <v>14</v>
      </c>
      <c r="H202" t="s">
        <v>37</v>
      </c>
      <c r="I202" t="s">
        <v>16</v>
      </c>
      <c r="J202" t="s">
        <v>93</v>
      </c>
      <c r="K202" t="s">
        <v>1728</v>
      </c>
      <c r="L202">
        <v>50.04</v>
      </c>
      <c r="M202">
        <v>6</v>
      </c>
      <c r="N202" t="str">
        <f>IF(Walmart[[#This Row],[Quantity]]&gt;=7,"Bulk",IF(Walmart[[#This Row],[Quantity]]&gt;=2,"Multi","Single"))</f>
        <v>Multi</v>
      </c>
      <c r="O202">
        <v>25.02</v>
      </c>
      <c r="P202" t="str">
        <f>IF(Walmart[[#This Row],[Sales]]&gt;=1000,"High Value", IF(Walmart[[#This Row],[Sales]]&gt;=500,"Medium Value","Low Value"))</f>
        <v>Low Value</v>
      </c>
    </row>
    <row r="203" spans="1:16" hidden="1" x14ac:dyDescent="0.3">
      <c r="A203" t="s">
        <v>669</v>
      </c>
      <c r="B203" s="1">
        <v>41267</v>
      </c>
      <c r="C203" s="1" t="str">
        <f>TEXT(Walmart[[#This Row],[Order Date]],"mmmm")</f>
        <v>December</v>
      </c>
      <c r="D203" s="1">
        <v>41271</v>
      </c>
      <c r="E203" s="1" t="str">
        <f>IF(DATEDIF(Walmart[[#This Row],[Order Date]],Walmart[[#This Row],[Ship Date]],"D")&lt;7,"On time","Delayed")</f>
        <v>On time</v>
      </c>
      <c r="F203" t="s">
        <v>670</v>
      </c>
      <c r="G203" t="s">
        <v>14</v>
      </c>
      <c r="H203" t="s">
        <v>182</v>
      </c>
      <c r="I203" t="s">
        <v>77</v>
      </c>
      <c r="J203" t="s">
        <v>671</v>
      </c>
      <c r="K203" t="s">
        <v>672</v>
      </c>
      <c r="L203">
        <v>590.05999999999995</v>
      </c>
      <c r="M203">
        <v>7</v>
      </c>
      <c r="N203" t="str">
        <f>IF(Walmart[[#This Row],[Quantity]]&gt;=7,"Bulk",IF(Walmart[[#This Row],[Quantity]]&gt;=2,"Multi","Single"))</f>
        <v>Bulk</v>
      </c>
      <c r="O203">
        <v>-786.74</v>
      </c>
      <c r="P203" t="str">
        <f>IF(Walmart[[#This Row],[Sales]]&gt;=1000,"High Value", IF(Walmart[[#This Row],[Sales]]&gt;=500,"Medium Value","Low Value"))</f>
        <v>Medium Value</v>
      </c>
    </row>
    <row r="204" spans="1:16" hidden="1" x14ac:dyDescent="0.3">
      <c r="A204" t="s">
        <v>673</v>
      </c>
      <c r="B204" s="1">
        <v>40634</v>
      </c>
      <c r="C204" s="1" t="str">
        <f>TEXT(Walmart[[#This Row],[Order Date]],"mmmm")</f>
        <v>April</v>
      </c>
      <c r="D204" s="1">
        <v>40639</v>
      </c>
      <c r="E204" s="1" t="str">
        <f>IF(DATEDIF(Walmart[[#This Row],[Order Date]],Walmart[[#This Row],[Ship Date]],"D")&lt;7,"On time","Delayed")</f>
        <v>On time</v>
      </c>
      <c r="F204" t="s">
        <v>52</v>
      </c>
      <c r="G204" t="s">
        <v>14</v>
      </c>
      <c r="H204" t="s">
        <v>360</v>
      </c>
      <c r="I204" t="s">
        <v>16</v>
      </c>
      <c r="J204" t="s">
        <v>17</v>
      </c>
      <c r="K204" t="s">
        <v>674</v>
      </c>
      <c r="L204">
        <v>29.6</v>
      </c>
      <c r="M204">
        <v>2</v>
      </c>
      <c r="N204" t="str">
        <f>IF(Walmart[[#This Row],[Quantity]]&gt;=7,"Bulk",IF(Walmart[[#This Row],[Quantity]]&gt;=2,"Multi","Single"))</f>
        <v>Multi</v>
      </c>
      <c r="O204">
        <v>14.8</v>
      </c>
      <c r="P204" t="str">
        <f>IF(Walmart[[#This Row],[Sales]]&gt;=1000,"High Value", IF(Walmart[[#This Row],[Sales]]&gt;=500,"Medium Value","Low Value"))</f>
        <v>Low Value</v>
      </c>
    </row>
    <row r="205" spans="1:16" hidden="1" x14ac:dyDescent="0.3">
      <c r="A205" t="s">
        <v>675</v>
      </c>
      <c r="B205" s="1">
        <v>41166</v>
      </c>
      <c r="C205" s="1" t="str">
        <f>TEXT(Walmart[[#This Row],[Order Date]],"mmmm")</f>
        <v>September</v>
      </c>
      <c r="D205" s="1">
        <v>41171</v>
      </c>
      <c r="E205" s="1" t="str">
        <f>IF(DATEDIF(Walmart[[#This Row],[Order Date]],Walmart[[#This Row],[Ship Date]],"D")&lt;7,"On time","Delayed")</f>
        <v>On time</v>
      </c>
      <c r="F205" t="s">
        <v>676</v>
      </c>
      <c r="G205" t="s">
        <v>14</v>
      </c>
      <c r="H205" t="s">
        <v>677</v>
      </c>
      <c r="I205" t="s">
        <v>32</v>
      </c>
      <c r="J205" t="s">
        <v>43</v>
      </c>
      <c r="K205" t="s">
        <v>678</v>
      </c>
      <c r="L205">
        <v>912.75</v>
      </c>
      <c r="M205">
        <v>5</v>
      </c>
      <c r="N205" t="str">
        <f>IF(Walmart[[#This Row],[Quantity]]&gt;=7,"Bulk",IF(Walmart[[#This Row],[Quantity]]&gt;=2,"Multi","Single"))</f>
        <v>Multi</v>
      </c>
      <c r="O205">
        <v>118.66</v>
      </c>
      <c r="P205" t="str">
        <f>IF(Walmart[[#This Row],[Sales]]&gt;=1000,"High Value", IF(Walmart[[#This Row],[Sales]]&gt;=500,"Medium Value","Low Value"))</f>
        <v>Medium Value</v>
      </c>
    </row>
    <row r="206" spans="1:16" hidden="1" x14ac:dyDescent="0.3">
      <c r="A206" t="s">
        <v>679</v>
      </c>
      <c r="B206" s="1">
        <v>40759</v>
      </c>
      <c r="C206" s="1" t="str">
        <f>TEXT(Walmart[[#This Row],[Order Date]],"mmmm")</f>
        <v>August</v>
      </c>
      <c r="D206" s="1">
        <v>40764</v>
      </c>
      <c r="E206" s="1" t="str">
        <f>IF(DATEDIF(Walmart[[#This Row],[Order Date]],Walmart[[#This Row],[Ship Date]],"D")&lt;7,"On time","Delayed")</f>
        <v>On time</v>
      </c>
      <c r="F206" t="s">
        <v>680</v>
      </c>
      <c r="G206" t="s">
        <v>14</v>
      </c>
      <c r="H206" t="s">
        <v>681</v>
      </c>
      <c r="I206" t="s">
        <v>32</v>
      </c>
      <c r="J206" t="s">
        <v>105</v>
      </c>
      <c r="K206" t="s">
        <v>682</v>
      </c>
      <c r="L206">
        <v>1089.75</v>
      </c>
      <c r="M206">
        <v>3</v>
      </c>
      <c r="N206" t="str">
        <f>IF(Walmart[[#This Row],[Quantity]]&gt;=7,"Bulk",IF(Walmart[[#This Row],[Quantity]]&gt;=2,"Multi","Single"))</f>
        <v>Multi</v>
      </c>
      <c r="O206">
        <v>305.13</v>
      </c>
      <c r="P206" t="str">
        <f>IF(Walmart[[#This Row],[Sales]]&gt;=1000,"High Value", IF(Walmart[[#This Row],[Sales]]&gt;=500,"Medium Value","Low Value"))</f>
        <v>High Value</v>
      </c>
    </row>
    <row r="207" spans="1:16" hidden="1" x14ac:dyDescent="0.3">
      <c r="A207" t="s">
        <v>683</v>
      </c>
      <c r="B207" s="1">
        <v>41543</v>
      </c>
      <c r="C207" s="1" t="str">
        <f>TEXT(Walmart[[#This Row],[Order Date]],"mmmm")</f>
        <v>September</v>
      </c>
      <c r="D207" s="1">
        <v>41548</v>
      </c>
      <c r="E207" s="1" t="str">
        <f>IF(DATEDIF(Walmart[[#This Row],[Order Date]],Walmart[[#This Row],[Ship Date]],"D")&lt;7,"On time","Delayed")</f>
        <v>On time</v>
      </c>
      <c r="F207" t="s">
        <v>684</v>
      </c>
      <c r="G207" t="s">
        <v>14</v>
      </c>
      <c r="H207" t="s">
        <v>84</v>
      </c>
      <c r="I207" t="s">
        <v>58</v>
      </c>
      <c r="J207" t="s">
        <v>43</v>
      </c>
      <c r="K207" t="s">
        <v>485</v>
      </c>
      <c r="L207">
        <v>393.17</v>
      </c>
      <c r="M207">
        <v>3</v>
      </c>
      <c r="N207" t="str">
        <f>IF(Walmart[[#This Row],[Quantity]]&gt;=7,"Bulk",IF(Walmart[[#This Row],[Quantity]]&gt;=2,"Multi","Single"))</f>
        <v>Multi</v>
      </c>
      <c r="O207">
        <v>-204.45</v>
      </c>
      <c r="P207" t="str">
        <f>IF(Walmart[[#This Row],[Sales]]&gt;=1000,"High Value", IF(Walmart[[#This Row],[Sales]]&gt;=500,"Medium Value","Low Value"))</f>
        <v>Low Value</v>
      </c>
    </row>
    <row r="208" spans="1:16" x14ac:dyDescent="0.3">
      <c r="A208" t="s">
        <v>2675</v>
      </c>
      <c r="B208" s="1">
        <v>41980</v>
      </c>
      <c r="C208" s="1" t="str">
        <f>TEXT(Walmart[[#This Row],[Order Date]],"mmmm")</f>
        <v>December</v>
      </c>
      <c r="D208" s="1">
        <v>41982</v>
      </c>
      <c r="E208" s="1" t="str">
        <f>IF(DATEDIF(Walmart[[#This Row],[Order Date]],Walmart[[#This Row],[Ship Date]],"D")&lt;7,"On time","Delayed")</f>
        <v>On time</v>
      </c>
      <c r="F208" t="s">
        <v>2676</v>
      </c>
      <c r="G208" t="s">
        <v>14</v>
      </c>
      <c r="H208" t="s">
        <v>164</v>
      </c>
      <c r="I208" t="s">
        <v>16</v>
      </c>
      <c r="J208" t="s">
        <v>33</v>
      </c>
      <c r="K208" t="s">
        <v>125</v>
      </c>
      <c r="L208">
        <v>10.68</v>
      </c>
      <c r="M208">
        <v>1</v>
      </c>
      <c r="N208" t="str">
        <f>IF(Walmart[[#This Row],[Quantity]]&gt;=7,"Bulk",IF(Walmart[[#This Row],[Quantity]]&gt;=2,"Multi","Single"))</f>
        <v>Single</v>
      </c>
      <c r="O208">
        <v>2.88</v>
      </c>
      <c r="P208" t="str">
        <f>IF(Walmart[[#This Row],[Sales]]&gt;=1000,"High Value", IF(Walmart[[#This Row],[Sales]]&gt;=500,"Medium Value","Low Value"))</f>
        <v>Low Value</v>
      </c>
    </row>
    <row r="209" spans="1:16" hidden="1" x14ac:dyDescent="0.3">
      <c r="A209" t="s">
        <v>688</v>
      </c>
      <c r="B209" s="1">
        <v>41178</v>
      </c>
      <c r="C209" s="1" t="str">
        <f>TEXT(Walmart[[#This Row],[Order Date]],"mmmm")</f>
        <v>September</v>
      </c>
      <c r="D209" s="1">
        <v>41182</v>
      </c>
      <c r="E209" s="1" t="str">
        <f>IF(DATEDIF(Walmart[[#This Row],[Order Date]],Walmart[[#This Row],[Ship Date]],"D")&lt;7,"On time","Delayed")</f>
        <v>On time</v>
      </c>
      <c r="F209" t="s">
        <v>689</v>
      </c>
      <c r="G209" t="s">
        <v>14</v>
      </c>
      <c r="H209" t="s">
        <v>299</v>
      </c>
      <c r="I209" t="s">
        <v>58</v>
      </c>
      <c r="J209" t="s">
        <v>93</v>
      </c>
      <c r="K209" t="s">
        <v>690</v>
      </c>
      <c r="L209">
        <v>86.27</v>
      </c>
      <c r="M209">
        <v>4</v>
      </c>
      <c r="N209" t="str">
        <f>IF(Walmart[[#This Row],[Quantity]]&gt;=7,"Bulk",IF(Walmart[[#This Row],[Quantity]]&gt;=2,"Multi","Single"))</f>
        <v>Multi</v>
      </c>
      <c r="O209">
        <v>31.27</v>
      </c>
      <c r="P209" t="str">
        <f>IF(Walmart[[#This Row],[Sales]]&gt;=1000,"High Value", IF(Walmart[[#This Row],[Sales]]&gt;=500,"Medium Value","Low Value"))</f>
        <v>Low Value</v>
      </c>
    </row>
    <row r="210" spans="1:16" hidden="1" x14ac:dyDescent="0.3">
      <c r="A210" t="s">
        <v>691</v>
      </c>
      <c r="B210" s="1">
        <v>41213</v>
      </c>
      <c r="C210" s="1" t="str">
        <f>TEXT(Walmart[[#This Row],[Order Date]],"mmmm")</f>
        <v>October</v>
      </c>
      <c r="D210" s="1">
        <v>41217</v>
      </c>
      <c r="E210" s="1" t="str">
        <f>IF(DATEDIF(Walmart[[#This Row],[Order Date]],Walmart[[#This Row],[Ship Date]],"D")&lt;7,"On time","Delayed")</f>
        <v>On time</v>
      </c>
      <c r="F210" t="s">
        <v>692</v>
      </c>
      <c r="G210" t="s">
        <v>14</v>
      </c>
      <c r="H210" t="s">
        <v>447</v>
      </c>
      <c r="I210" t="s">
        <v>16</v>
      </c>
      <c r="J210" t="s">
        <v>27</v>
      </c>
      <c r="K210" t="s">
        <v>693</v>
      </c>
      <c r="L210">
        <v>9.73</v>
      </c>
      <c r="M210">
        <v>2</v>
      </c>
      <c r="N210" t="str">
        <f>IF(Walmart[[#This Row],[Quantity]]&gt;=7,"Bulk",IF(Walmart[[#This Row],[Quantity]]&gt;=2,"Multi","Single"))</f>
        <v>Multi</v>
      </c>
      <c r="O210">
        <v>3.28</v>
      </c>
      <c r="P210" t="str">
        <f>IF(Walmart[[#This Row],[Sales]]&gt;=1000,"High Value", IF(Walmart[[#This Row],[Sales]]&gt;=500,"Medium Value","Low Value"))</f>
        <v>Low Value</v>
      </c>
    </row>
    <row r="211" spans="1:16" hidden="1" x14ac:dyDescent="0.3">
      <c r="A211" t="s">
        <v>694</v>
      </c>
      <c r="B211" s="1">
        <v>41635</v>
      </c>
      <c r="C211" s="1" t="str">
        <f>TEXT(Walmart[[#This Row],[Order Date]],"mmmm")</f>
        <v>December</v>
      </c>
      <c r="D211" s="1">
        <v>41639</v>
      </c>
      <c r="E211" s="1" t="str">
        <f>IF(DATEDIF(Walmart[[#This Row],[Order Date]],Walmart[[#This Row],[Ship Date]],"D")&lt;7,"On time","Delayed")</f>
        <v>On time</v>
      </c>
      <c r="F211" t="s">
        <v>321</v>
      </c>
      <c r="G211" t="s">
        <v>14</v>
      </c>
      <c r="H211" t="s">
        <v>25</v>
      </c>
      <c r="I211" t="s">
        <v>26</v>
      </c>
      <c r="J211" t="s">
        <v>93</v>
      </c>
      <c r="K211" t="s">
        <v>695</v>
      </c>
      <c r="L211">
        <v>33.9</v>
      </c>
      <c r="M211">
        <v>5</v>
      </c>
      <c r="N211" t="str">
        <f>IF(Walmart[[#This Row],[Quantity]]&gt;=7,"Bulk",IF(Walmart[[#This Row],[Quantity]]&gt;=2,"Multi","Single"))</f>
        <v>Multi</v>
      </c>
      <c r="O211">
        <v>15.59</v>
      </c>
      <c r="P211" t="str">
        <f>IF(Walmart[[#This Row],[Sales]]&gt;=1000,"High Value", IF(Walmart[[#This Row],[Sales]]&gt;=500,"Medium Value","Low Value"))</f>
        <v>Low Value</v>
      </c>
    </row>
    <row r="212" spans="1:16" x14ac:dyDescent="0.3">
      <c r="A212" t="s">
        <v>933</v>
      </c>
      <c r="B212" s="1">
        <v>41979</v>
      </c>
      <c r="C212" s="1" t="str">
        <f>TEXT(Walmart[[#This Row],[Order Date]],"mmmm")</f>
        <v>December</v>
      </c>
      <c r="D212" s="1">
        <v>41981</v>
      </c>
      <c r="E212" s="1" t="str">
        <f>IF(DATEDIF(Walmart[[#This Row],[Order Date]],Walmart[[#This Row],[Ship Date]],"D")&lt;7,"On time","Delayed")</f>
        <v>On time</v>
      </c>
      <c r="F212" t="s">
        <v>559</v>
      </c>
      <c r="G212" t="s">
        <v>14</v>
      </c>
      <c r="H212" t="s">
        <v>160</v>
      </c>
      <c r="I212" t="s">
        <v>16</v>
      </c>
      <c r="J212" t="s">
        <v>93</v>
      </c>
      <c r="K212" t="s">
        <v>934</v>
      </c>
      <c r="L212">
        <v>92.94</v>
      </c>
      <c r="M212">
        <v>3</v>
      </c>
      <c r="N212" t="str">
        <f>IF(Walmart[[#This Row],[Quantity]]&gt;=7,"Bulk",IF(Walmart[[#This Row],[Quantity]]&gt;=2,"Multi","Single"))</f>
        <v>Multi</v>
      </c>
      <c r="O212">
        <v>41.82</v>
      </c>
      <c r="P212" t="str">
        <f>IF(Walmart[[#This Row],[Sales]]&gt;=1000,"High Value", IF(Walmart[[#This Row],[Sales]]&gt;=500,"Medium Value","Low Value"))</f>
        <v>Low Value</v>
      </c>
    </row>
    <row r="213" spans="1:16" hidden="1" x14ac:dyDescent="0.3">
      <c r="A213" t="s">
        <v>699</v>
      </c>
      <c r="B213" s="1">
        <v>41183</v>
      </c>
      <c r="C213" s="1" t="str">
        <f>TEXT(Walmart[[#This Row],[Order Date]],"mmmm")</f>
        <v>October</v>
      </c>
      <c r="D213" s="1">
        <v>41188</v>
      </c>
      <c r="E213" s="1" t="str">
        <f>IF(DATEDIF(Walmart[[#This Row],[Order Date]],Walmart[[#This Row],[Ship Date]],"D")&lt;7,"On time","Delayed")</f>
        <v>On time</v>
      </c>
      <c r="F213" t="s">
        <v>700</v>
      </c>
      <c r="G213" t="s">
        <v>14</v>
      </c>
      <c r="H213" t="s">
        <v>76</v>
      </c>
      <c r="I213" t="s">
        <v>77</v>
      </c>
      <c r="J213" t="s">
        <v>33</v>
      </c>
      <c r="K213" t="s">
        <v>701</v>
      </c>
      <c r="L213">
        <v>139.41999999999999</v>
      </c>
      <c r="M213">
        <v>4</v>
      </c>
      <c r="N213" t="str">
        <f>IF(Walmart[[#This Row],[Quantity]]&gt;=7,"Bulk",IF(Walmart[[#This Row],[Quantity]]&gt;=2,"Multi","Single"))</f>
        <v>Multi</v>
      </c>
      <c r="O213">
        <v>17.43</v>
      </c>
      <c r="P213" t="str">
        <f>IF(Walmart[[#This Row],[Sales]]&gt;=1000,"High Value", IF(Walmart[[#This Row],[Sales]]&gt;=500,"Medium Value","Low Value"))</f>
        <v>Low Value</v>
      </c>
    </row>
    <row r="214" spans="1:16" hidden="1" x14ac:dyDescent="0.3">
      <c r="A214" t="s">
        <v>702</v>
      </c>
      <c r="B214" s="1">
        <v>41030</v>
      </c>
      <c r="C214" s="1" t="str">
        <f>TEXT(Walmart[[#This Row],[Order Date]],"mmmm")</f>
        <v>May</v>
      </c>
      <c r="D214" s="1">
        <v>41036</v>
      </c>
      <c r="E214" s="1" t="str">
        <f>IF(DATEDIF(Walmart[[#This Row],[Order Date]],Walmart[[#This Row],[Ship Date]],"D")&lt;7,"On time","Delayed")</f>
        <v>On time</v>
      </c>
      <c r="F214" t="s">
        <v>703</v>
      </c>
      <c r="G214" t="s">
        <v>14</v>
      </c>
      <c r="H214" t="s">
        <v>15</v>
      </c>
      <c r="I214" t="s">
        <v>16</v>
      </c>
      <c r="J214" t="s">
        <v>146</v>
      </c>
      <c r="K214" t="s">
        <v>704</v>
      </c>
      <c r="L214">
        <v>88.75</v>
      </c>
      <c r="M214">
        <v>3</v>
      </c>
      <c r="N214" t="str">
        <f>IF(Walmart[[#This Row],[Quantity]]&gt;=7,"Bulk",IF(Walmart[[#This Row],[Quantity]]&gt;=2,"Multi","Single"))</f>
        <v>Multi</v>
      </c>
      <c r="O214">
        <v>11.09</v>
      </c>
      <c r="P214" t="str">
        <f>IF(Walmart[[#This Row],[Sales]]&gt;=1000,"High Value", IF(Walmart[[#This Row],[Sales]]&gt;=500,"Medium Value","Low Value"))</f>
        <v>Low Value</v>
      </c>
    </row>
    <row r="215" spans="1:16" hidden="1" x14ac:dyDescent="0.3">
      <c r="A215" t="s">
        <v>705</v>
      </c>
      <c r="B215" s="1">
        <v>41109</v>
      </c>
      <c r="C215" s="1" t="str">
        <f>TEXT(Walmart[[#This Row],[Order Date]],"mmmm")</f>
        <v>July</v>
      </c>
      <c r="D215" s="1">
        <v>41110</v>
      </c>
      <c r="E215" s="1" t="str">
        <f>IF(DATEDIF(Walmart[[#This Row],[Order Date]],Walmart[[#This Row],[Ship Date]],"D")&lt;7,"On time","Delayed")</f>
        <v>On time</v>
      </c>
      <c r="F215" t="s">
        <v>706</v>
      </c>
      <c r="G215" t="s">
        <v>14</v>
      </c>
      <c r="H215" t="s">
        <v>84</v>
      </c>
      <c r="I215" t="s">
        <v>58</v>
      </c>
      <c r="J215" t="s">
        <v>27</v>
      </c>
      <c r="K215" t="s">
        <v>707</v>
      </c>
      <c r="L215">
        <v>2.0299999999999998</v>
      </c>
      <c r="M215">
        <v>1</v>
      </c>
      <c r="N215" t="str">
        <f>IF(Walmart[[#This Row],[Quantity]]&gt;=7,"Bulk",IF(Walmart[[#This Row],[Quantity]]&gt;=2,"Multi","Single"))</f>
        <v>Single</v>
      </c>
      <c r="O215">
        <v>-1.35</v>
      </c>
      <c r="P215" t="str">
        <f>IF(Walmart[[#This Row],[Sales]]&gt;=1000,"High Value", IF(Walmart[[#This Row],[Sales]]&gt;=500,"Medium Value","Low Value"))</f>
        <v>Low Value</v>
      </c>
    </row>
    <row r="216" spans="1:16" hidden="1" x14ac:dyDescent="0.3">
      <c r="A216" t="s">
        <v>708</v>
      </c>
      <c r="B216" s="1">
        <v>41244</v>
      </c>
      <c r="C216" s="1" t="str">
        <f>TEXT(Walmart[[#This Row],[Order Date]],"mmmm")</f>
        <v>December</v>
      </c>
      <c r="D216" s="1">
        <v>41251</v>
      </c>
      <c r="E216" s="1" t="str">
        <f>IF(DATEDIF(Walmart[[#This Row],[Order Date]],Walmart[[#This Row],[Ship Date]],"D")&lt;7,"On time","Delayed")</f>
        <v>Delayed</v>
      </c>
      <c r="F216" t="s">
        <v>350</v>
      </c>
      <c r="G216" t="s">
        <v>14</v>
      </c>
      <c r="H216" t="s">
        <v>25</v>
      </c>
      <c r="I216" t="s">
        <v>26</v>
      </c>
      <c r="J216" t="s">
        <v>27</v>
      </c>
      <c r="K216" t="s">
        <v>709</v>
      </c>
      <c r="L216">
        <v>55.42</v>
      </c>
      <c r="M216">
        <v>2</v>
      </c>
      <c r="N216" t="str">
        <f>IF(Walmart[[#This Row],[Quantity]]&gt;=7,"Bulk",IF(Walmart[[#This Row],[Quantity]]&gt;=2,"Multi","Single"))</f>
        <v>Multi</v>
      </c>
      <c r="O216">
        <v>19.399999999999999</v>
      </c>
      <c r="P216" t="str">
        <f>IF(Walmart[[#This Row],[Sales]]&gt;=1000,"High Value", IF(Walmart[[#This Row],[Sales]]&gt;=500,"Medium Value","Low Value"))</f>
        <v>Low Value</v>
      </c>
    </row>
    <row r="217" spans="1:16" hidden="1" x14ac:dyDescent="0.3">
      <c r="A217" t="s">
        <v>710</v>
      </c>
      <c r="B217" s="1">
        <v>40763</v>
      </c>
      <c r="C217" s="1" t="str">
        <f>TEXT(Walmart[[#This Row],[Order Date]],"mmmm")</f>
        <v>August</v>
      </c>
      <c r="D217" s="1">
        <v>40769</v>
      </c>
      <c r="E217" s="1" t="str">
        <f>IF(DATEDIF(Walmart[[#This Row],[Order Date]],Walmart[[#This Row],[Ship Date]],"D")&lt;7,"On time","Delayed")</f>
        <v>On time</v>
      </c>
      <c r="F217" t="s">
        <v>711</v>
      </c>
      <c r="G217" t="s">
        <v>14</v>
      </c>
      <c r="H217" t="s">
        <v>712</v>
      </c>
      <c r="I217" t="s">
        <v>58</v>
      </c>
      <c r="J217" t="s">
        <v>21</v>
      </c>
      <c r="K217" t="s">
        <v>518</v>
      </c>
      <c r="L217">
        <v>121.38</v>
      </c>
      <c r="M217">
        <v>4</v>
      </c>
      <c r="N217" t="str">
        <f>IF(Walmart[[#This Row],[Quantity]]&gt;=7,"Bulk",IF(Walmart[[#This Row],[Quantity]]&gt;=2,"Multi","Single"))</f>
        <v>Multi</v>
      </c>
      <c r="O217">
        <v>-3.03</v>
      </c>
      <c r="P217" t="str">
        <f>IF(Walmart[[#This Row],[Sales]]&gt;=1000,"High Value", IF(Walmart[[#This Row],[Sales]]&gt;=500,"Medium Value","Low Value"))</f>
        <v>Low Value</v>
      </c>
    </row>
    <row r="218" spans="1:16" x14ac:dyDescent="0.3">
      <c r="A218" t="s">
        <v>1553</v>
      </c>
      <c r="B218" s="1">
        <v>41979</v>
      </c>
      <c r="C218" s="1" t="str">
        <f>TEXT(Walmart[[#This Row],[Order Date]],"mmmm")</f>
        <v>December</v>
      </c>
      <c r="D218" s="1">
        <v>41983</v>
      </c>
      <c r="E218" s="1" t="str">
        <f>IF(DATEDIF(Walmart[[#This Row],[Order Date]],Walmart[[#This Row],[Ship Date]],"D")&lt;7,"On time","Delayed")</f>
        <v>On time</v>
      </c>
      <c r="F218" t="s">
        <v>373</v>
      </c>
      <c r="G218" t="s">
        <v>14</v>
      </c>
      <c r="H218" t="s">
        <v>770</v>
      </c>
      <c r="I218" t="s">
        <v>26</v>
      </c>
      <c r="J218" t="s">
        <v>27</v>
      </c>
      <c r="K218" t="s">
        <v>1554</v>
      </c>
      <c r="L218">
        <v>24.82</v>
      </c>
      <c r="M218">
        <v>3</v>
      </c>
      <c r="N218" t="str">
        <f>IF(Walmart[[#This Row],[Quantity]]&gt;=7,"Bulk",IF(Walmart[[#This Row],[Quantity]]&gt;=2,"Multi","Single"))</f>
        <v>Multi</v>
      </c>
      <c r="O218">
        <v>8.3800000000000008</v>
      </c>
      <c r="P218" t="str">
        <f>IF(Walmart[[#This Row],[Sales]]&gt;=1000,"High Value", IF(Walmart[[#This Row],[Sales]]&gt;=500,"Medium Value","Low Value"))</f>
        <v>Low Value</v>
      </c>
    </row>
    <row r="219" spans="1:16" x14ac:dyDescent="0.3">
      <c r="A219" t="s">
        <v>3424</v>
      </c>
      <c r="B219" s="1">
        <v>41979</v>
      </c>
      <c r="C219" s="1" t="str">
        <f>TEXT(Walmart[[#This Row],[Order Date]],"mmmm")</f>
        <v>December</v>
      </c>
      <c r="D219" s="1">
        <v>41980</v>
      </c>
      <c r="E219" s="1" t="str">
        <f>IF(DATEDIF(Walmart[[#This Row],[Order Date]],Walmart[[#This Row],[Ship Date]],"D")&lt;7,"On time","Delayed")</f>
        <v>On time</v>
      </c>
      <c r="F219" t="s">
        <v>1050</v>
      </c>
      <c r="G219" t="s">
        <v>14</v>
      </c>
      <c r="H219" t="s">
        <v>25</v>
      </c>
      <c r="I219" t="s">
        <v>26</v>
      </c>
      <c r="J219" t="s">
        <v>27</v>
      </c>
      <c r="K219" t="s">
        <v>3425</v>
      </c>
      <c r="L219">
        <v>83.92</v>
      </c>
      <c r="M219">
        <v>5</v>
      </c>
      <c r="N219" t="str">
        <f>IF(Walmart[[#This Row],[Quantity]]&gt;=7,"Bulk",IF(Walmart[[#This Row],[Quantity]]&gt;=2,"Multi","Single"))</f>
        <v>Multi</v>
      </c>
      <c r="O219">
        <v>29.37</v>
      </c>
      <c r="P219" t="str">
        <f>IF(Walmart[[#This Row],[Sales]]&gt;=1000,"High Value", IF(Walmart[[#This Row],[Sales]]&gt;=500,"Medium Value","Low Value"))</f>
        <v>Low Value</v>
      </c>
    </row>
    <row r="220" spans="1:16" hidden="1" x14ac:dyDescent="0.3">
      <c r="A220" t="s">
        <v>719</v>
      </c>
      <c r="B220" s="1">
        <v>41611</v>
      </c>
      <c r="C220" s="1" t="str">
        <f>TEXT(Walmart[[#This Row],[Order Date]],"mmmm")</f>
        <v>December</v>
      </c>
      <c r="D220" s="1">
        <v>41617</v>
      </c>
      <c r="E220" s="1" t="str">
        <f>IF(DATEDIF(Walmart[[#This Row],[Order Date]],Walmart[[#This Row],[Ship Date]],"D")&lt;7,"On time","Delayed")</f>
        <v>On time</v>
      </c>
      <c r="F220" t="s">
        <v>720</v>
      </c>
      <c r="G220" t="s">
        <v>14</v>
      </c>
      <c r="H220" t="s">
        <v>37</v>
      </c>
      <c r="I220" t="s">
        <v>16</v>
      </c>
      <c r="J220" t="s">
        <v>93</v>
      </c>
      <c r="K220" t="s">
        <v>721</v>
      </c>
      <c r="L220">
        <v>25.92</v>
      </c>
      <c r="M220">
        <v>4</v>
      </c>
      <c r="N220" t="str">
        <f>IF(Walmart[[#This Row],[Quantity]]&gt;=7,"Bulk",IF(Walmart[[#This Row],[Quantity]]&gt;=2,"Multi","Single"))</f>
        <v>Multi</v>
      </c>
      <c r="O220">
        <v>12.44</v>
      </c>
      <c r="P220" t="str">
        <f>IF(Walmart[[#This Row],[Sales]]&gt;=1000,"High Value", IF(Walmart[[#This Row],[Sales]]&gt;=500,"Medium Value","Low Value"))</f>
        <v>Low Value</v>
      </c>
    </row>
    <row r="221" spans="1:16" hidden="1" x14ac:dyDescent="0.3">
      <c r="A221" t="s">
        <v>722</v>
      </c>
      <c r="B221" s="1">
        <v>41562</v>
      </c>
      <c r="C221" s="1" t="str">
        <f>TEXT(Walmart[[#This Row],[Order Date]],"mmmm")</f>
        <v>October</v>
      </c>
      <c r="D221" s="1">
        <v>41566</v>
      </c>
      <c r="E221" s="1" t="str">
        <f>IF(DATEDIF(Walmart[[#This Row],[Order Date]],Walmart[[#This Row],[Ship Date]],"D")&lt;7,"On time","Delayed")</f>
        <v>On time</v>
      </c>
      <c r="F221" t="s">
        <v>723</v>
      </c>
      <c r="G221" t="s">
        <v>14</v>
      </c>
      <c r="H221" t="s">
        <v>25</v>
      </c>
      <c r="I221" t="s">
        <v>26</v>
      </c>
      <c r="J221" t="s">
        <v>53</v>
      </c>
      <c r="K221" t="s">
        <v>724</v>
      </c>
      <c r="L221">
        <v>177</v>
      </c>
      <c r="M221">
        <v>3</v>
      </c>
      <c r="N221" t="str">
        <f>IF(Walmart[[#This Row],[Quantity]]&gt;=7,"Bulk",IF(Walmart[[#This Row],[Quantity]]&gt;=2,"Multi","Single"))</f>
        <v>Multi</v>
      </c>
      <c r="O221">
        <v>30.09</v>
      </c>
      <c r="P221" t="str">
        <f>IF(Walmart[[#This Row],[Sales]]&gt;=1000,"High Value", IF(Walmart[[#This Row],[Sales]]&gt;=500,"Medium Value","Low Value"))</f>
        <v>Low Value</v>
      </c>
    </row>
    <row r="222" spans="1:16" hidden="1" x14ac:dyDescent="0.3">
      <c r="A222" t="s">
        <v>725</v>
      </c>
      <c r="B222" s="1">
        <v>41216</v>
      </c>
      <c r="C222" s="1" t="str">
        <f>TEXT(Walmart[[#This Row],[Order Date]],"mmmm")</f>
        <v>November</v>
      </c>
      <c r="D222" s="1">
        <v>41220</v>
      </c>
      <c r="E222" s="1" t="str">
        <f>IF(DATEDIF(Walmart[[#This Row],[Order Date]],Walmart[[#This Row],[Ship Date]],"D")&lt;7,"On time","Delayed")</f>
        <v>On time</v>
      </c>
      <c r="F222" t="s">
        <v>726</v>
      </c>
      <c r="G222" t="s">
        <v>14</v>
      </c>
      <c r="H222" t="s">
        <v>15</v>
      </c>
      <c r="I222" t="s">
        <v>16</v>
      </c>
      <c r="J222" t="s">
        <v>146</v>
      </c>
      <c r="K222" t="s">
        <v>727</v>
      </c>
      <c r="L222">
        <v>1212.8499999999999</v>
      </c>
      <c r="M222">
        <v>7</v>
      </c>
      <c r="N222" t="str">
        <f>IF(Walmart[[#This Row],[Quantity]]&gt;=7,"Bulk",IF(Walmart[[#This Row],[Quantity]]&gt;=2,"Multi","Single"))</f>
        <v>Bulk</v>
      </c>
      <c r="O222">
        <v>106.12</v>
      </c>
      <c r="P222" t="str">
        <f>IF(Walmart[[#This Row],[Sales]]&gt;=1000,"High Value", IF(Walmart[[#This Row],[Sales]]&gt;=500,"Medium Value","Low Value"))</f>
        <v>High Value</v>
      </c>
    </row>
    <row r="223" spans="1:16" x14ac:dyDescent="0.3">
      <c r="A223" t="s">
        <v>3101</v>
      </c>
      <c r="B223" s="1">
        <v>41978</v>
      </c>
      <c r="C223" s="1" t="str">
        <f>TEXT(Walmart[[#This Row],[Order Date]],"mmmm")</f>
        <v>December</v>
      </c>
      <c r="D223" s="1">
        <v>41980</v>
      </c>
      <c r="E223" s="1" t="str">
        <f>IF(DATEDIF(Walmart[[#This Row],[Order Date]],Walmart[[#This Row],[Ship Date]],"D")&lt;7,"On time","Delayed")</f>
        <v>On time</v>
      </c>
      <c r="F223" t="s">
        <v>1806</v>
      </c>
      <c r="G223" t="s">
        <v>14</v>
      </c>
      <c r="H223" t="s">
        <v>15</v>
      </c>
      <c r="I223" t="s">
        <v>16</v>
      </c>
      <c r="J223" t="s">
        <v>93</v>
      </c>
      <c r="K223" t="s">
        <v>1487</v>
      </c>
      <c r="L223">
        <v>11.76</v>
      </c>
      <c r="M223">
        <v>2</v>
      </c>
      <c r="N223" t="str">
        <f>IF(Walmart[[#This Row],[Quantity]]&gt;=7,"Bulk",IF(Walmart[[#This Row],[Quantity]]&gt;=2,"Multi","Single"))</f>
        <v>Multi</v>
      </c>
      <c r="O223">
        <v>5.76</v>
      </c>
      <c r="P223" t="str">
        <f>IF(Walmart[[#This Row],[Sales]]&gt;=1000,"High Value", IF(Walmart[[#This Row],[Sales]]&gt;=500,"Medium Value","Low Value"))</f>
        <v>Low Value</v>
      </c>
    </row>
    <row r="224" spans="1:16" hidden="1" x14ac:dyDescent="0.3">
      <c r="A224" t="s">
        <v>731</v>
      </c>
      <c r="B224" s="1">
        <v>41565</v>
      </c>
      <c r="C224" s="1" t="str">
        <f>TEXT(Walmart[[#This Row],[Order Date]],"mmmm")</f>
        <v>October</v>
      </c>
      <c r="D224" s="1">
        <v>41568</v>
      </c>
      <c r="E224" s="1" t="str">
        <f>IF(DATEDIF(Walmart[[#This Row],[Order Date]],Walmart[[#This Row],[Ship Date]],"D")&lt;7,"On time","Delayed")</f>
        <v>On time</v>
      </c>
      <c r="F224" t="s">
        <v>112</v>
      </c>
      <c r="G224" t="s">
        <v>14</v>
      </c>
      <c r="H224" t="s">
        <v>37</v>
      </c>
      <c r="I224" t="s">
        <v>16</v>
      </c>
      <c r="J224" t="s">
        <v>27</v>
      </c>
      <c r="K224" t="s">
        <v>732</v>
      </c>
      <c r="L224">
        <v>18.16</v>
      </c>
      <c r="M224">
        <v>5</v>
      </c>
      <c r="N224" t="str">
        <f>IF(Walmart[[#This Row],[Quantity]]&gt;=7,"Bulk",IF(Walmart[[#This Row],[Quantity]]&gt;=2,"Multi","Single"))</f>
        <v>Multi</v>
      </c>
      <c r="O224">
        <v>6.58</v>
      </c>
      <c r="P224" t="str">
        <f>IF(Walmart[[#This Row],[Sales]]&gt;=1000,"High Value", IF(Walmart[[#This Row],[Sales]]&gt;=500,"Medium Value","Low Value"))</f>
        <v>Low Value</v>
      </c>
    </row>
    <row r="225" spans="1:16" hidden="1" x14ac:dyDescent="0.3">
      <c r="A225" t="s">
        <v>733</v>
      </c>
      <c r="B225" s="1">
        <v>41603</v>
      </c>
      <c r="C225" s="1" t="str">
        <f>TEXT(Walmart[[#This Row],[Order Date]],"mmmm")</f>
        <v>November</v>
      </c>
      <c r="D225" s="1">
        <v>41610</v>
      </c>
      <c r="E225" s="1" t="str">
        <f>IF(DATEDIF(Walmart[[#This Row],[Order Date]],Walmart[[#This Row],[Ship Date]],"D")&lt;7,"On time","Delayed")</f>
        <v>Delayed</v>
      </c>
      <c r="F225" t="s">
        <v>595</v>
      </c>
      <c r="G225" t="s">
        <v>14</v>
      </c>
      <c r="H225" t="s">
        <v>15</v>
      </c>
      <c r="I225" t="s">
        <v>16</v>
      </c>
      <c r="J225" t="s">
        <v>146</v>
      </c>
      <c r="K225" t="s">
        <v>734</v>
      </c>
      <c r="L225">
        <v>33.520000000000003</v>
      </c>
      <c r="M225">
        <v>2</v>
      </c>
      <c r="N225" t="str">
        <f>IF(Walmart[[#This Row],[Quantity]]&gt;=7,"Bulk",IF(Walmart[[#This Row],[Quantity]]&gt;=2,"Multi","Single"))</f>
        <v>Multi</v>
      </c>
      <c r="O225">
        <v>3.35</v>
      </c>
      <c r="P225" t="str">
        <f>IF(Walmart[[#This Row],[Sales]]&gt;=1000,"High Value", IF(Walmart[[#This Row],[Sales]]&gt;=500,"Medium Value","Low Value"))</f>
        <v>Low Value</v>
      </c>
    </row>
    <row r="226" spans="1:16" hidden="1" x14ac:dyDescent="0.3">
      <c r="A226" t="s">
        <v>735</v>
      </c>
      <c r="B226" s="1">
        <v>41122</v>
      </c>
      <c r="C226" s="1" t="str">
        <f>TEXT(Walmart[[#This Row],[Order Date]],"mmmm")</f>
        <v>August</v>
      </c>
      <c r="D226" s="1">
        <v>41128</v>
      </c>
      <c r="E226" s="1" t="str">
        <f>IF(DATEDIF(Walmart[[#This Row],[Order Date]],Walmart[[#This Row],[Ship Date]],"D")&lt;7,"On time","Delayed")</f>
        <v>On time</v>
      </c>
      <c r="F226" t="s">
        <v>736</v>
      </c>
      <c r="G226" t="s">
        <v>14</v>
      </c>
      <c r="H226" t="s">
        <v>15</v>
      </c>
      <c r="I226" t="s">
        <v>16</v>
      </c>
      <c r="J226" t="s">
        <v>38</v>
      </c>
      <c r="K226" t="s">
        <v>737</v>
      </c>
      <c r="L226">
        <v>6.72</v>
      </c>
      <c r="M226">
        <v>4</v>
      </c>
      <c r="N226" t="str">
        <f>IF(Walmart[[#This Row],[Quantity]]&gt;=7,"Bulk",IF(Walmart[[#This Row],[Quantity]]&gt;=2,"Multi","Single"))</f>
        <v>Multi</v>
      </c>
      <c r="O226">
        <v>3.36</v>
      </c>
      <c r="P226" t="str">
        <f>IF(Walmart[[#This Row],[Sales]]&gt;=1000,"High Value", IF(Walmart[[#This Row],[Sales]]&gt;=500,"Medium Value","Low Value"))</f>
        <v>Low Value</v>
      </c>
    </row>
    <row r="227" spans="1:16" x14ac:dyDescent="0.3">
      <c r="A227" t="s">
        <v>1265</v>
      </c>
      <c r="B227" s="1">
        <v>41977</v>
      </c>
      <c r="C227" s="1" t="str">
        <f>TEXT(Walmart[[#This Row],[Order Date]],"mmmm")</f>
        <v>December</v>
      </c>
      <c r="D227" s="1">
        <v>41977</v>
      </c>
      <c r="E227" s="1" t="str">
        <f>IF(DATEDIF(Walmart[[#This Row],[Order Date]],Walmart[[#This Row],[Ship Date]],"D")&lt;7,"On time","Delayed")</f>
        <v>On time</v>
      </c>
      <c r="F227" t="s">
        <v>1266</v>
      </c>
      <c r="G227" t="s">
        <v>14</v>
      </c>
      <c r="H227" t="s">
        <v>160</v>
      </c>
      <c r="I227" t="s">
        <v>16</v>
      </c>
      <c r="J227" t="s">
        <v>93</v>
      </c>
      <c r="K227" t="s">
        <v>1267</v>
      </c>
      <c r="L227">
        <v>166.44</v>
      </c>
      <c r="M227">
        <v>3</v>
      </c>
      <c r="N227" t="str">
        <f>IF(Walmart[[#This Row],[Quantity]]&gt;=7,"Bulk",IF(Walmart[[#This Row],[Quantity]]&gt;=2,"Multi","Single"))</f>
        <v>Multi</v>
      </c>
      <c r="O227">
        <v>79.89</v>
      </c>
      <c r="P227" t="str">
        <f>IF(Walmart[[#This Row],[Sales]]&gt;=1000,"High Value", IF(Walmart[[#This Row],[Sales]]&gt;=500,"Medium Value","Low Value"))</f>
        <v>Low Value</v>
      </c>
    </row>
    <row r="228" spans="1:16" x14ac:dyDescent="0.3">
      <c r="A228" t="s">
        <v>1943</v>
      </c>
      <c r="B228" s="1">
        <v>41977</v>
      </c>
      <c r="C228" s="1" t="str">
        <f>TEXT(Walmart[[#This Row],[Order Date]],"mmmm")</f>
        <v>December</v>
      </c>
      <c r="D228" s="1">
        <v>41981</v>
      </c>
      <c r="E228" s="1" t="str">
        <f>IF(DATEDIF(Walmart[[#This Row],[Order Date]],Walmart[[#This Row],[Ship Date]],"D")&lt;7,"On time","Delayed")</f>
        <v>On time</v>
      </c>
      <c r="F228" t="s">
        <v>726</v>
      </c>
      <c r="G228" t="s">
        <v>14</v>
      </c>
      <c r="H228" t="s">
        <v>25</v>
      </c>
      <c r="I228" t="s">
        <v>26</v>
      </c>
      <c r="J228" t="s">
        <v>43</v>
      </c>
      <c r="K228" t="s">
        <v>1944</v>
      </c>
      <c r="L228">
        <v>521.96</v>
      </c>
      <c r="M228">
        <v>2</v>
      </c>
      <c r="N228" t="str">
        <f>IF(Walmart[[#This Row],[Quantity]]&gt;=7,"Bulk",IF(Walmart[[#This Row],[Quantity]]&gt;=2,"Multi","Single"))</f>
        <v>Multi</v>
      </c>
      <c r="O228">
        <v>88.73</v>
      </c>
      <c r="P228" t="str">
        <f>IF(Walmart[[#This Row],[Sales]]&gt;=1000,"High Value", IF(Walmart[[#This Row],[Sales]]&gt;=500,"Medium Value","Low Value"))</f>
        <v>Medium Value</v>
      </c>
    </row>
    <row r="229" spans="1:16" x14ac:dyDescent="0.3">
      <c r="A229" t="s">
        <v>2987</v>
      </c>
      <c r="B229" s="1">
        <v>41977</v>
      </c>
      <c r="C229" s="1" t="str">
        <f>TEXT(Walmart[[#This Row],[Order Date]],"mmmm")</f>
        <v>December</v>
      </c>
      <c r="D229" s="1">
        <v>41980</v>
      </c>
      <c r="E229" s="1" t="str">
        <f>IF(DATEDIF(Walmart[[#This Row],[Order Date]],Walmart[[#This Row],[Ship Date]],"D")&lt;7,"On time","Delayed")</f>
        <v>On time</v>
      </c>
      <c r="F229" t="s">
        <v>75</v>
      </c>
      <c r="G229" t="s">
        <v>14</v>
      </c>
      <c r="H229" t="s">
        <v>1660</v>
      </c>
      <c r="I229" t="s">
        <v>77</v>
      </c>
      <c r="J229" t="s">
        <v>38</v>
      </c>
      <c r="K229" t="s">
        <v>2988</v>
      </c>
      <c r="L229">
        <v>13.34</v>
      </c>
      <c r="M229">
        <v>6</v>
      </c>
      <c r="N229" t="str">
        <f>IF(Walmart[[#This Row],[Quantity]]&gt;=7,"Bulk",IF(Walmart[[#This Row],[Quantity]]&gt;=2,"Multi","Single"))</f>
        <v>Multi</v>
      </c>
      <c r="O229">
        <v>1</v>
      </c>
      <c r="P229" t="str">
        <f>IF(Walmart[[#This Row],[Sales]]&gt;=1000,"High Value", IF(Walmart[[#This Row],[Sales]]&gt;=500,"Medium Value","Low Value"))</f>
        <v>Low Value</v>
      </c>
    </row>
    <row r="230" spans="1:16" hidden="1" x14ac:dyDescent="0.3">
      <c r="A230" t="s">
        <v>749</v>
      </c>
      <c r="B230" s="1">
        <v>40578</v>
      </c>
      <c r="C230" s="1" t="str">
        <f>TEXT(Walmart[[#This Row],[Order Date]],"mmmm")</f>
        <v>February</v>
      </c>
      <c r="D230" s="1">
        <v>40581</v>
      </c>
      <c r="E230" s="1" t="str">
        <f>IF(DATEDIF(Walmart[[#This Row],[Order Date]],Walmart[[#This Row],[Ship Date]],"D")&lt;7,"On time","Delayed")</f>
        <v>On time</v>
      </c>
      <c r="F230" t="s">
        <v>750</v>
      </c>
      <c r="G230" t="s">
        <v>14</v>
      </c>
      <c r="H230" t="s">
        <v>25</v>
      </c>
      <c r="I230" t="s">
        <v>26</v>
      </c>
      <c r="J230" t="s">
        <v>27</v>
      </c>
      <c r="K230" t="s">
        <v>196</v>
      </c>
      <c r="L230">
        <v>83.84</v>
      </c>
      <c r="M230">
        <v>2</v>
      </c>
      <c r="N230" t="str">
        <f>IF(Walmart[[#This Row],[Quantity]]&gt;=7,"Bulk",IF(Walmart[[#This Row],[Quantity]]&gt;=2,"Multi","Single"))</f>
        <v>Multi</v>
      </c>
      <c r="O230">
        <v>27.25</v>
      </c>
      <c r="P230" t="str">
        <f>IF(Walmart[[#This Row],[Sales]]&gt;=1000,"High Value", IF(Walmart[[#This Row],[Sales]]&gt;=500,"Medium Value","Low Value"))</f>
        <v>Low Value</v>
      </c>
    </row>
    <row r="231" spans="1:16" x14ac:dyDescent="0.3">
      <c r="A231" t="s">
        <v>860</v>
      </c>
      <c r="B231" s="1">
        <v>41976</v>
      </c>
      <c r="C231" s="1" t="str">
        <f>TEXT(Walmart[[#This Row],[Order Date]],"mmmm")</f>
        <v>December</v>
      </c>
      <c r="D231" s="1">
        <v>41979</v>
      </c>
      <c r="E231" s="1" t="str">
        <f>IF(DATEDIF(Walmart[[#This Row],[Order Date]],Walmart[[#This Row],[Ship Date]],"D")&lt;7,"On time","Delayed")</f>
        <v>On time</v>
      </c>
      <c r="F231" t="s">
        <v>752</v>
      </c>
      <c r="G231" t="s">
        <v>14</v>
      </c>
      <c r="H231" t="s">
        <v>37</v>
      </c>
      <c r="I231" t="s">
        <v>16</v>
      </c>
      <c r="J231" t="s">
        <v>33</v>
      </c>
      <c r="K231" t="s">
        <v>861</v>
      </c>
      <c r="L231">
        <v>559.62</v>
      </c>
      <c r="M231">
        <v>9</v>
      </c>
      <c r="N231" t="str">
        <f>IF(Walmart[[#This Row],[Quantity]]&gt;=7,"Bulk",IF(Walmart[[#This Row],[Quantity]]&gt;=2,"Multi","Single"))</f>
        <v>Bulk</v>
      </c>
      <c r="O231">
        <v>151.1</v>
      </c>
      <c r="P231" t="str">
        <f>IF(Walmart[[#This Row],[Sales]]&gt;=1000,"High Value", IF(Walmart[[#This Row],[Sales]]&gt;=500,"Medium Value","Low Value"))</f>
        <v>Medium Value</v>
      </c>
    </row>
    <row r="232" spans="1:16" hidden="1" x14ac:dyDescent="0.3">
      <c r="A232" t="s">
        <v>753</v>
      </c>
      <c r="B232" s="1">
        <v>41249</v>
      </c>
      <c r="C232" s="1" t="str">
        <f>TEXT(Walmart[[#This Row],[Order Date]],"mmmm")</f>
        <v>December</v>
      </c>
      <c r="D232" s="1">
        <v>41254</v>
      </c>
      <c r="E232" s="1" t="str">
        <f>IF(DATEDIF(Walmart[[#This Row],[Order Date]],Walmart[[#This Row],[Ship Date]],"D")&lt;7,"On time","Delayed")</f>
        <v>On time</v>
      </c>
      <c r="F232" t="s">
        <v>754</v>
      </c>
      <c r="G232" t="s">
        <v>14</v>
      </c>
      <c r="H232" t="s">
        <v>215</v>
      </c>
      <c r="I232" t="s">
        <v>58</v>
      </c>
      <c r="J232" t="s">
        <v>21</v>
      </c>
      <c r="K232" t="s">
        <v>755</v>
      </c>
      <c r="L232">
        <v>206.11</v>
      </c>
      <c r="M232">
        <v>6</v>
      </c>
      <c r="N232" t="str">
        <f>IF(Walmart[[#This Row],[Quantity]]&gt;=7,"Bulk",IF(Walmart[[#This Row],[Quantity]]&gt;=2,"Multi","Single"))</f>
        <v>Multi</v>
      </c>
      <c r="O232">
        <v>48.95</v>
      </c>
      <c r="P232" t="str">
        <f>IF(Walmart[[#This Row],[Sales]]&gt;=1000,"High Value", IF(Walmart[[#This Row],[Sales]]&gt;=500,"Medium Value","Low Value"))</f>
        <v>Low Value</v>
      </c>
    </row>
    <row r="233" spans="1:16" x14ac:dyDescent="0.3">
      <c r="A233" t="s">
        <v>1129</v>
      </c>
      <c r="B233" s="1">
        <v>41976</v>
      </c>
      <c r="C233" s="1" t="str">
        <f>TEXT(Walmart[[#This Row],[Order Date]],"mmmm")</f>
        <v>December</v>
      </c>
      <c r="D233" s="1">
        <v>41977</v>
      </c>
      <c r="E233" s="1" t="str">
        <f>IF(DATEDIF(Walmart[[#This Row],[Order Date]],Walmart[[#This Row],[Ship Date]],"D")&lt;7,"On time","Delayed")</f>
        <v>On time</v>
      </c>
      <c r="F233" t="s">
        <v>1130</v>
      </c>
      <c r="G233" t="s">
        <v>14</v>
      </c>
      <c r="H233" t="s">
        <v>15</v>
      </c>
      <c r="I233" t="s">
        <v>16</v>
      </c>
      <c r="J233" t="s">
        <v>27</v>
      </c>
      <c r="K233" t="s">
        <v>125</v>
      </c>
      <c r="L233">
        <v>9.02</v>
      </c>
      <c r="M233">
        <v>6</v>
      </c>
      <c r="N233" t="str">
        <f>IF(Walmart[[#This Row],[Quantity]]&gt;=7,"Bulk",IF(Walmart[[#This Row],[Quantity]]&gt;=2,"Multi","Single"))</f>
        <v>Multi</v>
      </c>
      <c r="O233">
        <v>3.16</v>
      </c>
      <c r="P233" t="str">
        <f>IF(Walmart[[#This Row],[Sales]]&gt;=1000,"High Value", IF(Walmart[[#This Row],[Sales]]&gt;=500,"Medium Value","Low Value"))</f>
        <v>Low Value</v>
      </c>
    </row>
    <row r="234" spans="1:16" x14ac:dyDescent="0.3">
      <c r="A234" t="s">
        <v>2504</v>
      </c>
      <c r="B234" s="1">
        <v>41976</v>
      </c>
      <c r="C234" s="1" t="str">
        <f>TEXT(Walmart[[#This Row],[Order Date]],"mmmm")</f>
        <v>December</v>
      </c>
      <c r="D234" s="1">
        <v>41980</v>
      </c>
      <c r="E234" s="1" t="str">
        <f>IF(DATEDIF(Walmart[[#This Row],[Order Date]],Walmart[[#This Row],[Ship Date]],"D")&lt;7,"On time","Delayed")</f>
        <v>On time</v>
      </c>
      <c r="F234" t="s">
        <v>2505</v>
      </c>
      <c r="G234" t="s">
        <v>14</v>
      </c>
      <c r="H234" t="s">
        <v>556</v>
      </c>
      <c r="I234" t="s">
        <v>16</v>
      </c>
      <c r="J234" t="s">
        <v>146</v>
      </c>
      <c r="K234" t="s">
        <v>2506</v>
      </c>
      <c r="L234">
        <v>39.99</v>
      </c>
      <c r="M234">
        <v>1</v>
      </c>
      <c r="N234" t="str">
        <f>IF(Walmart[[#This Row],[Quantity]]&gt;=7,"Bulk",IF(Walmart[[#This Row],[Quantity]]&gt;=2,"Multi","Single"))</f>
        <v>Single</v>
      </c>
      <c r="O234">
        <v>-8</v>
      </c>
      <c r="P234" t="str">
        <f>IF(Walmart[[#This Row],[Sales]]&gt;=1000,"High Value", IF(Walmart[[#This Row],[Sales]]&gt;=500,"Medium Value","Low Value"))</f>
        <v>Low Value</v>
      </c>
    </row>
    <row r="235" spans="1:16" hidden="1" x14ac:dyDescent="0.3">
      <c r="A235" t="s">
        <v>763</v>
      </c>
      <c r="B235" s="1">
        <v>40579</v>
      </c>
      <c r="C235" s="1" t="str">
        <f>TEXT(Walmart[[#This Row],[Order Date]],"mmmm")</f>
        <v>February</v>
      </c>
      <c r="D235" s="1">
        <v>40583</v>
      </c>
      <c r="E235" s="1" t="str">
        <f>IF(DATEDIF(Walmart[[#This Row],[Order Date]],Walmart[[#This Row],[Ship Date]],"D")&lt;7,"On time","Delayed")</f>
        <v>On time</v>
      </c>
      <c r="F235" t="s">
        <v>764</v>
      </c>
      <c r="G235" t="s">
        <v>14</v>
      </c>
      <c r="H235" t="s">
        <v>160</v>
      </c>
      <c r="I235" t="s">
        <v>16</v>
      </c>
      <c r="J235" t="s">
        <v>27</v>
      </c>
      <c r="K235" t="s">
        <v>765</v>
      </c>
      <c r="L235">
        <v>82.9</v>
      </c>
      <c r="M235">
        <v>3</v>
      </c>
      <c r="N235" t="str">
        <f>IF(Walmart[[#This Row],[Quantity]]&gt;=7,"Bulk",IF(Walmart[[#This Row],[Quantity]]&gt;=2,"Multi","Single"))</f>
        <v>Multi</v>
      </c>
      <c r="O235">
        <v>29.01</v>
      </c>
      <c r="P235" t="str">
        <f>IF(Walmart[[#This Row],[Sales]]&gt;=1000,"High Value", IF(Walmart[[#This Row],[Sales]]&gt;=500,"Medium Value","Low Value"))</f>
        <v>Low Value</v>
      </c>
    </row>
    <row r="236" spans="1:16" hidden="1" x14ac:dyDescent="0.3">
      <c r="A236" t="s">
        <v>766</v>
      </c>
      <c r="B236" s="1">
        <v>41443</v>
      </c>
      <c r="C236" s="1" t="str">
        <f>TEXT(Walmart[[#This Row],[Order Date]],"mmmm")</f>
        <v>June</v>
      </c>
      <c r="D236" s="1">
        <v>41448</v>
      </c>
      <c r="E236" s="1" t="str">
        <f>IF(DATEDIF(Walmart[[#This Row],[Order Date]],Walmart[[#This Row],[Ship Date]],"D")&lt;7,"On time","Delayed")</f>
        <v>On time</v>
      </c>
      <c r="F236" t="s">
        <v>767</v>
      </c>
      <c r="G236" t="s">
        <v>14</v>
      </c>
      <c r="H236" t="s">
        <v>160</v>
      </c>
      <c r="I236" t="s">
        <v>16</v>
      </c>
      <c r="J236" t="s">
        <v>93</v>
      </c>
      <c r="K236" t="s">
        <v>768</v>
      </c>
      <c r="L236">
        <v>111.96</v>
      </c>
      <c r="M236">
        <v>2</v>
      </c>
      <c r="N236" t="str">
        <f>IF(Walmart[[#This Row],[Quantity]]&gt;=7,"Bulk",IF(Walmart[[#This Row],[Quantity]]&gt;=2,"Multi","Single"))</f>
        <v>Multi</v>
      </c>
      <c r="O236">
        <v>54.86</v>
      </c>
      <c r="P236" t="str">
        <f>IF(Walmart[[#This Row],[Sales]]&gt;=1000,"High Value", IF(Walmart[[#This Row],[Sales]]&gt;=500,"Medium Value","Low Value"))</f>
        <v>Low Value</v>
      </c>
    </row>
    <row r="237" spans="1:16" hidden="1" x14ac:dyDescent="0.3">
      <c r="A237" t="s">
        <v>769</v>
      </c>
      <c r="B237" s="1">
        <v>40945</v>
      </c>
      <c r="C237" s="1" t="str">
        <f>TEXT(Walmart[[#This Row],[Order Date]],"mmmm")</f>
        <v>February</v>
      </c>
      <c r="D237" s="1">
        <v>40952</v>
      </c>
      <c r="E237" s="1" t="str">
        <f>IF(DATEDIF(Walmart[[#This Row],[Order Date]],Walmart[[#This Row],[Ship Date]],"D")&lt;7,"On time","Delayed")</f>
        <v>Delayed</v>
      </c>
      <c r="F237" t="s">
        <v>752</v>
      </c>
      <c r="G237" t="s">
        <v>14</v>
      </c>
      <c r="H237" t="s">
        <v>770</v>
      </c>
      <c r="I237" t="s">
        <v>26</v>
      </c>
      <c r="J237" t="s">
        <v>38</v>
      </c>
      <c r="K237" t="s">
        <v>771</v>
      </c>
      <c r="L237">
        <v>5.28</v>
      </c>
      <c r="M237">
        <v>3</v>
      </c>
      <c r="N237" t="str">
        <f>IF(Walmart[[#This Row],[Quantity]]&gt;=7,"Bulk",IF(Walmart[[#This Row],[Quantity]]&gt;=2,"Multi","Single"))</f>
        <v>Multi</v>
      </c>
      <c r="O237">
        <v>1.53</v>
      </c>
      <c r="P237" t="str">
        <f>IF(Walmart[[#This Row],[Sales]]&gt;=1000,"High Value", IF(Walmart[[#This Row],[Sales]]&gt;=500,"Medium Value","Low Value"))</f>
        <v>Low Value</v>
      </c>
    </row>
    <row r="238" spans="1:16" hidden="1" x14ac:dyDescent="0.3">
      <c r="A238" t="s">
        <v>772</v>
      </c>
      <c r="B238" s="1">
        <v>40984</v>
      </c>
      <c r="C238" s="1" t="str">
        <f>TEXT(Walmart[[#This Row],[Order Date]],"mmmm")</f>
        <v>March</v>
      </c>
      <c r="D238" s="1">
        <v>40986</v>
      </c>
      <c r="E238" s="1" t="str">
        <f>IF(DATEDIF(Walmart[[#This Row],[Order Date]],Walmart[[#This Row],[Ship Date]],"D")&lt;7,"On time","Delayed")</f>
        <v>On time</v>
      </c>
      <c r="F238" t="s">
        <v>773</v>
      </c>
      <c r="G238" t="s">
        <v>14</v>
      </c>
      <c r="H238" t="s">
        <v>25</v>
      </c>
      <c r="I238" t="s">
        <v>26</v>
      </c>
      <c r="J238" t="s">
        <v>43</v>
      </c>
      <c r="K238" t="s">
        <v>774</v>
      </c>
      <c r="L238">
        <v>171.96</v>
      </c>
      <c r="M238">
        <v>2</v>
      </c>
      <c r="N238" t="str">
        <f>IF(Walmart[[#This Row],[Quantity]]&gt;=7,"Bulk",IF(Walmart[[#This Row],[Quantity]]&gt;=2,"Multi","Single"))</f>
        <v>Multi</v>
      </c>
      <c r="O238">
        <v>44.71</v>
      </c>
      <c r="P238" t="str">
        <f>IF(Walmart[[#This Row],[Sales]]&gt;=1000,"High Value", IF(Walmart[[#This Row],[Sales]]&gt;=500,"Medium Value","Low Value"))</f>
        <v>Low Value</v>
      </c>
    </row>
    <row r="239" spans="1:16" hidden="1" x14ac:dyDescent="0.3">
      <c r="A239" t="s">
        <v>775</v>
      </c>
      <c r="B239" s="1">
        <v>41374</v>
      </c>
      <c r="C239" s="1" t="str">
        <f>TEXT(Walmart[[#This Row],[Order Date]],"mmmm")</f>
        <v>April</v>
      </c>
      <c r="D239" s="1">
        <v>41378</v>
      </c>
      <c r="E239" s="1" t="str">
        <f>IF(DATEDIF(Walmart[[#This Row],[Order Date]],Walmart[[#This Row],[Ship Date]],"D")&lt;7,"On time","Delayed")</f>
        <v>On time</v>
      </c>
      <c r="F239" t="s">
        <v>776</v>
      </c>
      <c r="G239" t="s">
        <v>14</v>
      </c>
      <c r="H239" t="s">
        <v>25</v>
      </c>
      <c r="I239" t="s">
        <v>26</v>
      </c>
      <c r="J239" t="s">
        <v>27</v>
      </c>
      <c r="K239" t="s">
        <v>777</v>
      </c>
      <c r="L239">
        <v>35.35</v>
      </c>
      <c r="M239">
        <v>9</v>
      </c>
      <c r="N239" t="str">
        <f>IF(Walmart[[#This Row],[Quantity]]&gt;=7,"Bulk",IF(Walmart[[#This Row],[Quantity]]&gt;=2,"Multi","Single"))</f>
        <v>Bulk</v>
      </c>
      <c r="O239">
        <v>12.82</v>
      </c>
      <c r="P239" t="str">
        <f>IF(Walmart[[#This Row],[Sales]]&gt;=1000,"High Value", IF(Walmart[[#This Row],[Sales]]&gt;=500,"Medium Value","Low Value"))</f>
        <v>Low Value</v>
      </c>
    </row>
    <row r="240" spans="1:16" hidden="1" x14ac:dyDescent="0.3">
      <c r="A240" t="s">
        <v>778</v>
      </c>
      <c r="B240" s="1">
        <v>40637</v>
      </c>
      <c r="C240" s="1" t="str">
        <f>TEXT(Walmart[[#This Row],[Order Date]],"mmmm")</f>
        <v>April</v>
      </c>
      <c r="D240" s="1">
        <v>40642</v>
      </c>
      <c r="E240" s="1" t="str">
        <f>IF(DATEDIF(Walmart[[#This Row],[Order Date]],Walmart[[#This Row],[Ship Date]],"D")&lt;7,"On time","Delayed")</f>
        <v>On time</v>
      </c>
      <c r="F240" t="s">
        <v>779</v>
      </c>
      <c r="G240" t="s">
        <v>14</v>
      </c>
      <c r="H240" t="s">
        <v>37</v>
      </c>
      <c r="I240" t="s">
        <v>16</v>
      </c>
      <c r="J240" t="s">
        <v>17</v>
      </c>
      <c r="K240" t="s">
        <v>780</v>
      </c>
      <c r="L240">
        <v>18.899999999999999</v>
      </c>
      <c r="M240">
        <v>6</v>
      </c>
      <c r="N240" t="str">
        <f>IF(Walmart[[#This Row],[Quantity]]&gt;=7,"Bulk",IF(Walmart[[#This Row],[Quantity]]&gt;=2,"Multi","Single"))</f>
        <v>Multi</v>
      </c>
      <c r="O240">
        <v>9.07</v>
      </c>
      <c r="P240" t="str">
        <f>IF(Walmart[[#This Row],[Sales]]&gt;=1000,"High Value", IF(Walmart[[#This Row],[Sales]]&gt;=500,"Medium Value","Low Value"))</f>
        <v>Low Value</v>
      </c>
    </row>
    <row r="241" spans="1:16" x14ac:dyDescent="0.3">
      <c r="A241" t="s">
        <v>2891</v>
      </c>
      <c r="B241" s="1">
        <v>41976</v>
      </c>
      <c r="C241" s="1" t="str">
        <f>TEXT(Walmart[[#This Row],[Order Date]],"mmmm")</f>
        <v>December</v>
      </c>
      <c r="D241" s="1">
        <v>41980</v>
      </c>
      <c r="E241" s="1" t="str">
        <f>IF(DATEDIF(Walmart[[#This Row],[Order Date]],Walmart[[#This Row],[Ship Date]],"D")&lt;7,"On time","Delayed")</f>
        <v>On time</v>
      </c>
      <c r="F241" t="s">
        <v>1919</v>
      </c>
      <c r="G241" t="s">
        <v>14</v>
      </c>
      <c r="H241" t="s">
        <v>141</v>
      </c>
      <c r="I241" t="s">
        <v>77</v>
      </c>
      <c r="J241" t="s">
        <v>33</v>
      </c>
      <c r="K241" t="s">
        <v>620</v>
      </c>
      <c r="L241">
        <v>114.29</v>
      </c>
      <c r="M241">
        <v>1</v>
      </c>
      <c r="N241" t="str">
        <f>IF(Walmart[[#This Row],[Quantity]]&gt;=7,"Bulk",IF(Walmart[[#This Row],[Quantity]]&gt;=2,"Multi","Single"))</f>
        <v>Single</v>
      </c>
      <c r="O241">
        <v>12.86</v>
      </c>
      <c r="P241" t="str">
        <f>IF(Walmart[[#This Row],[Sales]]&gt;=1000,"High Value", IF(Walmart[[#This Row],[Sales]]&gt;=500,"Medium Value","Low Value"))</f>
        <v>Low Value</v>
      </c>
    </row>
    <row r="242" spans="1:16" hidden="1" x14ac:dyDescent="0.3">
      <c r="A242" t="s">
        <v>783</v>
      </c>
      <c r="B242" s="1">
        <v>40987</v>
      </c>
      <c r="C242" s="1" t="str">
        <f>TEXT(Walmart[[#This Row],[Order Date]],"mmmm")</f>
        <v>March</v>
      </c>
      <c r="D242" s="1">
        <v>40993</v>
      </c>
      <c r="E242" s="1" t="str">
        <f>IF(DATEDIF(Walmart[[#This Row],[Order Date]],Walmart[[#This Row],[Ship Date]],"D")&lt;7,"On time","Delayed")</f>
        <v>On time</v>
      </c>
      <c r="F242" t="s">
        <v>784</v>
      </c>
      <c r="G242" t="s">
        <v>14</v>
      </c>
      <c r="H242" t="s">
        <v>25</v>
      </c>
      <c r="I242" t="s">
        <v>26</v>
      </c>
      <c r="J242" t="s">
        <v>146</v>
      </c>
      <c r="K242" t="s">
        <v>785</v>
      </c>
      <c r="L242">
        <v>453.58</v>
      </c>
      <c r="M242">
        <v>3</v>
      </c>
      <c r="N242" t="str">
        <f>IF(Walmart[[#This Row],[Quantity]]&gt;=7,"Bulk",IF(Walmart[[#This Row],[Quantity]]&gt;=2,"Multi","Single"))</f>
        <v>Multi</v>
      </c>
      <c r="O242">
        <v>39.69</v>
      </c>
      <c r="P242" t="str">
        <f>IF(Walmart[[#This Row],[Sales]]&gt;=1000,"High Value", IF(Walmart[[#This Row],[Sales]]&gt;=500,"Medium Value","Low Value"))</f>
        <v>Low Value</v>
      </c>
    </row>
    <row r="243" spans="1:16" x14ac:dyDescent="0.3">
      <c r="A243" t="s">
        <v>3181</v>
      </c>
      <c r="B243" s="1">
        <v>41976</v>
      </c>
      <c r="C243" s="1" t="str">
        <f>TEXT(Walmart[[#This Row],[Order Date]],"mmmm")</f>
        <v>December</v>
      </c>
      <c r="D243" s="1">
        <v>41976</v>
      </c>
      <c r="E243" s="1" t="str">
        <f>IF(DATEDIF(Walmart[[#This Row],[Order Date]],Walmart[[#This Row],[Ship Date]],"D")&lt;7,"On time","Delayed")</f>
        <v>On time</v>
      </c>
      <c r="F243" t="s">
        <v>2414</v>
      </c>
      <c r="G243" t="s">
        <v>14</v>
      </c>
      <c r="H243" t="s">
        <v>985</v>
      </c>
      <c r="I243" t="s">
        <v>58</v>
      </c>
      <c r="J243" t="s">
        <v>27</v>
      </c>
      <c r="K243" t="s">
        <v>279</v>
      </c>
      <c r="L243">
        <v>67.86</v>
      </c>
      <c r="M243">
        <v>6</v>
      </c>
      <c r="N243" t="str">
        <f>IF(Walmart[[#This Row],[Quantity]]&gt;=7,"Bulk",IF(Walmart[[#This Row],[Quantity]]&gt;=2,"Multi","Single"))</f>
        <v>Multi</v>
      </c>
      <c r="O243">
        <v>-45.24</v>
      </c>
      <c r="P243" t="str">
        <f>IF(Walmart[[#This Row],[Sales]]&gt;=1000,"High Value", IF(Walmart[[#This Row],[Sales]]&gt;=500,"Medium Value","Low Value"))</f>
        <v>Low Value</v>
      </c>
    </row>
    <row r="244" spans="1:16" hidden="1" x14ac:dyDescent="0.3">
      <c r="A244" t="s">
        <v>788</v>
      </c>
      <c r="B244" s="1">
        <v>40870</v>
      </c>
      <c r="C244" s="1" t="str">
        <f>TEXT(Walmart[[#This Row],[Order Date]],"mmmm")</f>
        <v>November</v>
      </c>
      <c r="D244" s="1">
        <v>40872</v>
      </c>
      <c r="E244" s="1" t="str">
        <f>IF(DATEDIF(Walmart[[#This Row],[Order Date]],Walmart[[#This Row],[Ship Date]],"D")&lt;7,"On time","Delayed")</f>
        <v>On time</v>
      </c>
      <c r="F244" t="s">
        <v>250</v>
      </c>
      <c r="G244" t="s">
        <v>14</v>
      </c>
      <c r="H244" t="s">
        <v>15</v>
      </c>
      <c r="I244" t="s">
        <v>16</v>
      </c>
      <c r="J244" t="s">
        <v>88</v>
      </c>
      <c r="K244" t="s">
        <v>789</v>
      </c>
      <c r="L244">
        <v>603.91999999999996</v>
      </c>
      <c r="M244">
        <v>5</v>
      </c>
      <c r="N244" t="str">
        <f>IF(Walmart[[#This Row],[Quantity]]&gt;=7,"Bulk",IF(Walmart[[#This Row],[Quantity]]&gt;=2,"Multi","Single"))</f>
        <v>Multi</v>
      </c>
      <c r="O244">
        <v>-67.94</v>
      </c>
      <c r="P244" t="str">
        <f>IF(Walmart[[#This Row],[Sales]]&gt;=1000,"High Value", IF(Walmart[[#This Row],[Sales]]&gt;=500,"Medium Value","Low Value"))</f>
        <v>Medium Value</v>
      </c>
    </row>
    <row r="245" spans="1:16" hidden="1" x14ac:dyDescent="0.3">
      <c r="A245" t="s">
        <v>790</v>
      </c>
      <c r="B245" s="1">
        <v>41083</v>
      </c>
      <c r="C245" s="1" t="str">
        <f>TEXT(Walmart[[#This Row],[Order Date]],"mmmm")</f>
        <v>June</v>
      </c>
      <c r="D245" s="1">
        <v>41085</v>
      </c>
      <c r="E245" s="1" t="str">
        <f>IF(DATEDIF(Walmart[[#This Row],[Order Date]],Walmart[[#This Row],[Ship Date]],"D")&lt;7,"On time","Delayed")</f>
        <v>On time</v>
      </c>
      <c r="F245" t="s">
        <v>791</v>
      </c>
      <c r="G245" t="s">
        <v>14</v>
      </c>
      <c r="H245" t="s">
        <v>521</v>
      </c>
      <c r="I245" t="s">
        <v>26</v>
      </c>
      <c r="J245" t="s">
        <v>146</v>
      </c>
      <c r="K245" t="s">
        <v>792</v>
      </c>
      <c r="L245">
        <v>201.57</v>
      </c>
      <c r="M245">
        <v>4</v>
      </c>
      <c r="N245" t="str">
        <f>IF(Walmart[[#This Row],[Quantity]]&gt;=7,"Bulk",IF(Walmart[[#This Row],[Quantity]]&gt;=2,"Multi","Single"))</f>
        <v>Multi</v>
      </c>
      <c r="O245">
        <v>22.68</v>
      </c>
      <c r="P245" t="str">
        <f>IF(Walmart[[#This Row],[Sales]]&gt;=1000,"High Value", IF(Walmart[[#This Row],[Sales]]&gt;=500,"Medium Value","Low Value"))</f>
        <v>Low Value</v>
      </c>
    </row>
    <row r="246" spans="1:16" hidden="1" x14ac:dyDescent="0.3">
      <c r="A246" t="s">
        <v>793</v>
      </c>
      <c r="B246" s="1">
        <v>40835</v>
      </c>
      <c r="C246" s="1" t="str">
        <f>TEXT(Walmart[[#This Row],[Order Date]],"mmmm")</f>
        <v>October</v>
      </c>
      <c r="D246" s="1">
        <v>40835</v>
      </c>
      <c r="E246" s="1" t="str">
        <f>IF(DATEDIF(Walmart[[#This Row],[Order Date]],Walmart[[#This Row],[Ship Date]],"D")&lt;7,"On time","Delayed")</f>
        <v>On time</v>
      </c>
      <c r="F246" t="s">
        <v>318</v>
      </c>
      <c r="G246" t="s">
        <v>14</v>
      </c>
      <c r="H246" t="s">
        <v>15</v>
      </c>
      <c r="I246" t="s">
        <v>16</v>
      </c>
      <c r="J246" t="s">
        <v>93</v>
      </c>
      <c r="K246" t="s">
        <v>794</v>
      </c>
      <c r="L246">
        <v>13.44</v>
      </c>
      <c r="M246">
        <v>3</v>
      </c>
      <c r="N246" t="str">
        <f>IF(Walmart[[#This Row],[Quantity]]&gt;=7,"Bulk",IF(Walmart[[#This Row],[Quantity]]&gt;=2,"Multi","Single"))</f>
        <v>Multi</v>
      </c>
      <c r="O246">
        <v>6.59</v>
      </c>
      <c r="P246" t="str">
        <f>IF(Walmart[[#This Row],[Sales]]&gt;=1000,"High Value", IF(Walmart[[#This Row],[Sales]]&gt;=500,"Medium Value","Low Value"))</f>
        <v>Low Value</v>
      </c>
    </row>
    <row r="247" spans="1:16" hidden="1" x14ac:dyDescent="0.3">
      <c r="A247" t="s">
        <v>795</v>
      </c>
      <c r="B247" s="1">
        <v>41384</v>
      </c>
      <c r="C247" s="1" t="str">
        <f>TEXT(Walmart[[#This Row],[Order Date]],"mmmm")</f>
        <v>April</v>
      </c>
      <c r="D247" s="1">
        <v>41389</v>
      </c>
      <c r="E247" s="1" t="str">
        <f>IF(DATEDIF(Walmart[[#This Row],[Order Date]],Walmart[[#This Row],[Ship Date]],"D")&lt;7,"On time","Delayed")</f>
        <v>On time</v>
      </c>
      <c r="F247" t="s">
        <v>176</v>
      </c>
      <c r="G247" t="s">
        <v>14</v>
      </c>
      <c r="H247" t="s">
        <v>15</v>
      </c>
      <c r="I247" t="s">
        <v>16</v>
      </c>
      <c r="J247" t="s">
        <v>146</v>
      </c>
      <c r="K247" t="s">
        <v>796</v>
      </c>
      <c r="L247">
        <v>39.96</v>
      </c>
      <c r="M247">
        <v>5</v>
      </c>
      <c r="N247" t="str">
        <f>IF(Walmart[[#This Row],[Quantity]]&gt;=7,"Bulk",IF(Walmart[[#This Row],[Quantity]]&gt;=2,"Multi","Single"))</f>
        <v>Multi</v>
      </c>
      <c r="O247">
        <v>12.99</v>
      </c>
      <c r="P247" t="str">
        <f>IF(Walmart[[#This Row],[Sales]]&gt;=1000,"High Value", IF(Walmart[[#This Row],[Sales]]&gt;=500,"Medium Value","Low Value"))</f>
        <v>Low Value</v>
      </c>
    </row>
    <row r="248" spans="1:16" hidden="1" x14ac:dyDescent="0.3">
      <c r="A248" t="s">
        <v>797</v>
      </c>
      <c r="B248" s="1">
        <v>40689</v>
      </c>
      <c r="C248" s="1" t="str">
        <f>TEXT(Walmart[[#This Row],[Order Date]],"mmmm")</f>
        <v>May</v>
      </c>
      <c r="D248" s="1">
        <v>40693</v>
      </c>
      <c r="E248" s="1" t="str">
        <f>IF(DATEDIF(Walmart[[#This Row],[Order Date]],Walmart[[#This Row],[Ship Date]],"D")&lt;7,"On time","Delayed")</f>
        <v>On time</v>
      </c>
      <c r="F248" t="s">
        <v>798</v>
      </c>
      <c r="G248" t="s">
        <v>14</v>
      </c>
      <c r="H248" t="s">
        <v>15</v>
      </c>
      <c r="I248" t="s">
        <v>16</v>
      </c>
      <c r="J248" t="s">
        <v>671</v>
      </c>
      <c r="K248" t="s">
        <v>799</v>
      </c>
      <c r="L248">
        <v>290.67</v>
      </c>
      <c r="M248">
        <v>2</v>
      </c>
      <c r="N248" t="str">
        <f>IF(Walmart[[#This Row],[Quantity]]&gt;=7,"Bulk",IF(Walmart[[#This Row],[Quantity]]&gt;=2,"Multi","Single"))</f>
        <v>Multi</v>
      </c>
      <c r="O248">
        <v>27.36</v>
      </c>
      <c r="P248" t="str">
        <f>IF(Walmart[[#This Row],[Sales]]&gt;=1000,"High Value", IF(Walmart[[#This Row],[Sales]]&gt;=500,"Medium Value","Low Value"))</f>
        <v>Low Value</v>
      </c>
    </row>
    <row r="249" spans="1:16" x14ac:dyDescent="0.3">
      <c r="A249" t="s">
        <v>336</v>
      </c>
      <c r="B249" s="1">
        <v>41975</v>
      </c>
      <c r="C249" s="1" t="str">
        <f>TEXT(Walmart[[#This Row],[Order Date]],"mmmm")</f>
        <v>December</v>
      </c>
      <c r="D249" s="1">
        <v>41979</v>
      </c>
      <c r="E249" s="1" t="str">
        <f>IF(DATEDIF(Walmart[[#This Row],[Order Date]],Walmart[[#This Row],[Ship Date]],"D")&lt;7,"On time","Delayed")</f>
        <v>On time</v>
      </c>
      <c r="F249" t="s">
        <v>337</v>
      </c>
      <c r="G249" t="s">
        <v>14</v>
      </c>
      <c r="H249" t="s">
        <v>141</v>
      </c>
      <c r="I249" t="s">
        <v>77</v>
      </c>
      <c r="J249" t="s">
        <v>146</v>
      </c>
      <c r="K249" t="s">
        <v>338</v>
      </c>
      <c r="L249">
        <v>470.38</v>
      </c>
      <c r="M249">
        <v>3</v>
      </c>
      <c r="N249" t="str">
        <f>IF(Walmart[[#This Row],[Quantity]]&gt;=7,"Bulk",IF(Walmart[[#This Row],[Quantity]]&gt;=2,"Multi","Single"))</f>
        <v>Multi</v>
      </c>
      <c r="O249">
        <v>52.92</v>
      </c>
      <c r="P249" t="str">
        <f>IF(Walmart[[#This Row],[Sales]]&gt;=1000,"High Value", IF(Walmart[[#This Row],[Sales]]&gt;=500,"Medium Value","Low Value"))</f>
        <v>Low Value</v>
      </c>
    </row>
    <row r="250" spans="1:16" x14ac:dyDescent="0.3">
      <c r="A250" t="s">
        <v>1584</v>
      </c>
      <c r="B250" s="1">
        <v>41975</v>
      </c>
      <c r="C250" s="1" t="str">
        <f>TEXT(Walmart[[#This Row],[Order Date]],"mmmm")</f>
        <v>December</v>
      </c>
      <c r="D250" s="1">
        <v>41979</v>
      </c>
      <c r="E250" s="1" t="str">
        <f>IF(DATEDIF(Walmart[[#This Row],[Order Date]],Walmart[[#This Row],[Ship Date]],"D")&lt;7,"On time","Delayed")</f>
        <v>On time</v>
      </c>
      <c r="F250" t="s">
        <v>208</v>
      </c>
      <c r="G250" t="s">
        <v>14</v>
      </c>
      <c r="H250" t="s">
        <v>15</v>
      </c>
      <c r="I250" t="s">
        <v>16</v>
      </c>
      <c r="J250" t="s">
        <v>93</v>
      </c>
      <c r="K250" t="s">
        <v>1585</v>
      </c>
      <c r="L250">
        <v>45.36</v>
      </c>
      <c r="M250">
        <v>7</v>
      </c>
      <c r="N250" t="str">
        <f>IF(Walmart[[#This Row],[Quantity]]&gt;=7,"Bulk",IF(Walmart[[#This Row],[Quantity]]&gt;=2,"Multi","Single"))</f>
        <v>Bulk</v>
      </c>
      <c r="O250">
        <v>21.77</v>
      </c>
      <c r="P250" t="str">
        <f>IF(Walmart[[#This Row],[Sales]]&gt;=1000,"High Value", IF(Walmart[[#This Row],[Sales]]&gt;=500,"Medium Value","Low Value"))</f>
        <v>Low Value</v>
      </c>
    </row>
    <row r="251" spans="1:16" hidden="1" x14ac:dyDescent="0.3">
      <c r="A251" t="s">
        <v>806</v>
      </c>
      <c r="B251" s="1">
        <v>41262</v>
      </c>
      <c r="C251" s="1" t="str">
        <f>TEXT(Walmart[[#This Row],[Order Date]],"mmmm")</f>
        <v>December</v>
      </c>
      <c r="D251" s="1">
        <v>41267</v>
      </c>
      <c r="E251" s="1" t="str">
        <f>IF(DATEDIF(Walmart[[#This Row],[Order Date]],Walmart[[#This Row],[Ship Date]],"D")&lt;7,"On time","Delayed")</f>
        <v>On time</v>
      </c>
      <c r="F251" t="s">
        <v>807</v>
      </c>
      <c r="G251" t="s">
        <v>14</v>
      </c>
      <c r="H251" t="s">
        <v>15</v>
      </c>
      <c r="I251" t="s">
        <v>16</v>
      </c>
      <c r="J251" t="s">
        <v>146</v>
      </c>
      <c r="K251" t="s">
        <v>808</v>
      </c>
      <c r="L251">
        <v>675.96</v>
      </c>
      <c r="M251">
        <v>5</v>
      </c>
      <c r="N251" t="str">
        <f>IF(Walmart[[#This Row],[Quantity]]&gt;=7,"Bulk",IF(Walmart[[#This Row],[Quantity]]&gt;=2,"Multi","Single"))</f>
        <v>Multi</v>
      </c>
      <c r="O251">
        <v>84.5</v>
      </c>
      <c r="P251" t="str">
        <f>IF(Walmart[[#This Row],[Sales]]&gt;=1000,"High Value", IF(Walmart[[#This Row],[Sales]]&gt;=500,"Medium Value","Low Value"))</f>
        <v>Medium Value</v>
      </c>
    </row>
    <row r="252" spans="1:16" hidden="1" x14ac:dyDescent="0.3">
      <c r="A252" t="s">
        <v>809</v>
      </c>
      <c r="B252" s="1">
        <v>40873</v>
      </c>
      <c r="C252" s="1" t="str">
        <f>TEXT(Walmart[[#This Row],[Order Date]],"mmmm")</f>
        <v>November</v>
      </c>
      <c r="D252" s="1">
        <v>40879</v>
      </c>
      <c r="E252" s="1" t="str">
        <f>IF(DATEDIF(Walmart[[#This Row],[Order Date]],Walmart[[#This Row],[Ship Date]],"D")&lt;7,"On time","Delayed")</f>
        <v>On time</v>
      </c>
      <c r="F252" t="s">
        <v>810</v>
      </c>
      <c r="G252" t="s">
        <v>14</v>
      </c>
      <c r="H252" t="s">
        <v>811</v>
      </c>
      <c r="I252" t="s">
        <v>69</v>
      </c>
      <c r="J252" t="s">
        <v>93</v>
      </c>
      <c r="K252" t="s">
        <v>812</v>
      </c>
      <c r="L252">
        <v>15.55</v>
      </c>
      <c r="M252">
        <v>3</v>
      </c>
      <c r="N252" t="str">
        <f>IF(Walmart[[#This Row],[Quantity]]&gt;=7,"Bulk",IF(Walmart[[#This Row],[Quantity]]&gt;=2,"Multi","Single"))</f>
        <v>Multi</v>
      </c>
      <c r="O252">
        <v>5.44</v>
      </c>
      <c r="P252" t="str">
        <f>IF(Walmart[[#This Row],[Sales]]&gt;=1000,"High Value", IF(Walmart[[#This Row],[Sales]]&gt;=500,"Medium Value","Low Value"))</f>
        <v>Low Value</v>
      </c>
    </row>
    <row r="253" spans="1:16" hidden="1" x14ac:dyDescent="0.3">
      <c r="A253" t="s">
        <v>813</v>
      </c>
      <c r="B253" s="1">
        <v>40987</v>
      </c>
      <c r="C253" s="1" t="str">
        <f>TEXT(Walmart[[#This Row],[Order Date]],"mmmm")</f>
        <v>March</v>
      </c>
      <c r="D253" s="1">
        <v>40988</v>
      </c>
      <c r="E253" s="1" t="str">
        <f>IF(DATEDIF(Walmart[[#This Row],[Order Date]],Walmart[[#This Row],[Ship Date]],"D")&lt;7,"On time","Delayed")</f>
        <v>On time</v>
      </c>
      <c r="F253" t="s">
        <v>814</v>
      </c>
      <c r="G253" t="s">
        <v>14</v>
      </c>
      <c r="H253" t="s">
        <v>25</v>
      </c>
      <c r="I253" t="s">
        <v>26</v>
      </c>
      <c r="J253" t="s">
        <v>33</v>
      </c>
      <c r="K253" t="s">
        <v>815</v>
      </c>
      <c r="L253">
        <v>1247.6400000000001</v>
      </c>
      <c r="M253">
        <v>3</v>
      </c>
      <c r="N253" t="str">
        <f>IF(Walmart[[#This Row],[Quantity]]&gt;=7,"Bulk",IF(Walmart[[#This Row],[Quantity]]&gt;=2,"Multi","Single"))</f>
        <v>Multi</v>
      </c>
      <c r="O253">
        <v>349.34</v>
      </c>
      <c r="P253" t="str">
        <f>IF(Walmart[[#This Row],[Sales]]&gt;=1000,"High Value", IF(Walmart[[#This Row],[Sales]]&gt;=500,"Medium Value","Low Value"))</f>
        <v>High Value</v>
      </c>
    </row>
    <row r="254" spans="1:16" hidden="1" x14ac:dyDescent="0.3">
      <c r="A254" t="s">
        <v>816</v>
      </c>
      <c r="B254" s="1">
        <v>40784</v>
      </c>
      <c r="C254" s="1" t="str">
        <f>TEXT(Walmart[[#This Row],[Order Date]],"mmmm")</f>
        <v>August</v>
      </c>
      <c r="D254" s="1">
        <v>40784</v>
      </c>
      <c r="E254" s="1" t="str">
        <f>IF(DATEDIF(Walmart[[#This Row],[Order Date]],Walmart[[#This Row],[Ship Date]],"D")&lt;7,"On time","Delayed")</f>
        <v>On time</v>
      </c>
      <c r="F254" t="s">
        <v>817</v>
      </c>
      <c r="G254" t="s">
        <v>14</v>
      </c>
      <c r="H254" t="s">
        <v>37</v>
      </c>
      <c r="I254" t="s">
        <v>16</v>
      </c>
      <c r="J254" t="s">
        <v>93</v>
      </c>
      <c r="K254" t="s">
        <v>818</v>
      </c>
      <c r="L254">
        <v>109.92</v>
      </c>
      <c r="M254">
        <v>2</v>
      </c>
      <c r="N254" t="str">
        <f>IF(Walmart[[#This Row],[Quantity]]&gt;=7,"Bulk",IF(Walmart[[#This Row],[Quantity]]&gt;=2,"Multi","Single"))</f>
        <v>Multi</v>
      </c>
      <c r="O254">
        <v>53.86</v>
      </c>
      <c r="P254" t="str">
        <f>IF(Walmart[[#This Row],[Sales]]&gt;=1000,"High Value", IF(Walmart[[#This Row],[Sales]]&gt;=500,"Medium Value","Low Value"))</f>
        <v>Low Value</v>
      </c>
    </row>
    <row r="255" spans="1:16" x14ac:dyDescent="0.3">
      <c r="A255" t="s">
        <v>2762</v>
      </c>
      <c r="B255" s="1">
        <v>41975</v>
      </c>
      <c r="C255" s="1" t="str">
        <f>TEXT(Walmart[[#This Row],[Order Date]],"mmmm")</f>
        <v>December</v>
      </c>
      <c r="D255" s="1">
        <v>41982</v>
      </c>
      <c r="E255" s="1" t="str">
        <f>IF(DATEDIF(Walmart[[#This Row],[Order Date]],Walmart[[#This Row],[Ship Date]],"D")&lt;7,"On time","Delayed")</f>
        <v>Delayed</v>
      </c>
      <c r="F255" t="s">
        <v>2718</v>
      </c>
      <c r="G255" t="s">
        <v>14</v>
      </c>
      <c r="H255" t="s">
        <v>25</v>
      </c>
      <c r="I255" t="s">
        <v>26</v>
      </c>
      <c r="J255" t="s">
        <v>93</v>
      </c>
      <c r="K255" t="s">
        <v>2763</v>
      </c>
      <c r="L255">
        <v>41.86</v>
      </c>
      <c r="M255">
        <v>7</v>
      </c>
      <c r="N255" t="str">
        <f>IF(Walmart[[#This Row],[Quantity]]&gt;=7,"Bulk",IF(Walmart[[#This Row],[Quantity]]&gt;=2,"Multi","Single"))</f>
        <v>Bulk</v>
      </c>
      <c r="O255">
        <v>18.84</v>
      </c>
      <c r="P255" t="str">
        <f>IF(Walmart[[#This Row],[Sales]]&gt;=1000,"High Value", IF(Walmart[[#This Row],[Sales]]&gt;=500,"Medium Value","Low Value"))</f>
        <v>Low Value</v>
      </c>
    </row>
    <row r="256" spans="1:16" x14ac:dyDescent="0.3">
      <c r="A256" t="s">
        <v>3240</v>
      </c>
      <c r="B256" s="1">
        <v>41975</v>
      </c>
      <c r="C256" s="1" t="str">
        <f>TEXT(Walmart[[#This Row],[Order Date]],"mmmm")</f>
        <v>December</v>
      </c>
      <c r="D256" s="1">
        <v>41980</v>
      </c>
      <c r="E256" s="1" t="str">
        <f>IF(DATEDIF(Walmart[[#This Row],[Order Date]],Walmart[[#This Row],[Ship Date]],"D")&lt;7,"On time","Delayed")</f>
        <v>On time</v>
      </c>
      <c r="F256" t="s">
        <v>96</v>
      </c>
      <c r="G256" t="s">
        <v>14</v>
      </c>
      <c r="H256" t="s">
        <v>25</v>
      </c>
      <c r="I256" t="s">
        <v>26</v>
      </c>
      <c r="J256" t="s">
        <v>27</v>
      </c>
      <c r="K256" t="s">
        <v>1927</v>
      </c>
      <c r="L256">
        <v>15.92</v>
      </c>
      <c r="M256">
        <v>5</v>
      </c>
      <c r="N256" t="str">
        <f>IF(Walmart[[#This Row],[Quantity]]&gt;=7,"Bulk",IF(Walmart[[#This Row],[Quantity]]&gt;=2,"Multi","Single"))</f>
        <v>Multi</v>
      </c>
      <c r="O256">
        <v>5.37</v>
      </c>
      <c r="P256" t="str">
        <f>IF(Walmart[[#This Row],[Sales]]&gt;=1000,"High Value", IF(Walmart[[#This Row],[Sales]]&gt;=500,"Medium Value","Low Value"))</f>
        <v>Low Value</v>
      </c>
    </row>
    <row r="257" spans="1:16" x14ac:dyDescent="0.3">
      <c r="A257" t="s">
        <v>3245</v>
      </c>
      <c r="B257" s="1">
        <v>41975</v>
      </c>
      <c r="C257" s="1" t="str">
        <f>TEXT(Walmart[[#This Row],[Order Date]],"mmmm")</f>
        <v>December</v>
      </c>
      <c r="D257" s="1">
        <v>41981</v>
      </c>
      <c r="E257" s="1" t="str">
        <f>IF(DATEDIF(Walmart[[#This Row],[Order Date]],Walmart[[#This Row],[Ship Date]],"D")&lt;7,"On time","Delayed")</f>
        <v>On time</v>
      </c>
      <c r="F257" t="s">
        <v>964</v>
      </c>
      <c r="G257" t="s">
        <v>14</v>
      </c>
      <c r="H257" t="s">
        <v>1028</v>
      </c>
      <c r="I257" t="s">
        <v>16</v>
      </c>
      <c r="J257" t="s">
        <v>21</v>
      </c>
      <c r="K257" t="s">
        <v>376</v>
      </c>
      <c r="L257">
        <v>629.64</v>
      </c>
      <c r="M257">
        <v>9</v>
      </c>
      <c r="N257" t="str">
        <f>IF(Walmart[[#This Row],[Quantity]]&gt;=7,"Bulk",IF(Walmart[[#This Row],[Quantity]]&gt;=2,"Multi","Single"))</f>
        <v>Bulk</v>
      </c>
      <c r="O257">
        <v>107.04</v>
      </c>
      <c r="P257" t="str">
        <f>IF(Walmart[[#This Row],[Sales]]&gt;=1000,"High Value", IF(Walmart[[#This Row],[Sales]]&gt;=500,"Medium Value","Low Value"))</f>
        <v>Medium Value</v>
      </c>
    </row>
    <row r="258" spans="1:16" hidden="1" x14ac:dyDescent="0.3">
      <c r="A258" t="s">
        <v>828</v>
      </c>
      <c r="B258" s="1">
        <v>41356</v>
      </c>
      <c r="C258" s="1" t="str">
        <f>TEXT(Walmart[[#This Row],[Order Date]],"mmmm")</f>
        <v>March</v>
      </c>
      <c r="D258" s="1">
        <v>41359</v>
      </c>
      <c r="E258" s="1" t="str">
        <f>IF(DATEDIF(Walmart[[#This Row],[Order Date]],Walmart[[#This Row],[Ship Date]],"D")&lt;7,"On time","Delayed")</f>
        <v>On time</v>
      </c>
      <c r="F258" t="s">
        <v>829</v>
      </c>
      <c r="G258" t="s">
        <v>14</v>
      </c>
      <c r="H258" t="s">
        <v>747</v>
      </c>
      <c r="I258" t="s">
        <v>227</v>
      </c>
      <c r="J258" t="s">
        <v>53</v>
      </c>
      <c r="K258" t="s">
        <v>830</v>
      </c>
      <c r="L258">
        <v>58.58</v>
      </c>
      <c r="M258">
        <v>2</v>
      </c>
      <c r="N258" t="str">
        <f>IF(Walmart[[#This Row],[Quantity]]&gt;=7,"Bulk",IF(Walmart[[#This Row],[Quantity]]&gt;=2,"Multi","Single"))</f>
        <v>Multi</v>
      </c>
      <c r="O258">
        <v>19.329999999999998</v>
      </c>
      <c r="P258" t="str">
        <f>IF(Walmart[[#This Row],[Sales]]&gt;=1000,"High Value", IF(Walmart[[#This Row],[Sales]]&gt;=500,"Medium Value","Low Value"))</f>
        <v>Low Value</v>
      </c>
    </row>
    <row r="259" spans="1:16" hidden="1" x14ac:dyDescent="0.3">
      <c r="A259" t="s">
        <v>831</v>
      </c>
      <c r="B259" s="1">
        <v>41413</v>
      </c>
      <c r="C259" s="1" t="str">
        <f>TEXT(Walmart[[#This Row],[Order Date]],"mmmm")</f>
        <v>May</v>
      </c>
      <c r="D259" s="1">
        <v>41419</v>
      </c>
      <c r="E259" s="1" t="str">
        <f>IF(DATEDIF(Walmart[[#This Row],[Order Date]],Walmart[[#This Row],[Ship Date]],"D")&lt;7,"On time","Delayed")</f>
        <v>On time</v>
      </c>
      <c r="F259" t="s">
        <v>832</v>
      </c>
      <c r="G259" t="s">
        <v>14</v>
      </c>
      <c r="H259" t="s">
        <v>37</v>
      </c>
      <c r="I259" t="s">
        <v>16</v>
      </c>
      <c r="J259" t="s">
        <v>33</v>
      </c>
      <c r="K259" t="s">
        <v>833</v>
      </c>
      <c r="L259">
        <v>104.28</v>
      </c>
      <c r="M259">
        <v>3</v>
      </c>
      <c r="N259" t="str">
        <f>IF(Walmart[[#This Row],[Quantity]]&gt;=7,"Bulk",IF(Walmart[[#This Row],[Quantity]]&gt;=2,"Multi","Single"))</f>
        <v>Multi</v>
      </c>
      <c r="O259">
        <v>26.07</v>
      </c>
      <c r="P259" t="str">
        <f>IF(Walmart[[#This Row],[Sales]]&gt;=1000,"High Value", IF(Walmart[[#This Row],[Sales]]&gt;=500,"Medium Value","Low Value"))</f>
        <v>Low Value</v>
      </c>
    </row>
    <row r="260" spans="1:16" hidden="1" x14ac:dyDescent="0.3">
      <c r="A260" t="s">
        <v>834</v>
      </c>
      <c r="B260" s="1">
        <v>41547</v>
      </c>
      <c r="C260" s="1" t="str">
        <f>TEXT(Walmart[[#This Row],[Order Date]],"mmmm")</f>
        <v>September</v>
      </c>
      <c r="D260" s="1">
        <v>41549</v>
      </c>
      <c r="E260" s="1" t="str">
        <f>IF(DATEDIF(Walmart[[#This Row],[Order Date]],Walmart[[#This Row],[Ship Date]],"D")&lt;7,"On time","Delayed")</f>
        <v>On time</v>
      </c>
      <c r="F260" t="s">
        <v>835</v>
      </c>
      <c r="G260" t="s">
        <v>14</v>
      </c>
      <c r="H260" t="s">
        <v>15</v>
      </c>
      <c r="I260" t="s">
        <v>16</v>
      </c>
      <c r="J260" t="s">
        <v>93</v>
      </c>
      <c r="K260" t="s">
        <v>836</v>
      </c>
      <c r="L260">
        <v>18.97</v>
      </c>
      <c r="M260">
        <v>1</v>
      </c>
      <c r="N260" t="str">
        <f>IF(Walmart[[#This Row],[Quantity]]&gt;=7,"Bulk",IF(Walmart[[#This Row],[Quantity]]&gt;=2,"Multi","Single"))</f>
        <v>Single</v>
      </c>
      <c r="O260">
        <v>9.11</v>
      </c>
      <c r="P260" t="str">
        <f>IF(Walmart[[#This Row],[Sales]]&gt;=1000,"High Value", IF(Walmart[[#This Row],[Sales]]&gt;=500,"Medium Value","Low Value"))</f>
        <v>Low Value</v>
      </c>
    </row>
    <row r="261" spans="1:16" hidden="1" x14ac:dyDescent="0.3">
      <c r="A261" t="s">
        <v>837</v>
      </c>
      <c r="B261" s="1">
        <v>41586</v>
      </c>
      <c r="C261" s="1" t="str">
        <f>TEXT(Walmart[[#This Row],[Order Date]],"mmmm")</f>
        <v>November</v>
      </c>
      <c r="D261" s="1">
        <v>41591</v>
      </c>
      <c r="E261" s="1" t="str">
        <f>IF(DATEDIF(Walmart[[#This Row],[Order Date]],Walmart[[#This Row],[Ship Date]],"D")&lt;7,"On time","Delayed")</f>
        <v>On time</v>
      </c>
      <c r="F261" t="s">
        <v>838</v>
      </c>
      <c r="G261" t="s">
        <v>14</v>
      </c>
      <c r="H261" t="s">
        <v>37</v>
      </c>
      <c r="I261" t="s">
        <v>16</v>
      </c>
      <c r="J261" t="s">
        <v>21</v>
      </c>
      <c r="K261" t="s">
        <v>839</v>
      </c>
      <c r="L261">
        <v>14.82</v>
      </c>
      <c r="M261">
        <v>3</v>
      </c>
      <c r="N261" t="str">
        <f>IF(Walmart[[#This Row],[Quantity]]&gt;=7,"Bulk",IF(Walmart[[#This Row],[Quantity]]&gt;=2,"Multi","Single"))</f>
        <v>Multi</v>
      </c>
      <c r="O261">
        <v>6.22</v>
      </c>
      <c r="P261" t="str">
        <f>IF(Walmart[[#This Row],[Sales]]&gt;=1000,"High Value", IF(Walmart[[#This Row],[Sales]]&gt;=500,"Medium Value","Low Value"))</f>
        <v>Low Value</v>
      </c>
    </row>
    <row r="262" spans="1:16" hidden="1" x14ac:dyDescent="0.3">
      <c r="A262" t="s">
        <v>840</v>
      </c>
      <c r="B262" s="1">
        <v>41270</v>
      </c>
      <c r="C262" s="1" t="str">
        <f>TEXT(Walmart[[#This Row],[Order Date]],"mmmm")</f>
        <v>December</v>
      </c>
      <c r="D262" s="1">
        <v>41274</v>
      </c>
      <c r="E262" s="1" t="str">
        <f>IF(DATEDIF(Walmart[[#This Row],[Order Date]],Walmart[[#This Row],[Ship Date]],"D")&lt;7,"On time","Delayed")</f>
        <v>On time</v>
      </c>
      <c r="F262" t="s">
        <v>214</v>
      </c>
      <c r="G262" t="s">
        <v>14</v>
      </c>
      <c r="H262" t="s">
        <v>15</v>
      </c>
      <c r="I262" t="s">
        <v>16</v>
      </c>
      <c r="J262" t="s">
        <v>105</v>
      </c>
      <c r="K262" t="s">
        <v>841</v>
      </c>
      <c r="L262">
        <v>106.96</v>
      </c>
      <c r="M262">
        <v>2</v>
      </c>
      <c r="N262" t="str">
        <f>IF(Walmart[[#This Row],[Quantity]]&gt;=7,"Bulk",IF(Walmart[[#This Row],[Quantity]]&gt;=2,"Multi","Single"))</f>
        <v>Multi</v>
      </c>
      <c r="O262">
        <v>31.02</v>
      </c>
      <c r="P262" t="str">
        <f>IF(Walmart[[#This Row],[Sales]]&gt;=1000,"High Value", IF(Walmart[[#This Row],[Sales]]&gt;=500,"Medium Value","Low Value"))</f>
        <v>Low Value</v>
      </c>
    </row>
    <row r="263" spans="1:16" hidden="1" x14ac:dyDescent="0.3">
      <c r="A263" t="s">
        <v>842</v>
      </c>
      <c r="B263" s="1">
        <v>40697</v>
      </c>
      <c r="C263" s="1" t="str">
        <f>TEXT(Walmart[[#This Row],[Order Date]],"mmmm")</f>
        <v>June</v>
      </c>
      <c r="D263" s="1">
        <v>40701</v>
      </c>
      <c r="E263" s="1" t="str">
        <f>IF(DATEDIF(Walmart[[#This Row],[Order Date]],Walmart[[#This Row],[Ship Date]],"D")&lt;7,"On time","Delayed")</f>
        <v>On time</v>
      </c>
      <c r="F263" t="s">
        <v>843</v>
      </c>
      <c r="G263" t="s">
        <v>14</v>
      </c>
      <c r="H263" t="s">
        <v>25</v>
      </c>
      <c r="I263" t="s">
        <v>26</v>
      </c>
      <c r="J263" t="s">
        <v>43</v>
      </c>
      <c r="K263" t="s">
        <v>774</v>
      </c>
      <c r="L263">
        <v>515.88</v>
      </c>
      <c r="M263">
        <v>6</v>
      </c>
      <c r="N263" t="str">
        <f>IF(Walmart[[#This Row],[Quantity]]&gt;=7,"Bulk",IF(Walmart[[#This Row],[Quantity]]&gt;=2,"Multi","Single"))</f>
        <v>Multi</v>
      </c>
      <c r="O263">
        <v>113.49</v>
      </c>
      <c r="P263" t="str">
        <f>IF(Walmart[[#This Row],[Sales]]&gt;=1000,"High Value", IF(Walmart[[#This Row],[Sales]]&gt;=500,"Medium Value","Low Value"))</f>
        <v>Medium Value</v>
      </c>
    </row>
    <row r="264" spans="1:16" hidden="1" x14ac:dyDescent="0.3">
      <c r="A264" t="s">
        <v>844</v>
      </c>
      <c r="B264" s="1">
        <v>40577</v>
      </c>
      <c r="C264" s="1" t="str">
        <f>TEXT(Walmart[[#This Row],[Order Date]],"mmmm")</f>
        <v>February</v>
      </c>
      <c r="D264" s="1">
        <v>40581</v>
      </c>
      <c r="E264" s="1" t="str">
        <f>IF(DATEDIF(Walmart[[#This Row],[Order Date]],Walmart[[#This Row],[Ship Date]],"D")&lt;7,"On time","Delayed")</f>
        <v>On time</v>
      </c>
      <c r="F264" t="s">
        <v>845</v>
      </c>
      <c r="G264" t="s">
        <v>14</v>
      </c>
      <c r="H264" t="s">
        <v>160</v>
      </c>
      <c r="I264" t="s">
        <v>16</v>
      </c>
      <c r="J264" t="s">
        <v>191</v>
      </c>
      <c r="K264" t="s">
        <v>125</v>
      </c>
      <c r="L264">
        <v>12.35</v>
      </c>
      <c r="M264">
        <v>5</v>
      </c>
      <c r="N264" t="str">
        <f>IF(Walmart[[#This Row],[Quantity]]&gt;=7,"Bulk",IF(Walmart[[#This Row],[Quantity]]&gt;=2,"Multi","Single"))</f>
        <v>Multi</v>
      </c>
      <c r="O264">
        <v>5.8</v>
      </c>
      <c r="P264" t="str">
        <f>IF(Walmart[[#This Row],[Sales]]&gt;=1000,"High Value", IF(Walmart[[#This Row],[Sales]]&gt;=500,"Medium Value","Low Value"))</f>
        <v>Low Value</v>
      </c>
    </row>
    <row r="265" spans="1:16" hidden="1" x14ac:dyDescent="0.3">
      <c r="A265" t="s">
        <v>846</v>
      </c>
      <c r="B265" s="1">
        <v>41342</v>
      </c>
      <c r="C265" s="1" t="str">
        <f>TEXT(Walmart[[#This Row],[Order Date]],"mmmm")</f>
        <v>March</v>
      </c>
      <c r="D265" s="1">
        <v>41342</v>
      </c>
      <c r="E265" s="1" t="str">
        <f>IF(DATEDIF(Walmart[[#This Row],[Order Date]],Walmart[[#This Row],[Ship Date]],"D")&lt;7,"On time","Delayed")</f>
        <v>On time</v>
      </c>
      <c r="F265" t="s">
        <v>440</v>
      </c>
      <c r="G265" t="s">
        <v>14</v>
      </c>
      <c r="H265" t="s">
        <v>712</v>
      </c>
      <c r="I265" t="s">
        <v>58</v>
      </c>
      <c r="J265" t="s">
        <v>27</v>
      </c>
      <c r="K265" t="s">
        <v>847</v>
      </c>
      <c r="L265">
        <v>9.6999999999999993</v>
      </c>
      <c r="M265">
        <v>3</v>
      </c>
      <c r="N265" t="str">
        <f>IF(Walmart[[#This Row],[Quantity]]&gt;=7,"Bulk",IF(Walmart[[#This Row],[Quantity]]&gt;=2,"Multi","Single"))</f>
        <v>Multi</v>
      </c>
      <c r="O265">
        <v>-7.11</v>
      </c>
      <c r="P265" t="str">
        <f>IF(Walmart[[#This Row],[Sales]]&gt;=1000,"High Value", IF(Walmart[[#This Row],[Sales]]&gt;=500,"Medium Value","Low Value"))</f>
        <v>Low Value</v>
      </c>
    </row>
    <row r="266" spans="1:16" x14ac:dyDescent="0.3">
      <c r="A266" t="s">
        <v>2518</v>
      </c>
      <c r="B266" s="1">
        <v>41974</v>
      </c>
      <c r="C266" s="1" t="str">
        <f>TEXT(Walmart[[#This Row],[Order Date]],"mmmm")</f>
        <v>December</v>
      </c>
      <c r="D266" s="1">
        <v>41977</v>
      </c>
      <c r="E266" s="1" t="str">
        <f>IF(DATEDIF(Walmart[[#This Row],[Order Date]],Walmart[[#This Row],[Ship Date]],"D")&lt;7,"On time","Delayed")</f>
        <v>On time</v>
      </c>
      <c r="F266" t="s">
        <v>1096</v>
      </c>
      <c r="G266" t="s">
        <v>14</v>
      </c>
      <c r="H266" t="s">
        <v>37</v>
      </c>
      <c r="I266" t="s">
        <v>16</v>
      </c>
      <c r="J266" t="s">
        <v>21</v>
      </c>
      <c r="K266" t="s">
        <v>2519</v>
      </c>
      <c r="L266">
        <v>25.83</v>
      </c>
      <c r="M266">
        <v>3</v>
      </c>
      <c r="N266" t="str">
        <f>IF(Walmart[[#This Row],[Quantity]]&gt;=7,"Bulk",IF(Walmart[[#This Row],[Quantity]]&gt;=2,"Multi","Single"))</f>
        <v>Multi</v>
      </c>
      <c r="O266">
        <v>9.56</v>
      </c>
      <c r="P266" t="str">
        <f>IF(Walmart[[#This Row],[Sales]]&gt;=1000,"High Value", IF(Walmart[[#This Row],[Sales]]&gt;=500,"Medium Value","Low Value"))</f>
        <v>Low Value</v>
      </c>
    </row>
    <row r="267" spans="1:16" x14ac:dyDescent="0.3">
      <c r="A267" t="s">
        <v>939</v>
      </c>
      <c r="B267" s="1">
        <v>41972</v>
      </c>
      <c r="C267" s="1" t="str">
        <f>TEXT(Walmart[[#This Row],[Order Date]],"mmmm")</f>
        <v>November</v>
      </c>
      <c r="D267" s="1">
        <v>41975</v>
      </c>
      <c r="E267" s="1" t="str">
        <f>IF(DATEDIF(Walmart[[#This Row],[Order Date]],Walmart[[#This Row],[Ship Date]],"D")&lt;7,"On time","Delayed")</f>
        <v>On time</v>
      </c>
      <c r="F267" t="s">
        <v>940</v>
      </c>
      <c r="G267" t="s">
        <v>14</v>
      </c>
      <c r="H267" t="s">
        <v>141</v>
      </c>
      <c r="I267" t="s">
        <v>77</v>
      </c>
      <c r="J267" t="s">
        <v>93</v>
      </c>
      <c r="K267" t="s">
        <v>941</v>
      </c>
      <c r="L267">
        <v>88.77</v>
      </c>
      <c r="M267">
        <v>2</v>
      </c>
      <c r="N267" t="str">
        <f>IF(Walmart[[#This Row],[Quantity]]&gt;=7,"Bulk",IF(Walmart[[#This Row],[Quantity]]&gt;=2,"Multi","Single"))</f>
        <v>Multi</v>
      </c>
      <c r="O267">
        <v>31.07</v>
      </c>
      <c r="P267" t="str">
        <f>IF(Walmart[[#This Row],[Sales]]&gt;=1000,"High Value", IF(Walmart[[#This Row],[Sales]]&gt;=500,"Medium Value","Low Value"))</f>
        <v>Low Value</v>
      </c>
    </row>
    <row r="268" spans="1:16" hidden="1" x14ac:dyDescent="0.3">
      <c r="A268" t="s">
        <v>854</v>
      </c>
      <c r="B268" s="1">
        <v>41155</v>
      </c>
      <c r="C268" s="1" t="str">
        <f>TEXT(Walmart[[#This Row],[Order Date]],"mmmm")</f>
        <v>September</v>
      </c>
      <c r="D268" s="1">
        <v>41161</v>
      </c>
      <c r="E268" s="1" t="str">
        <f>IF(DATEDIF(Walmart[[#This Row],[Order Date]],Walmart[[#This Row],[Ship Date]],"D")&lt;7,"On time","Delayed")</f>
        <v>On time</v>
      </c>
      <c r="F268" t="s">
        <v>152</v>
      </c>
      <c r="G268" t="s">
        <v>14</v>
      </c>
      <c r="H268" t="s">
        <v>37</v>
      </c>
      <c r="I268" t="s">
        <v>16</v>
      </c>
      <c r="J268" t="s">
        <v>33</v>
      </c>
      <c r="K268" t="s">
        <v>300</v>
      </c>
      <c r="L268">
        <v>31.44</v>
      </c>
      <c r="M268">
        <v>3</v>
      </c>
      <c r="N268" t="str">
        <f>IF(Walmart[[#This Row],[Quantity]]&gt;=7,"Bulk",IF(Walmart[[#This Row],[Quantity]]&gt;=2,"Multi","Single"))</f>
        <v>Multi</v>
      </c>
      <c r="O268">
        <v>8.49</v>
      </c>
      <c r="P268" t="str">
        <f>IF(Walmart[[#This Row],[Sales]]&gt;=1000,"High Value", IF(Walmart[[#This Row],[Sales]]&gt;=500,"Medium Value","Low Value"))</f>
        <v>Low Value</v>
      </c>
    </row>
    <row r="269" spans="1:16" hidden="1" x14ac:dyDescent="0.3">
      <c r="A269" t="s">
        <v>855</v>
      </c>
      <c r="B269" s="1">
        <v>40764</v>
      </c>
      <c r="C269" s="1" t="str">
        <f>TEXT(Walmart[[#This Row],[Order Date]],"mmmm")</f>
        <v>August</v>
      </c>
      <c r="D269" s="1">
        <v>40771</v>
      </c>
      <c r="E269" s="1" t="str">
        <f>IF(DATEDIF(Walmart[[#This Row],[Order Date]],Walmart[[#This Row],[Ship Date]],"D")&lt;7,"On time","Delayed")</f>
        <v>Delayed</v>
      </c>
      <c r="F269" t="s">
        <v>856</v>
      </c>
      <c r="G269" t="s">
        <v>14</v>
      </c>
      <c r="H269" t="s">
        <v>160</v>
      </c>
      <c r="I269" t="s">
        <v>16</v>
      </c>
      <c r="J269" t="s">
        <v>17</v>
      </c>
      <c r="K269" t="s">
        <v>857</v>
      </c>
      <c r="L269">
        <v>20.88</v>
      </c>
      <c r="M269">
        <v>8</v>
      </c>
      <c r="N269" t="str">
        <f>IF(Walmart[[#This Row],[Quantity]]&gt;=7,"Bulk",IF(Walmart[[#This Row],[Quantity]]&gt;=2,"Multi","Single"))</f>
        <v>Bulk</v>
      </c>
      <c r="O269">
        <v>9.6</v>
      </c>
      <c r="P269" t="str">
        <f>IF(Walmart[[#This Row],[Sales]]&gt;=1000,"High Value", IF(Walmart[[#This Row],[Sales]]&gt;=500,"Medium Value","Low Value"))</f>
        <v>Low Value</v>
      </c>
    </row>
    <row r="270" spans="1:16" x14ac:dyDescent="0.3">
      <c r="A270" t="s">
        <v>3502</v>
      </c>
      <c r="B270" s="1">
        <v>41972</v>
      </c>
      <c r="C270" s="1" t="str">
        <f>TEXT(Walmart[[#This Row],[Order Date]],"mmmm")</f>
        <v>November</v>
      </c>
      <c r="D270" s="1">
        <v>41976</v>
      </c>
      <c r="E270" s="1" t="str">
        <f>IF(DATEDIF(Walmart[[#This Row],[Order Date]],Walmart[[#This Row],[Ship Date]],"D")&lt;7,"On time","Delayed")</f>
        <v>On time</v>
      </c>
      <c r="F270" t="s">
        <v>1370</v>
      </c>
      <c r="G270" t="s">
        <v>14</v>
      </c>
      <c r="H270" t="s">
        <v>160</v>
      </c>
      <c r="I270" t="s">
        <v>16</v>
      </c>
      <c r="J270" t="s">
        <v>17</v>
      </c>
      <c r="K270" t="s">
        <v>3503</v>
      </c>
      <c r="L270">
        <v>62.65</v>
      </c>
      <c r="M270">
        <v>5</v>
      </c>
      <c r="N270" t="str">
        <f>IF(Walmart[[#This Row],[Quantity]]&gt;=7,"Bulk",IF(Walmart[[#This Row],[Quantity]]&gt;=2,"Multi","Single"))</f>
        <v>Multi</v>
      </c>
      <c r="O270">
        <v>29.45</v>
      </c>
      <c r="P270" t="str">
        <f>IF(Walmart[[#This Row],[Sales]]&gt;=1000,"High Value", IF(Walmart[[#This Row],[Sales]]&gt;=500,"Medium Value","Low Value"))</f>
        <v>Low Value</v>
      </c>
    </row>
    <row r="271" spans="1:16" x14ac:dyDescent="0.3">
      <c r="A271" t="s">
        <v>948</v>
      </c>
      <c r="B271" s="1">
        <v>41971</v>
      </c>
      <c r="C271" s="1" t="str">
        <f>TEXT(Walmart[[#This Row],[Order Date]],"mmmm")</f>
        <v>November</v>
      </c>
      <c r="D271" s="1">
        <v>41977</v>
      </c>
      <c r="E271" s="1" t="str">
        <f>IF(DATEDIF(Walmart[[#This Row],[Order Date]],Walmart[[#This Row],[Ship Date]],"D")&lt;7,"On time","Delayed")</f>
        <v>On time</v>
      </c>
      <c r="F271" t="s">
        <v>494</v>
      </c>
      <c r="G271" t="s">
        <v>14</v>
      </c>
      <c r="H271" t="s">
        <v>37</v>
      </c>
      <c r="I271" t="s">
        <v>16</v>
      </c>
      <c r="J271" t="s">
        <v>93</v>
      </c>
      <c r="K271" t="s">
        <v>949</v>
      </c>
      <c r="L271">
        <v>244.55</v>
      </c>
      <c r="M271">
        <v>5</v>
      </c>
      <c r="N271" t="str">
        <f>IF(Walmart[[#This Row],[Quantity]]&gt;=7,"Bulk",IF(Walmart[[#This Row],[Quantity]]&gt;=2,"Multi","Single"))</f>
        <v>Multi</v>
      </c>
      <c r="O271">
        <v>114.94</v>
      </c>
      <c r="P271" t="str">
        <f>IF(Walmart[[#This Row],[Sales]]&gt;=1000,"High Value", IF(Walmart[[#This Row],[Sales]]&gt;=500,"Medium Value","Low Value"))</f>
        <v>Low Value</v>
      </c>
    </row>
    <row r="272" spans="1:16" hidden="1" x14ac:dyDescent="0.3">
      <c r="A272" t="s">
        <v>862</v>
      </c>
      <c r="B272" s="1">
        <v>41157</v>
      </c>
      <c r="C272" s="1" t="str">
        <f>TEXT(Walmart[[#This Row],[Order Date]],"mmmm")</f>
        <v>September</v>
      </c>
      <c r="D272" s="1">
        <v>41161</v>
      </c>
      <c r="E272" s="1" t="str">
        <f>IF(DATEDIF(Walmart[[#This Row],[Order Date]],Walmart[[#This Row],[Ship Date]],"D")&lt;7,"On time","Delayed")</f>
        <v>On time</v>
      </c>
      <c r="F272" t="s">
        <v>214</v>
      </c>
      <c r="G272" t="s">
        <v>14</v>
      </c>
      <c r="H272" t="s">
        <v>160</v>
      </c>
      <c r="I272" t="s">
        <v>16</v>
      </c>
      <c r="J272" t="s">
        <v>671</v>
      </c>
      <c r="K272" t="s">
        <v>863</v>
      </c>
      <c r="L272">
        <v>411.33</v>
      </c>
      <c r="M272">
        <v>4</v>
      </c>
      <c r="N272" t="str">
        <f>IF(Walmart[[#This Row],[Quantity]]&gt;=7,"Bulk",IF(Walmart[[#This Row],[Quantity]]&gt;=2,"Multi","Single"))</f>
        <v>Multi</v>
      </c>
      <c r="O272">
        <v>-4.84</v>
      </c>
      <c r="P272" t="str">
        <f>IF(Walmart[[#This Row],[Sales]]&gt;=1000,"High Value", IF(Walmart[[#This Row],[Sales]]&gt;=500,"Medium Value","Low Value"))</f>
        <v>Low Value</v>
      </c>
    </row>
    <row r="273" spans="1:16" hidden="1" x14ac:dyDescent="0.3">
      <c r="A273" t="s">
        <v>864</v>
      </c>
      <c r="B273" s="1">
        <v>41237</v>
      </c>
      <c r="C273" s="1" t="str">
        <f>TEXT(Walmart[[#This Row],[Order Date]],"mmmm")</f>
        <v>November</v>
      </c>
      <c r="D273" s="1">
        <v>41241</v>
      </c>
      <c r="E273" s="1" t="str">
        <f>IF(DATEDIF(Walmart[[#This Row],[Order Date]],Walmart[[#This Row],[Ship Date]],"D")&lt;7,"On time","Delayed")</f>
        <v>On time</v>
      </c>
      <c r="F273" t="s">
        <v>865</v>
      </c>
      <c r="G273" t="s">
        <v>14</v>
      </c>
      <c r="H273" t="s">
        <v>15</v>
      </c>
      <c r="I273" t="s">
        <v>16</v>
      </c>
      <c r="J273" t="s">
        <v>93</v>
      </c>
      <c r="K273" t="s">
        <v>866</v>
      </c>
      <c r="L273">
        <v>368.91</v>
      </c>
      <c r="M273">
        <v>9</v>
      </c>
      <c r="N273" t="str">
        <f>IF(Walmart[[#This Row],[Quantity]]&gt;=7,"Bulk",IF(Walmart[[#This Row],[Quantity]]&gt;=2,"Multi","Single"))</f>
        <v>Bulk</v>
      </c>
      <c r="O273">
        <v>180.77</v>
      </c>
      <c r="P273" t="str">
        <f>IF(Walmart[[#This Row],[Sales]]&gt;=1000,"High Value", IF(Walmart[[#This Row],[Sales]]&gt;=500,"Medium Value","Low Value"))</f>
        <v>Low Value</v>
      </c>
    </row>
    <row r="274" spans="1:16" hidden="1" x14ac:dyDescent="0.3">
      <c r="A274" t="s">
        <v>867</v>
      </c>
      <c r="B274" s="1">
        <v>41463</v>
      </c>
      <c r="C274" s="1" t="str">
        <f>TEXT(Walmart[[#This Row],[Order Date]],"mmmm")</f>
        <v>July</v>
      </c>
      <c r="D274" s="1">
        <v>41467</v>
      </c>
      <c r="E274" s="1" t="str">
        <f>IF(DATEDIF(Walmart[[#This Row],[Order Date]],Walmart[[#This Row],[Ship Date]],"D")&lt;7,"On time","Delayed")</f>
        <v>On time</v>
      </c>
      <c r="F274" t="s">
        <v>868</v>
      </c>
      <c r="G274" t="s">
        <v>14</v>
      </c>
      <c r="H274" t="s">
        <v>109</v>
      </c>
      <c r="I274" t="s">
        <v>16</v>
      </c>
      <c r="J274" t="s">
        <v>21</v>
      </c>
      <c r="K274" t="s">
        <v>869</v>
      </c>
      <c r="L274">
        <v>215.65</v>
      </c>
      <c r="M274">
        <v>5</v>
      </c>
      <c r="N274" t="str">
        <f>IF(Walmart[[#This Row],[Quantity]]&gt;=7,"Bulk",IF(Walmart[[#This Row],[Quantity]]&gt;=2,"Multi","Single"))</f>
        <v>Multi</v>
      </c>
      <c r="O274">
        <v>73.319999999999993</v>
      </c>
      <c r="P274" t="str">
        <f>IF(Walmart[[#This Row],[Sales]]&gt;=1000,"High Value", IF(Walmart[[#This Row],[Sales]]&gt;=500,"Medium Value","Low Value"))</f>
        <v>Low Value</v>
      </c>
    </row>
    <row r="275" spans="1:16" hidden="1" x14ac:dyDescent="0.3">
      <c r="A275" t="s">
        <v>870</v>
      </c>
      <c r="B275" s="1">
        <v>41592</v>
      </c>
      <c r="C275" s="1" t="str">
        <f>TEXT(Walmart[[#This Row],[Order Date]],"mmmm")</f>
        <v>November</v>
      </c>
      <c r="D275" s="1">
        <v>41598</v>
      </c>
      <c r="E275" s="1" t="str">
        <f>IF(DATEDIF(Walmart[[#This Row],[Order Date]],Walmart[[#This Row],[Ship Date]],"D")&lt;7,"On time","Delayed")</f>
        <v>On time</v>
      </c>
      <c r="F275" t="s">
        <v>871</v>
      </c>
      <c r="G275" t="s">
        <v>14</v>
      </c>
      <c r="H275" t="s">
        <v>872</v>
      </c>
      <c r="I275" t="s">
        <v>26</v>
      </c>
      <c r="J275" t="s">
        <v>21</v>
      </c>
      <c r="K275" t="s">
        <v>740</v>
      </c>
      <c r="L275">
        <v>4.18</v>
      </c>
      <c r="M275">
        <v>1</v>
      </c>
      <c r="N275" t="str">
        <f>IF(Walmart[[#This Row],[Quantity]]&gt;=7,"Bulk",IF(Walmart[[#This Row],[Quantity]]&gt;=2,"Multi","Single"))</f>
        <v>Single</v>
      </c>
      <c r="O275">
        <v>1.5</v>
      </c>
      <c r="P275" t="str">
        <f>IF(Walmart[[#This Row],[Sales]]&gt;=1000,"High Value", IF(Walmart[[#This Row],[Sales]]&gt;=500,"Medium Value","Low Value"))</f>
        <v>Low Value</v>
      </c>
    </row>
    <row r="276" spans="1:16" hidden="1" x14ac:dyDescent="0.3">
      <c r="A276" t="s">
        <v>873</v>
      </c>
      <c r="B276" s="1">
        <v>41634</v>
      </c>
      <c r="C276" s="1" t="str">
        <f>TEXT(Walmart[[#This Row],[Order Date]],"mmmm")</f>
        <v>December</v>
      </c>
      <c r="D276" s="1">
        <v>41637</v>
      </c>
      <c r="E276" s="1" t="str">
        <f>IF(DATEDIF(Walmart[[#This Row],[Order Date]],Walmart[[#This Row],[Ship Date]],"D")&lt;7,"On time","Delayed")</f>
        <v>On time</v>
      </c>
      <c r="F276" t="s">
        <v>194</v>
      </c>
      <c r="G276" t="s">
        <v>14</v>
      </c>
      <c r="H276" t="s">
        <v>15</v>
      </c>
      <c r="I276" t="s">
        <v>16</v>
      </c>
      <c r="J276" t="s">
        <v>146</v>
      </c>
      <c r="K276" t="s">
        <v>874</v>
      </c>
      <c r="L276">
        <v>2575.94</v>
      </c>
      <c r="M276">
        <v>7</v>
      </c>
      <c r="N276" t="str">
        <f>IF(Walmart[[#This Row],[Quantity]]&gt;=7,"Bulk",IF(Walmart[[#This Row],[Quantity]]&gt;=2,"Multi","Single"))</f>
        <v>Bulk</v>
      </c>
      <c r="O276">
        <v>257.58999999999997</v>
      </c>
      <c r="P276" t="str">
        <f>IF(Walmart[[#This Row],[Sales]]&gt;=1000,"High Value", IF(Walmart[[#This Row],[Sales]]&gt;=500,"Medium Value","Low Value"))</f>
        <v>High Value</v>
      </c>
    </row>
    <row r="277" spans="1:16" hidden="1" x14ac:dyDescent="0.3">
      <c r="A277" t="s">
        <v>875</v>
      </c>
      <c r="B277" s="1">
        <v>41166</v>
      </c>
      <c r="C277" s="1" t="str">
        <f>TEXT(Walmart[[#This Row],[Order Date]],"mmmm")</f>
        <v>September</v>
      </c>
      <c r="D277" s="1">
        <v>41170</v>
      </c>
      <c r="E277" s="1" t="str">
        <f>IF(DATEDIF(Walmart[[#This Row],[Order Date]],Walmart[[#This Row],[Ship Date]],"D")&lt;7,"On time","Delayed")</f>
        <v>On time</v>
      </c>
      <c r="F277" t="s">
        <v>876</v>
      </c>
      <c r="G277" t="s">
        <v>14</v>
      </c>
      <c r="H277" t="s">
        <v>15</v>
      </c>
      <c r="I277" t="s">
        <v>16</v>
      </c>
      <c r="J277" t="s">
        <v>43</v>
      </c>
      <c r="K277" t="s">
        <v>397</v>
      </c>
      <c r="L277">
        <v>170.14</v>
      </c>
      <c r="M277">
        <v>3</v>
      </c>
      <c r="N277" t="str">
        <f>IF(Walmart[[#This Row],[Quantity]]&gt;=7,"Bulk",IF(Walmart[[#This Row],[Quantity]]&gt;=2,"Multi","Single"))</f>
        <v>Multi</v>
      </c>
      <c r="O277">
        <v>-8.51</v>
      </c>
      <c r="P277" t="str">
        <f>IF(Walmart[[#This Row],[Sales]]&gt;=1000,"High Value", IF(Walmart[[#This Row],[Sales]]&gt;=500,"Medium Value","Low Value"))</f>
        <v>Low Value</v>
      </c>
    </row>
    <row r="278" spans="1:16" hidden="1" x14ac:dyDescent="0.3">
      <c r="A278" t="s">
        <v>877</v>
      </c>
      <c r="B278" s="1">
        <v>41064</v>
      </c>
      <c r="C278" s="1" t="str">
        <f>TEXT(Walmart[[#This Row],[Order Date]],"mmmm")</f>
        <v>June</v>
      </c>
      <c r="D278" s="1">
        <v>41064</v>
      </c>
      <c r="E278" s="1" t="str">
        <f>IF(DATEDIF(Walmart[[#This Row],[Order Date]],Walmart[[#This Row],[Ship Date]],"D")&lt;7,"On time","Delayed")</f>
        <v>On time</v>
      </c>
      <c r="F278" t="s">
        <v>878</v>
      </c>
      <c r="G278" t="s">
        <v>14</v>
      </c>
      <c r="H278" t="s">
        <v>25</v>
      </c>
      <c r="I278" t="s">
        <v>26</v>
      </c>
      <c r="J278" t="s">
        <v>17</v>
      </c>
      <c r="K278" t="s">
        <v>879</v>
      </c>
      <c r="L278">
        <v>7.38</v>
      </c>
      <c r="M278">
        <v>2</v>
      </c>
      <c r="N278" t="str">
        <f>IF(Walmart[[#This Row],[Quantity]]&gt;=7,"Bulk",IF(Walmart[[#This Row],[Quantity]]&gt;=2,"Multi","Single"))</f>
        <v>Multi</v>
      </c>
      <c r="O278">
        <v>3.47</v>
      </c>
      <c r="P278" t="str">
        <f>IF(Walmart[[#This Row],[Sales]]&gt;=1000,"High Value", IF(Walmart[[#This Row],[Sales]]&gt;=500,"Medium Value","Low Value"))</f>
        <v>Low Value</v>
      </c>
    </row>
    <row r="279" spans="1:16" hidden="1" x14ac:dyDescent="0.3">
      <c r="A279" t="s">
        <v>880</v>
      </c>
      <c r="B279" s="1">
        <v>41256</v>
      </c>
      <c r="C279" s="1" t="str">
        <f>TEXT(Walmart[[#This Row],[Order Date]],"mmmm")</f>
        <v>December</v>
      </c>
      <c r="D279" s="1">
        <v>41258</v>
      </c>
      <c r="E279" s="1" t="str">
        <f>IF(DATEDIF(Walmart[[#This Row],[Order Date]],Walmart[[#This Row],[Ship Date]],"D")&lt;7,"On time","Delayed")</f>
        <v>On time</v>
      </c>
      <c r="F279" t="s">
        <v>881</v>
      </c>
      <c r="G279" t="s">
        <v>14</v>
      </c>
      <c r="H279" t="s">
        <v>15</v>
      </c>
      <c r="I279" t="s">
        <v>16</v>
      </c>
      <c r="J279" t="s">
        <v>17</v>
      </c>
      <c r="K279" t="s">
        <v>882</v>
      </c>
      <c r="L279">
        <v>9.9600000000000009</v>
      </c>
      <c r="M279">
        <v>2</v>
      </c>
      <c r="N279" t="str">
        <f>IF(Walmart[[#This Row],[Quantity]]&gt;=7,"Bulk",IF(Walmart[[#This Row],[Quantity]]&gt;=2,"Multi","Single"))</f>
        <v>Multi</v>
      </c>
      <c r="O279">
        <v>4.58</v>
      </c>
      <c r="P279" t="str">
        <f>IF(Walmart[[#This Row],[Sales]]&gt;=1000,"High Value", IF(Walmart[[#This Row],[Sales]]&gt;=500,"Medium Value","Low Value"))</f>
        <v>Low Value</v>
      </c>
    </row>
    <row r="280" spans="1:16" hidden="1" x14ac:dyDescent="0.3">
      <c r="A280" t="s">
        <v>883</v>
      </c>
      <c r="B280" s="1">
        <v>41631</v>
      </c>
      <c r="C280" s="1" t="str">
        <f>TEXT(Walmart[[#This Row],[Order Date]],"mmmm")</f>
        <v>December</v>
      </c>
      <c r="D280" s="1">
        <v>41637</v>
      </c>
      <c r="E280" s="1" t="str">
        <f>IF(DATEDIF(Walmart[[#This Row],[Order Date]],Walmart[[#This Row],[Ship Date]],"D")&lt;7,"On time","Delayed")</f>
        <v>On time</v>
      </c>
      <c r="F280" t="s">
        <v>884</v>
      </c>
      <c r="G280" t="s">
        <v>14</v>
      </c>
      <c r="H280" t="s">
        <v>885</v>
      </c>
      <c r="I280" t="s">
        <v>69</v>
      </c>
      <c r="J280" t="s">
        <v>27</v>
      </c>
      <c r="K280" t="s">
        <v>886</v>
      </c>
      <c r="L280">
        <v>31.32</v>
      </c>
      <c r="M280">
        <v>10</v>
      </c>
      <c r="N280" t="str">
        <f>IF(Walmart[[#This Row],[Quantity]]&gt;=7,"Bulk",IF(Walmart[[#This Row],[Quantity]]&gt;=2,"Multi","Single"))</f>
        <v>Bulk</v>
      </c>
      <c r="O280">
        <v>-25.06</v>
      </c>
      <c r="P280" t="str">
        <f>IF(Walmart[[#This Row],[Sales]]&gt;=1000,"High Value", IF(Walmart[[#This Row],[Sales]]&gt;=500,"Medium Value","Low Value"))</f>
        <v>Low Value</v>
      </c>
    </row>
    <row r="281" spans="1:16" x14ac:dyDescent="0.3">
      <c r="A281" t="s">
        <v>2025</v>
      </c>
      <c r="B281" s="1">
        <v>41971</v>
      </c>
      <c r="C281" s="1" t="str">
        <f>TEXT(Walmart[[#This Row],[Order Date]],"mmmm")</f>
        <v>November</v>
      </c>
      <c r="D281" s="1">
        <v>41976</v>
      </c>
      <c r="E281" s="1" t="str">
        <f>IF(DATEDIF(Walmart[[#This Row],[Order Date]],Walmart[[#This Row],[Ship Date]],"D")&lt;7,"On time","Delayed")</f>
        <v>On time</v>
      </c>
      <c r="F281" t="s">
        <v>305</v>
      </c>
      <c r="G281" t="s">
        <v>14</v>
      </c>
      <c r="H281" t="s">
        <v>15</v>
      </c>
      <c r="I281" t="s">
        <v>16</v>
      </c>
      <c r="J281" t="s">
        <v>27</v>
      </c>
      <c r="K281" t="s">
        <v>357</v>
      </c>
      <c r="L281">
        <v>117.49</v>
      </c>
      <c r="M281">
        <v>7</v>
      </c>
      <c r="N281" t="str">
        <f>IF(Walmart[[#This Row],[Quantity]]&gt;=7,"Bulk",IF(Walmart[[#This Row],[Quantity]]&gt;=2,"Multi","Single"))</f>
        <v>Bulk</v>
      </c>
      <c r="O281">
        <v>41.12</v>
      </c>
      <c r="P281" t="str">
        <f>IF(Walmart[[#This Row],[Sales]]&gt;=1000,"High Value", IF(Walmart[[#This Row],[Sales]]&gt;=500,"Medium Value","Low Value"))</f>
        <v>Low Value</v>
      </c>
    </row>
    <row r="282" spans="1:16" x14ac:dyDescent="0.3">
      <c r="A282" t="s">
        <v>2361</v>
      </c>
      <c r="B282" s="1">
        <v>41971</v>
      </c>
      <c r="C282" s="1" t="str">
        <f>TEXT(Walmart[[#This Row],[Order Date]],"mmmm")</f>
        <v>November</v>
      </c>
      <c r="D282" s="1">
        <v>41977</v>
      </c>
      <c r="E282" s="1" t="str">
        <f>IF(DATEDIF(Walmart[[#This Row],[Order Date]],Walmart[[#This Row],[Ship Date]],"D")&lt;7,"On time","Delayed")</f>
        <v>On time</v>
      </c>
      <c r="F282" t="s">
        <v>2362</v>
      </c>
      <c r="G282" t="s">
        <v>14</v>
      </c>
      <c r="H282" t="s">
        <v>15</v>
      </c>
      <c r="I282" t="s">
        <v>16</v>
      </c>
      <c r="J282" t="s">
        <v>146</v>
      </c>
      <c r="K282" t="s">
        <v>2363</v>
      </c>
      <c r="L282">
        <v>57.57</v>
      </c>
      <c r="M282">
        <v>4</v>
      </c>
      <c r="N282" t="str">
        <f>IF(Walmart[[#This Row],[Quantity]]&gt;=7,"Bulk",IF(Walmart[[#This Row],[Quantity]]&gt;=2,"Multi","Single"))</f>
        <v>Multi</v>
      </c>
      <c r="O282">
        <v>5.76</v>
      </c>
      <c r="P282" t="str">
        <f>IF(Walmart[[#This Row],[Sales]]&gt;=1000,"High Value", IF(Walmart[[#This Row],[Sales]]&gt;=500,"Medium Value","Low Value"))</f>
        <v>Low Value</v>
      </c>
    </row>
    <row r="283" spans="1:16" hidden="1" x14ac:dyDescent="0.3">
      <c r="A283" t="s">
        <v>893</v>
      </c>
      <c r="B283" s="1">
        <v>40707</v>
      </c>
      <c r="C283" s="1" t="str">
        <f>TEXT(Walmart[[#This Row],[Order Date]],"mmmm")</f>
        <v>June</v>
      </c>
      <c r="D283" s="1">
        <v>40711</v>
      </c>
      <c r="E283" s="1" t="str">
        <f>IF(DATEDIF(Walmart[[#This Row],[Order Date]],Walmart[[#This Row],[Ship Date]],"D")&lt;7,"On time","Delayed")</f>
        <v>On time</v>
      </c>
      <c r="F283" t="s">
        <v>894</v>
      </c>
      <c r="G283" t="s">
        <v>14</v>
      </c>
      <c r="H283" t="s">
        <v>15</v>
      </c>
      <c r="I283" t="s">
        <v>16</v>
      </c>
      <c r="J283" t="s">
        <v>38</v>
      </c>
      <c r="K283" t="s">
        <v>125</v>
      </c>
      <c r="L283">
        <v>14.52</v>
      </c>
      <c r="M283">
        <v>3</v>
      </c>
      <c r="N283" t="str">
        <f>IF(Walmart[[#This Row],[Quantity]]&gt;=7,"Bulk",IF(Walmart[[#This Row],[Quantity]]&gt;=2,"Multi","Single"))</f>
        <v>Multi</v>
      </c>
      <c r="O283">
        <v>4.79</v>
      </c>
      <c r="P283" t="str">
        <f>IF(Walmart[[#This Row],[Sales]]&gt;=1000,"High Value", IF(Walmart[[#This Row],[Sales]]&gt;=500,"Medium Value","Low Value"))</f>
        <v>Low Value</v>
      </c>
    </row>
    <row r="284" spans="1:16" hidden="1" x14ac:dyDescent="0.3">
      <c r="A284" t="s">
        <v>895</v>
      </c>
      <c r="B284" s="1">
        <v>41561</v>
      </c>
      <c r="C284" s="1" t="str">
        <f>TEXT(Walmart[[#This Row],[Order Date]],"mmmm")</f>
        <v>October</v>
      </c>
      <c r="D284" s="1">
        <v>41565</v>
      </c>
      <c r="E284" s="1" t="str">
        <f>IF(DATEDIF(Walmart[[#This Row],[Order Date]],Walmart[[#This Row],[Ship Date]],"D")&lt;7,"On time","Delayed")</f>
        <v>On time</v>
      </c>
      <c r="F284" t="s">
        <v>896</v>
      </c>
      <c r="G284" t="s">
        <v>14</v>
      </c>
      <c r="H284" t="s">
        <v>76</v>
      </c>
      <c r="I284" t="s">
        <v>77</v>
      </c>
      <c r="J284" t="s">
        <v>43</v>
      </c>
      <c r="K284" t="s">
        <v>897</v>
      </c>
      <c r="L284">
        <v>727.45</v>
      </c>
      <c r="M284">
        <v>5</v>
      </c>
      <c r="N284" t="str">
        <f>IF(Walmart[[#This Row],[Quantity]]&gt;=7,"Bulk",IF(Walmart[[#This Row],[Quantity]]&gt;=2,"Multi","Single"))</f>
        <v>Multi</v>
      </c>
      <c r="O284">
        <v>-465.57</v>
      </c>
      <c r="P284" t="str">
        <f>IF(Walmart[[#This Row],[Sales]]&gt;=1000,"High Value", IF(Walmart[[#This Row],[Sales]]&gt;=500,"Medium Value","Low Value"))</f>
        <v>Medium Value</v>
      </c>
    </row>
    <row r="285" spans="1:16" x14ac:dyDescent="0.3">
      <c r="A285" t="s">
        <v>2075</v>
      </c>
      <c r="B285" s="1">
        <v>41969</v>
      </c>
      <c r="C285" s="1" t="str">
        <f>TEXT(Walmart[[#This Row],[Order Date]],"mmmm")</f>
        <v>November</v>
      </c>
      <c r="D285" s="1">
        <v>41973</v>
      </c>
      <c r="E285" s="1" t="str">
        <f>IF(DATEDIF(Walmart[[#This Row],[Order Date]],Walmart[[#This Row],[Ship Date]],"D")&lt;7,"On time","Delayed")</f>
        <v>On time</v>
      </c>
      <c r="F285" t="s">
        <v>2076</v>
      </c>
      <c r="G285" t="s">
        <v>14</v>
      </c>
      <c r="H285" t="s">
        <v>37</v>
      </c>
      <c r="I285" t="s">
        <v>16</v>
      </c>
      <c r="J285" t="s">
        <v>671</v>
      </c>
      <c r="K285" t="s">
        <v>2077</v>
      </c>
      <c r="L285">
        <v>359.5</v>
      </c>
      <c r="M285">
        <v>3</v>
      </c>
      <c r="N285" t="str">
        <f>IF(Walmart[[#This Row],[Quantity]]&gt;=7,"Bulk",IF(Walmart[[#This Row],[Quantity]]&gt;=2,"Multi","Single"))</f>
        <v>Multi</v>
      </c>
      <c r="O285">
        <v>-29.61</v>
      </c>
      <c r="P285" t="str">
        <f>IF(Walmart[[#This Row],[Sales]]&gt;=1000,"High Value", IF(Walmart[[#This Row],[Sales]]&gt;=500,"Medium Value","Low Value"))</f>
        <v>Low Value</v>
      </c>
    </row>
    <row r="286" spans="1:16" hidden="1" x14ac:dyDescent="0.3">
      <c r="A286" t="s">
        <v>902</v>
      </c>
      <c r="B286" s="1">
        <v>41513</v>
      </c>
      <c r="C286" s="1" t="str">
        <f>TEXT(Walmart[[#This Row],[Order Date]],"mmmm")</f>
        <v>August</v>
      </c>
      <c r="D286" s="1">
        <v>41516</v>
      </c>
      <c r="E286" s="1" t="str">
        <f>IF(DATEDIF(Walmart[[#This Row],[Order Date]],Walmart[[#This Row],[Ship Date]],"D")&lt;7,"On time","Delayed")</f>
        <v>On time</v>
      </c>
      <c r="F286" t="s">
        <v>333</v>
      </c>
      <c r="G286" t="s">
        <v>14</v>
      </c>
      <c r="H286" t="s">
        <v>25</v>
      </c>
      <c r="I286" t="s">
        <v>26</v>
      </c>
      <c r="J286" t="s">
        <v>93</v>
      </c>
      <c r="K286" t="s">
        <v>903</v>
      </c>
      <c r="L286">
        <v>6.48</v>
      </c>
      <c r="M286">
        <v>1</v>
      </c>
      <c r="N286" t="str">
        <f>IF(Walmart[[#This Row],[Quantity]]&gt;=7,"Bulk",IF(Walmart[[#This Row],[Quantity]]&gt;=2,"Multi","Single"))</f>
        <v>Single</v>
      </c>
      <c r="O286">
        <v>3.11</v>
      </c>
      <c r="P286" t="str">
        <f>IF(Walmart[[#This Row],[Sales]]&gt;=1000,"High Value", IF(Walmart[[#This Row],[Sales]]&gt;=500,"Medium Value","Low Value"))</f>
        <v>Low Value</v>
      </c>
    </row>
    <row r="287" spans="1:16" hidden="1" x14ac:dyDescent="0.3">
      <c r="A287" t="s">
        <v>904</v>
      </c>
      <c r="B287" s="1">
        <v>40745</v>
      </c>
      <c r="C287" s="1" t="str">
        <f>TEXT(Walmart[[#This Row],[Order Date]],"mmmm")</f>
        <v>July</v>
      </c>
      <c r="D287" s="1">
        <v>40749</v>
      </c>
      <c r="E287" s="1" t="str">
        <f>IF(DATEDIF(Walmart[[#This Row],[Order Date]],Walmart[[#This Row],[Ship Date]],"D")&lt;7,"On time","Delayed")</f>
        <v>On time</v>
      </c>
      <c r="F287" t="s">
        <v>905</v>
      </c>
      <c r="G287" t="s">
        <v>14</v>
      </c>
      <c r="H287" t="s">
        <v>37</v>
      </c>
      <c r="I287" t="s">
        <v>16</v>
      </c>
      <c r="J287" t="s">
        <v>38</v>
      </c>
      <c r="K287" t="s">
        <v>906</v>
      </c>
      <c r="L287">
        <v>99.2</v>
      </c>
      <c r="M287">
        <v>5</v>
      </c>
      <c r="N287" t="str">
        <f>IF(Walmart[[#This Row],[Quantity]]&gt;=7,"Bulk",IF(Walmart[[#This Row],[Quantity]]&gt;=2,"Multi","Single"))</f>
        <v>Multi</v>
      </c>
      <c r="O287">
        <v>25.79</v>
      </c>
      <c r="P287" t="str">
        <f>IF(Walmart[[#This Row],[Sales]]&gt;=1000,"High Value", IF(Walmart[[#This Row],[Sales]]&gt;=500,"Medium Value","Low Value"))</f>
        <v>Low Value</v>
      </c>
    </row>
    <row r="288" spans="1:16" x14ac:dyDescent="0.3">
      <c r="A288" t="s">
        <v>2527</v>
      </c>
      <c r="B288" s="1">
        <v>41969</v>
      </c>
      <c r="C288" s="1" t="str">
        <f>TEXT(Walmart[[#This Row],[Order Date]],"mmmm")</f>
        <v>November</v>
      </c>
      <c r="D288" s="1">
        <v>41973</v>
      </c>
      <c r="E288" s="1" t="str">
        <f>IF(DATEDIF(Walmart[[#This Row],[Order Date]],Walmart[[#This Row],[Ship Date]],"D")&lt;7,"On time","Delayed")</f>
        <v>On time</v>
      </c>
      <c r="F288" t="s">
        <v>776</v>
      </c>
      <c r="G288" t="s">
        <v>14</v>
      </c>
      <c r="H288" t="s">
        <v>761</v>
      </c>
      <c r="I288" t="s">
        <v>16</v>
      </c>
      <c r="J288" t="s">
        <v>146</v>
      </c>
      <c r="K288" t="s">
        <v>1789</v>
      </c>
      <c r="L288">
        <v>39.96</v>
      </c>
      <c r="M288">
        <v>5</v>
      </c>
      <c r="N288" t="str">
        <f>IF(Walmart[[#This Row],[Quantity]]&gt;=7,"Bulk",IF(Walmart[[#This Row],[Quantity]]&gt;=2,"Multi","Single"))</f>
        <v>Multi</v>
      </c>
      <c r="O288">
        <v>3.5</v>
      </c>
      <c r="P288" t="str">
        <f>IF(Walmart[[#This Row],[Sales]]&gt;=1000,"High Value", IF(Walmart[[#This Row],[Sales]]&gt;=500,"Medium Value","Low Value"))</f>
        <v>Low Value</v>
      </c>
    </row>
    <row r="289" spans="1:16" x14ac:dyDescent="0.3">
      <c r="A289" t="s">
        <v>3190</v>
      </c>
      <c r="B289" s="1">
        <v>41969</v>
      </c>
      <c r="C289" s="1" t="str">
        <f>TEXT(Walmart[[#This Row],[Order Date]],"mmmm")</f>
        <v>November</v>
      </c>
      <c r="D289" s="1">
        <v>41975</v>
      </c>
      <c r="E289" s="1" t="str">
        <f>IF(DATEDIF(Walmart[[#This Row],[Order Date]],Walmart[[#This Row],[Ship Date]],"D")&lt;7,"On time","Delayed")</f>
        <v>On time</v>
      </c>
      <c r="F289" t="s">
        <v>502</v>
      </c>
      <c r="G289" t="s">
        <v>14</v>
      </c>
      <c r="H289" t="s">
        <v>37</v>
      </c>
      <c r="I289" t="s">
        <v>16</v>
      </c>
      <c r="J289" t="s">
        <v>38</v>
      </c>
      <c r="K289" t="s">
        <v>448</v>
      </c>
      <c r="L289">
        <v>5.16</v>
      </c>
      <c r="M289">
        <v>2</v>
      </c>
      <c r="N289" t="str">
        <f>IF(Walmart[[#This Row],[Quantity]]&gt;=7,"Bulk",IF(Walmart[[#This Row],[Quantity]]&gt;=2,"Multi","Single"))</f>
        <v>Multi</v>
      </c>
      <c r="O289">
        <v>1.34</v>
      </c>
      <c r="P289" t="str">
        <f>IF(Walmart[[#This Row],[Sales]]&gt;=1000,"High Value", IF(Walmart[[#This Row],[Sales]]&gt;=500,"Medium Value","Low Value"))</f>
        <v>Low Value</v>
      </c>
    </row>
    <row r="290" spans="1:16" hidden="1" x14ac:dyDescent="0.3">
      <c r="A290" t="s">
        <v>913</v>
      </c>
      <c r="B290" s="1">
        <v>41387</v>
      </c>
      <c r="C290" s="1" t="str">
        <f>TEXT(Walmart[[#This Row],[Order Date]],"mmmm")</f>
        <v>April</v>
      </c>
      <c r="D290" s="1">
        <v>41391</v>
      </c>
      <c r="E290" s="1" t="str">
        <f>IF(DATEDIF(Walmart[[#This Row],[Order Date]],Walmart[[#This Row],[Ship Date]],"D")&lt;7,"On time","Delayed")</f>
        <v>On time</v>
      </c>
      <c r="F290" t="s">
        <v>914</v>
      </c>
      <c r="G290" t="s">
        <v>14</v>
      </c>
      <c r="H290" t="s">
        <v>37</v>
      </c>
      <c r="I290" t="s">
        <v>16</v>
      </c>
      <c r="J290" t="s">
        <v>21</v>
      </c>
      <c r="K290" t="s">
        <v>915</v>
      </c>
      <c r="L290">
        <v>31.56</v>
      </c>
      <c r="M290">
        <v>3</v>
      </c>
      <c r="N290" t="str">
        <f>IF(Walmart[[#This Row],[Quantity]]&gt;=7,"Bulk",IF(Walmart[[#This Row],[Quantity]]&gt;=2,"Multi","Single"))</f>
        <v>Multi</v>
      </c>
      <c r="O290">
        <v>10.41</v>
      </c>
      <c r="P290" t="str">
        <f>IF(Walmart[[#This Row],[Sales]]&gt;=1000,"High Value", IF(Walmart[[#This Row],[Sales]]&gt;=500,"Medium Value","Low Value"))</f>
        <v>Low Value</v>
      </c>
    </row>
    <row r="291" spans="1:16" hidden="1" x14ac:dyDescent="0.3">
      <c r="A291" t="s">
        <v>916</v>
      </c>
      <c r="B291" s="1">
        <v>40616</v>
      </c>
      <c r="C291" s="1" t="str">
        <f>TEXT(Walmart[[#This Row],[Order Date]],"mmmm")</f>
        <v>March</v>
      </c>
      <c r="D291" s="1">
        <v>40620</v>
      </c>
      <c r="E291" s="1" t="str">
        <f>IF(DATEDIF(Walmart[[#This Row],[Order Date]],Walmart[[#This Row],[Ship Date]],"D")&lt;7,"On time","Delayed")</f>
        <v>On time</v>
      </c>
      <c r="F291" t="s">
        <v>308</v>
      </c>
      <c r="G291" t="s">
        <v>14</v>
      </c>
      <c r="H291" t="s">
        <v>237</v>
      </c>
      <c r="I291" t="s">
        <v>16</v>
      </c>
      <c r="J291" t="s">
        <v>93</v>
      </c>
      <c r="K291" t="s">
        <v>917</v>
      </c>
      <c r="L291">
        <v>10.56</v>
      </c>
      <c r="M291">
        <v>2</v>
      </c>
      <c r="N291" t="str">
        <f>IF(Walmart[[#This Row],[Quantity]]&gt;=7,"Bulk",IF(Walmart[[#This Row],[Quantity]]&gt;=2,"Multi","Single"))</f>
        <v>Multi</v>
      </c>
      <c r="O291">
        <v>4.75</v>
      </c>
      <c r="P291" t="str">
        <f>IF(Walmart[[#This Row],[Sales]]&gt;=1000,"High Value", IF(Walmart[[#This Row],[Sales]]&gt;=500,"Medium Value","Low Value"))</f>
        <v>Low Value</v>
      </c>
    </row>
    <row r="292" spans="1:16" hidden="1" x14ac:dyDescent="0.3">
      <c r="A292" t="s">
        <v>918</v>
      </c>
      <c r="B292" s="1">
        <v>41603</v>
      </c>
      <c r="C292" s="1" t="str">
        <f>TEXT(Walmart[[#This Row],[Order Date]],"mmmm")</f>
        <v>November</v>
      </c>
      <c r="D292" s="1">
        <v>41608</v>
      </c>
      <c r="E292" s="1" t="str">
        <f>IF(DATEDIF(Walmart[[#This Row],[Order Date]],Walmart[[#This Row],[Ship Date]],"D")&lt;7,"On time","Delayed")</f>
        <v>On time</v>
      </c>
      <c r="F292" t="s">
        <v>919</v>
      </c>
      <c r="G292" t="s">
        <v>14</v>
      </c>
      <c r="H292" t="s">
        <v>920</v>
      </c>
      <c r="I292" t="s">
        <v>69</v>
      </c>
      <c r="J292" t="s">
        <v>93</v>
      </c>
      <c r="K292" t="s">
        <v>921</v>
      </c>
      <c r="L292">
        <v>24.78</v>
      </c>
      <c r="M292">
        <v>1</v>
      </c>
      <c r="N292" t="str">
        <f>IF(Walmart[[#This Row],[Quantity]]&gt;=7,"Bulk",IF(Walmart[[#This Row],[Quantity]]&gt;=2,"Multi","Single"))</f>
        <v>Single</v>
      </c>
      <c r="O292">
        <v>7.75</v>
      </c>
      <c r="P292" t="str">
        <f>IF(Walmart[[#This Row],[Sales]]&gt;=1000,"High Value", IF(Walmart[[#This Row],[Sales]]&gt;=500,"Medium Value","Low Value"))</f>
        <v>Low Value</v>
      </c>
    </row>
    <row r="293" spans="1:16" hidden="1" x14ac:dyDescent="0.3">
      <c r="A293" t="s">
        <v>922</v>
      </c>
      <c r="B293" s="1">
        <v>41274</v>
      </c>
      <c r="C293" s="1" t="str">
        <f>TEXT(Walmart[[#This Row],[Order Date]],"mmmm")</f>
        <v>December</v>
      </c>
      <c r="D293" s="1">
        <v>41278</v>
      </c>
      <c r="E293" s="1" t="str">
        <f>IF(DATEDIF(Walmart[[#This Row],[Order Date]],Walmart[[#This Row],[Ship Date]],"D")&lt;7,"On time","Delayed")</f>
        <v>On time</v>
      </c>
      <c r="F293" t="s">
        <v>176</v>
      </c>
      <c r="G293" t="s">
        <v>14</v>
      </c>
      <c r="H293" t="s">
        <v>923</v>
      </c>
      <c r="I293" t="s">
        <v>286</v>
      </c>
      <c r="J293" t="s">
        <v>27</v>
      </c>
      <c r="K293" t="s">
        <v>924</v>
      </c>
      <c r="L293">
        <v>487.98</v>
      </c>
      <c r="M293">
        <v>2</v>
      </c>
      <c r="N293" t="str">
        <f>IF(Walmart[[#This Row],[Quantity]]&gt;=7,"Bulk",IF(Walmart[[#This Row],[Quantity]]&gt;=2,"Multi","Single"))</f>
        <v>Multi</v>
      </c>
      <c r="O293">
        <v>152.5</v>
      </c>
      <c r="P293" t="str">
        <f>IF(Walmart[[#This Row],[Sales]]&gt;=1000,"High Value", IF(Walmart[[#This Row],[Sales]]&gt;=500,"Medium Value","Low Value"))</f>
        <v>Low Value</v>
      </c>
    </row>
    <row r="294" spans="1:16" x14ac:dyDescent="0.3">
      <c r="A294" t="s">
        <v>1824</v>
      </c>
      <c r="B294" s="1">
        <v>41968</v>
      </c>
      <c r="C294" s="1" t="str">
        <f>TEXT(Walmart[[#This Row],[Order Date]],"mmmm")</f>
        <v>November</v>
      </c>
      <c r="D294" s="1">
        <v>41973</v>
      </c>
      <c r="E294" s="1" t="str">
        <f>IF(DATEDIF(Walmart[[#This Row],[Order Date]],Walmart[[#This Row],[Ship Date]],"D")&lt;7,"On time","Delayed")</f>
        <v>On time</v>
      </c>
      <c r="F294" t="s">
        <v>1825</v>
      </c>
      <c r="G294" t="s">
        <v>14</v>
      </c>
      <c r="H294" t="s">
        <v>299</v>
      </c>
      <c r="I294" t="s">
        <v>58</v>
      </c>
      <c r="J294" t="s">
        <v>27</v>
      </c>
      <c r="K294" t="s">
        <v>765</v>
      </c>
      <c r="L294">
        <v>20.72</v>
      </c>
      <c r="M294">
        <v>2</v>
      </c>
      <c r="N294" t="str">
        <f>IF(Walmart[[#This Row],[Quantity]]&gt;=7,"Bulk",IF(Walmart[[#This Row],[Quantity]]&gt;=2,"Multi","Single"))</f>
        <v>Multi</v>
      </c>
      <c r="O294">
        <v>-15.2</v>
      </c>
      <c r="P294" t="str">
        <f>IF(Walmart[[#This Row],[Sales]]&gt;=1000,"High Value", IF(Walmart[[#This Row],[Sales]]&gt;=500,"Medium Value","Low Value"))</f>
        <v>Low Value</v>
      </c>
    </row>
    <row r="295" spans="1:16" hidden="1" x14ac:dyDescent="0.3">
      <c r="A295" t="s">
        <v>928</v>
      </c>
      <c r="B295" s="1">
        <v>40942</v>
      </c>
      <c r="C295" s="1" t="str">
        <f>TEXT(Walmart[[#This Row],[Order Date]],"mmmm")</f>
        <v>February</v>
      </c>
      <c r="D295" s="1">
        <v>40943</v>
      </c>
      <c r="E295" s="1" t="str">
        <f>IF(DATEDIF(Walmart[[#This Row],[Order Date]],Walmart[[#This Row],[Ship Date]],"D")&lt;7,"On time","Delayed")</f>
        <v>On time</v>
      </c>
      <c r="F295" t="s">
        <v>689</v>
      </c>
      <c r="G295" t="s">
        <v>14</v>
      </c>
      <c r="H295" t="s">
        <v>15</v>
      </c>
      <c r="I295" t="s">
        <v>16</v>
      </c>
      <c r="J295" t="s">
        <v>21</v>
      </c>
      <c r="K295" t="s">
        <v>929</v>
      </c>
      <c r="L295">
        <v>136.91999999999999</v>
      </c>
      <c r="M295">
        <v>4</v>
      </c>
      <c r="N295" t="str">
        <f>IF(Walmart[[#This Row],[Quantity]]&gt;=7,"Bulk",IF(Walmart[[#This Row],[Quantity]]&gt;=2,"Multi","Single"))</f>
        <v>Multi</v>
      </c>
      <c r="O295">
        <v>41.08</v>
      </c>
      <c r="P295" t="str">
        <f>IF(Walmart[[#This Row],[Sales]]&gt;=1000,"High Value", IF(Walmart[[#This Row],[Sales]]&gt;=500,"Medium Value","Low Value"))</f>
        <v>Low Value</v>
      </c>
    </row>
    <row r="296" spans="1:16" hidden="1" x14ac:dyDescent="0.3">
      <c r="A296" t="s">
        <v>930</v>
      </c>
      <c r="B296" s="1">
        <v>41594</v>
      </c>
      <c r="C296" s="1" t="str">
        <f>TEXT(Walmart[[#This Row],[Order Date]],"mmmm")</f>
        <v>November</v>
      </c>
      <c r="D296" s="1">
        <v>41601</v>
      </c>
      <c r="E296" s="1" t="str">
        <f>IF(DATEDIF(Walmart[[#This Row],[Order Date]],Walmart[[#This Row],[Ship Date]],"D")&lt;7,"On time","Delayed")</f>
        <v>Delayed</v>
      </c>
      <c r="F296" t="s">
        <v>931</v>
      </c>
      <c r="G296" t="s">
        <v>14</v>
      </c>
      <c r="H296" t="s">
        <v>15</v>
      </c>
      <c r="I296" t="s">
        <v>16</v>
      </c>
      <c r="J296" t="s">
        <v>53</v>
      </c>
      <c r="K296" t="s">
        <v>932</v>
      </c>
      <c r="L296">
        <v>99.39</v>
      </c>
      <c r="M296">
        <v>3</v>
      </c>
      <c r="N296" t="str">
        <f>IF(Walmart[[#This Row],[Quantity]]&gt;=7,"Bulk",IF(Walmart[[#This Row],[Quantity]]&gt;=2,"Multi","Single"))</f>
        <v>Multi</v>
      </c>
      <c r="O296">
        <v>40.75</v>
      </c>
      <c r="P296" t="str">
        <f>IF(Walmart[[#This Row],[Sales]]&gt;=1000,"High Value", IF(Walmart[[#This Row],[Sales]]&gt;=500,"Medium Value","Low Value"))</f>
        <v>Low Value</v>
      </c>
    </row>
    <row r="297" spans="1:16" x14ac:dyDescent="0.3">
      <c r="A297" t="s">
        <v>1969</v>
      </c>
      <c r="B297" s="1">
        <v>41968</v>
      </c>
      <c r="C297" s="1" t="str">
        <f>TEXT(Walmart[[#This Row],[Order Date]],"mmmm")</f>
        <v>November</v>
      </c>
      <c r="D297" s="1">
        <v>41971</v>
      </c>
      <c r="E297" s="1" t="str">
        <f>IF(DATEDIF(Walmart[[#This Row],[Order Date]],Walmart[[#This Row],[Ship Date]],"D")&lt;7,"On time","Delayed")</f>
        <v>On time</v>
      </c>
      <c r="F297" t="s">
        <v>440</v>
      </c>
      <c r="G297" t="s">
        <v>14</v>
      </c>
      <c r="H297" t="s">
        <v>37</v>
      </c>
      <c r="I297" t="s">
        <v>16</v>
      </c>
      <c r="J297" t="s">
        <v>38</v>
      </c>
      <c r="K297" t="s">
        <v>1970</v>
      </c>
      <c r="L297">
        <v>27.76</v>
      </c>
      <c r="M297">
        <v>4</v>
      </c>
      <c r="N297" t="str">
        <f>IF(Walmart[[#This Row],[Quantity]]&gt;=7,"Bulk",IF(Walmart[[#This Row],[Quantity]]&gt;=2,"Multi","Single"))</f>
        <v>Multi</v>
      </c>
      <c r="O297">
        <v>9.99</v>
      </c>
      <c r="P297" t="str">
        <f>IF(Walmart[[#This Row],[Sales]]&gt;=1000,"High Value", IF(Walmart[[#This Row],[Sales]]&gt;=500,"Medium Value","Low Value"))</f>
        <v>Low Value</v>
      </c>
    </row>
    <row r="298" spans="1:16" x14ac:dyDescent="0.3">
      <c r="A298" t="s">
        <v>3307</v>
      </c>
      <c r="B298" s="1">
        <v>41968</v>
      </c>
      <c r="C298" s="1" t="str">
        <f>TEXT(Walmart[[#This Row],[Order Date]],"mmmm")</f>
        <v>November</v>
      </c>
      <c r="D298" s="1">
        <v>41968</v>
      </c>
      <c r="E298" s="1" t="str">
        <f>IF(DATEDIF(Walmart[[#This Row],[Order Date]],Walmart[[#This Row],[Ship Date]],"D")&lt;7,"On time","Delayed")</f>
        <v>On time</v>
      </c>
      <c r="F298" t="s">
        <v>1522</v>
      </c>
      <c r="G298" t="s">
        <v>14</v>
      </c>
      <c r="H298" t="s">
        <v>37</v>
      </c>
      <c r="I298" t="s">
        <v>16</v>
      </c>
      <c r="J298" t="s">
        <v>93</v>
      </c>
      <c r="K298" t="s">
        <v>3308</v>
      </c>
      <c r="L298">
        <v>7.78</v>
      </c>
      <c r="M298">
        <v>1</v>
      </c>
      <c r="N298" t="str">
        <f>IF(Walmart[[#This Row],[Quantity]]&gt;=7,"Bulk",IF(Walmart[[#This Row],[Quantity]]&gt;=2,"Multi","Single"))</f>
        <v>Single</v>
      </c>
      <c r="O298">
        <v>3.5</v>
      </c>
      <c r="P298" t="str">
        <f>IF(Walmart[[#This Row],[Sales]]&gt;=1000,"High Value", IF(Walmart[[#This Row],[Sales]]&gt;=500,"Medium Value","Low Value"))</f>
        <v>Low Value</v>
      </c>
    </row>
    <row r="299" spans="1:16" hidden="1" x14ac:dyDescent="0.3">
      <c r="A299" t="s">
        <v>937</v>
      </c>
      <c r="B299" s="1">
        <v>41435</v>
      </c>
      <c r="C299" s="1" t="str">
        <f>TEXT(Walmart[[#This Row],[Order Date]],"mmmm")</f>
        <v>June</v>
      </c>
      <c r="D299" s="1">
        <v>41441</v>
      </c>
      <c r="E299" s="1" t="str">
        <f>IF(DATEDIF(Walmart[[#This Row],[Order Date]],Walmart[[#This Row],[Ship Date]],"D")&lt;7,"On time","Delayed")</f>
        <v>On time</v>
      </c>
      <c r="F299" t="s">
        <v>609</v>
      </c>
      <c r="G299" t="s">
        <v>14</v>
      </c>
      <c r="H299" t="s">
        <v>15</v>
      </c>
      <c r="I299" t="s">
        <v>16</v>
      </c>
      <c r="J299" t="s">
        <v>146</v>
      </c>
      <c r="K299" t="s">
        <v>938</v>
      </c>
      <c r="L299">
        <v>177.48</v>
      </c>
      <c r="M299">
        <v>3</v>
      </c>
      <c r="N299" t="str">
        <f>IF(Walmart[[#This Row],[Quantity]]&gt;=7,"Bulk",IF(Walmart[[#This Row],[Quantity]]&gt;=2,"Multi","Single"))</f>
        <v>Multi</v>
      </c>
      <c r="O299">
        <v>19.97</v>
      </c>
      <c r="P299" t="str">
        <f>IF(Walmart[[#This Row],[Sales]]&gt;=1000,"High Value", IF(Walmart[[#This Row],[Sales]]&gt;=500,"Medium Value","Low Value"))</f>
        <v>Low Value</v>
      </c>
    </row>
    <row r="300" spans="1:16" x14ac:dyDescent="0.3">
      <c r="A300" t="s">
        <v>3504</v>
      </c>
      <c r="B300" s="1">
        <v>41968</v>
      </c>
      <c r="C300" s="1" t="str">
        <f>TEXT(Walmart[[#This Row],[Order Date]],"mmmm")</f>
        <v>November</v>
      </c>
      <c r="D300" s="1">
        <v>41968</v>
      </c>
      <c r="E300" s="1" t="str">
        <f>IF(DATEDIF(Walmart[[#This Row],[Order Date]],Walmart[[#This Row],[Ship Date]],"D")&lt;7,"On time","Delayed")</f>
        <v>On time</v>
      </c>
      <c r="F300" t="s">
        <v>2339</v>
      </c>
      <c r="G300" t="s">
        <v>14</v>
      </c>
      <c r="H300" t="s">
        <v>15</v>
      </c>
      <c r="I300" t="s">
        <v>16</v>
      </c>
      <c r="J300" t="s">
        <v>43</v>
      </c>
      <c r="K300" t="s">
        <v>3505</v>
      </c>
      <c r="L300">
        <v>364.08</v>
      </c>
      <c r="M300">
        <v>2</v>
      </c>
      <c r="N300" t="str">
        <f>IF(Walmart[[#This Row],[Quantity]]&gt;=7,"Bulk",IF(Walmart[[#This Row],[Quantity]]&gt;=2,"Multi","Single"))</f>
        <v>Multi</v>
      </c>
      <c r="O300">
        <v>9.1</v>
      </c>
      <c r="P300" t="str">
        <f>IF(Walmart[[#This Row],[Sales]]&gt;=1000,"High Value", IF(Walmart[[#This Row],[Sales]]&gt;=500,"Medium Value","Low Value"))</f>
        <v>Low Value</v>
      </c>
    </row>
    <row r="301" spans="1:16" x14ac:dyDescent="0.3">
      <c r="A301" t="s">
        <v>3538</v>
      </c>
      <c r="B301" s="1">
        <v>41968</v>
      </c>
      <c r="C301" s="1" t="str">
        <f>TEXT(Walmart[[#This Row],[Order Date]],"mmmm")</f>
        <v>November</v>
      </c>
      <c r="D301" s="1">
        <v>41974</v>
      </c>
      <c r="E301" s="1" t="str">
        <f>IF(DATEDIF(Walmart[[#This Row],[Order Date]],Walmart[[#This Row],[Ship Date]],"D")&lt;7,"On time","Delayed")</f>
        <v>On time</v>
      </c>
      <c r="F301" t="s">
        <v>363</v>
      </c>
      <c r="G301" t="s">
        <v>14</v>
      </c>
      <c r="H301" t="s">
        <v>37</v>
      </c>
      <c r="I301" t="s">
        <v>16</v>
      </c>
      <c r="J301" t="s">
        <v>53</v>
      </c>
      <c r="K301" t="s">
        <v>2833</v>
      </c>
      <c r="L301">
        <v>223.58</v>
      </c>
      <c r="M301">
        <v>14</v>
      </c>
      <c r="N301" t="str">
        <f>IF(Walmart[[#This Row],[Quantity]]&gt;=7,"Bulk",IF(Walmart[[#This Row],[Quantity]]&gt;=2,"Multi","Single"))</f>
        <v>Bulk</v>
      </c>
      <c r="O301">
        <v>87.2</v>
      </c>
      <c r="P301" t="str">
        <f>IF(Walmart[[#This Row],[Sales]]&gt;=1000,"High Value", IF(Walmart[[#This Row],[Sales]]&gt;=500,"Medium Value","Low Value"))</f>
        <v>Low Value</v>
      </c>
    </row>
    <row r="302" spans="1:16" hidden="1" x14ac:dyDescent="0.3">
      <c r="A302" t="s">
        <v>945</v>
      </c>
      <c r="B302" s="1">
        <v>41606</v>
      </c>
      <c r="C302" s="1" t="str">
        <f>TEXT(Walmart[[#This Row],[Order Date]],"mmmm")</f>
        <v>November</v>
      </c>
      <c r="D302" s="1">
        <v>41608</v>
      </c>
      <c r="E302" s="1" t="str">
        <f>IF(DATEDIF(Walmart[[#This Row],[Order Date]],Walmart[[#This Row],[Ship Date]],"D")&lt;7,"On time","Delayed")</f>
        <v>On time</v>
      </c>
      <c r="F302" t="s">
        <v>946</v>
      </c>
      <c r="G302" t="s">
        <v>14</v>
      </c>
      <c r="H302" t="s">
        <v>104</v>
      </c>
      <c r="I302" t="s">
        <v>58</v>
      </c>
      <c r="J302" t="s">
        <v>146</v>
      </c>
      <c r="K302" t="s">
        <v>947</v>
      </c>
      <c r="L302">
        <v>271.99</v>
      </c>
      <c r="M302">
        <v>1</v>
      </c>
      <c r="N302" t="str">
        <f>IF(Walmart[[#This Row],[Quantity]]&gt;=7,"Bulk",IF(Walmart[[#This Row],[Quantity]]&gt;=2,"Multi","Single"))</f>
        <v>Single</v>
      </c>
      <c r="O302">
        <v>23.8</v>
      </c>
      <c r="P302" t="str">
        <f>IF(Walmart[[#This Row],[Sales]]&gt;=1000,"High Value", IF(Walmart[[#This Row],[Sales]]&gt;=500,"Medium Value","Low Value"))</f>
        <v>Low Value</v>
      </c>
    </row>
    <row r="303" spans="1:16" x14ac:dyDescent="0.3">
      <c r="A303" t="s">
        <v>907</v>
      </c>
      <c r="B303" s="1">
        <v>41965</v>
      </c>
      <c r="C303" s="1" t="str">
        <f>TEXT(Walmart[[#This Row],[Order Date]],"mmmm")</f>
        <v>November</v>
      </c>
      <c r="D303" s="1">
        <v>41969</v>
      </c>
      <c r="E303" s="1" t="str">
        <f>IF(DATEDIF(Walmart[[#This Row],[Order Date]],Walmart[[#This Row],[Ship Date]],"D")&lt;7,"On time","Delayed")</f>
        <v>On time</v>
      </c>
      <c r="F303" t="s">
        <v>908</v>
      </c>
      <c r="G303" t="s">
        <v>14</v>
      </c>
      <c r="H303" t="s">
        <v>909</v>
      </c>
      <c r="I303" t="s">
        <v>26</v>
      </c>
      <c r="J303" t="s">
        <v>43</v>
      </c>
      <c r="K303" t="s">
        <v>910</v>
      </c>
      <c r="L303">
        <v>70.98</v>
      </c>
      <c r="M303">
        <v>1</v>
      </c>
      <c r="N303" t="str">
        <f>IF(Walmart[[#This Row],[Quantity]]&gt;=7,"Bulk",IF(Walmart[[#This Row],[Quantity]]&gt;=2,"Multi","Single"))</f>
        <v>Single</v>
      </c>
      <c r="O303">
        <v>20.58</v>
      </c>
      <c r="P303" t="str">
        <f>IF(Walmart[[#This Row],[Sales]]&gt;=1000,"High Value", IF(Walmart[[#This Row],[Sales]]&gt;=500,"Medium Value","Low Value"))</f>
        <v>Low Value</v>
      </c>
    </row>
    <row r="304" spans="1:16" hidden="1" x14ac:dyDescent="0.3">
      <c r="A304" t="s">
        <v>950</v>
      </c>
      <c r="B304" s="1">
        <v>41054</v>
      </c>
      <c r="C304" s="1" t="str">
        <f>TEXT(Walmart[[#This Row],[Order Date]],"mmmm")</f>
        <v>May</v>
      </c>
      <c r="D304" s="1">
        <v>41056</v>
      </c>
      <c r="E304" s="1" t="str">
        <f>IF(DATEDIF(Walmart[[#This Row],[Order Date]],Walmart[[#This Row],[Ship Date]],"D")&lt;7,"On time","Delayed")</f>
        <v>On time</v>
      </c>
      <c r="F304" t="s">
        <v>951</v>
      </c>
      <c r="G304" t="s">
        <v>14</v>
      </c>
      <c r="H304" t="s">
        <v>37</v>
      </c>
      <c r="I304" t="s">
        <v>16</v>
      </c>
      <c r="J304" t="s">
        <v>21</v>
      </c>
      <c r="K304" t="s">
        <v>952</v>
      </c>
      <c r="L304">
        <v>14.73</v>
      </c>
      <c r="M304">
        <v>3</v>
      </c>
      <c r="N304" t="str">
        <f>IF(Walmart[[#This Row],[Quantity]]&gt;=7,"Bulk",IF(Walmart[[#This Row],[Quantity]]&gt;=2,"Multi","Single"))</f>
        <v>Multi</v>
      </c>
      <c r="O304">
        <v>4.8600000000000003</v>
      </c>
      <c r="P304" t="str">
        <f>IF(Walmart[[#This Row],[Sales]]&gt;=1000,"High Value", IF(Walmart[[#This Row],[Sales]]&gt;=500,"Medium Value","Low Value"))</f>
        <v>Low Value</v>
      </c>
    </row>
    <row r="305" spans="1:16" hidden="1" x14ac:dyDescent="0.3">
      <c r="A305" t="s">
        <v>953</v>
      </c>
      <c r="B305" s="1">
        <v>41464</v>
      </c>
      <c r="C305" s="1" t="str">
        <f>TEXT(Walmart[[#This Row],[Order Date]],"mmmm")</f>
        <v>July</v>
      </c>
      <c r="D305" s="1">
        <v>41468</v>
      </c>
      <c r="E305" s="1" t="str">
        <f>IF(DATEDIF(Walmart[[#This Row],[Order Date]],Walmart[[#This Row],[Ship Date]],"D")&lt;7,"On time","Delayed")</f>
        <v>On time</v>
      </c>
      <c r="F305" t="s">
        <v>954</v>
      </c>
      <c r="G305" t="s">
        <v>14</v>
      </c>
      <c r="H305" t="s">
        <v>955</v>
      </c>
      <c r="I305" t="s">
        <v>77</v>
      </c>
      <c r="J305" t="s">
        <v>27</v>
      </c>
      <c r="K305" t="s">
        <v>956</v>
      </c>
      <c r="L305">
        <v>19.97</v>
      </c>
      <c r="M305">
        <v>2</v>
      </c>
      <c r="N305" t="str">
        <f>IF(Walmart[[#This Row],[Quantity]]&gt;=7,"Bulk",IF(Walmart[[#This Row],[Quantity]]&gt;=2,"Multi","Single"))</f>
        <v>Multi</v>
      </c>
      <c r="O305">
        <v>-13.31</v>
      </c>
      <c r="P305" t="str">
        <f>IF(Walmart[[#This Row],[Sales]]&gt;=1000,"High Value", IF(Walmart[[#This Row],[Sales]]&gt;=500,"Medium Value","Low Value"))</f>
        <v>Low Value</v>
      </c>
    </row>
    <row r="306" spans="1:16" hidden="1" x14ac:dyDescent="0.3">
      <c r="A306" t="s">
        <v>957</v>
      </c>
      <c r="B306" s="1">
        <v>41037</v>
      </c>
      <c r="C306" s="1" t="str">
        <f>TEXT(Walmart[[#This Row],[Order Date]],"mmmm")</f>
        <v>May</v>
      </c>
      <c r="D306" s="1">
        <v>41041</v>
      </c>
      <c r="E306" s="1" t="str">
        <f>IF(DATEDIF(Walmart[[#This Row],[Order Date]],Walmart[[#This Row],[Ship Date]],"D")&lt;7,"On time","Delayed")</f>
        <v>On time</v>
      </c>
      <c r="F306" t="s">
        <v>298</v>
      </c>
      <c r="G306" t="s">
        <v>14</v>
      </c>
      <c r="H306" t="s">
        <v>341</v>
      </c>
      <c r="I306" t="s">
        <v>69</v>
      </c>
      <c r="J306" t="s">
        <v>38</v>
      </c>
      <c r="K306" t="s">
        <v>958</v>
      </c>
      <c r="L306">
        <v>5.25</v>
      </c>
      <c r="M306">
        <v>2</v>
      </c>
      <c r="N306" t="str">
        <f>IF(Walmart[[#This Row],[Quantity]]&gt;=7,"Bulk",IF(Walmart[[#This Row],[Quantity]]&gt;=2,"Multi","Single"))</f>
        <v>Multi</v>
      </c>
      <c r="O306">
        <v>0.59</v>
      </c>
      <c r="P306" t="str">
        <f>IF(Walmart[[#This Row],[Sales]]&gt;=1000,"High Value", IF(Walmart[[#This Row],[Sales]]&gt;=500,"Medium Value","Low Value"))</f>
        <v>Low Value</v>
      </c>
    </row>
    <row r="307" spans="1:16" hidden="1" x14ac:dyDescent="0.3">
      <c r="A307" t="s">
        <v>959</v>
      </c>
      <c r="B307" s="1">
        <v>41379</v>
      </c>
      <c r="C307" s="1" t="str">
        <f>TEXT(Walmart[[#This Row],[Order Date]],"mmmm")</f>
        <v>April</v>
      </c>
      <c r="D307" s="1">
        <v>41379</v>
      </c>
      <c r="E307" s="1" t="str">
        <f>IF(DATEDIF(Walmart[[#This Row],[Order Date]],Walmart[[#This Row],[Ship Date]],"D")&lt;7,"On time","Delayed")</f>
        <v>On time</v>
      </c>
      <c r="F307" t="s">
        <v>660</v>
      </c>
      <c r="G307" t="s">
        <v>14</v>
      </c>
      <c r="H307" t="s">
        <v>712</v>
      </c>
      <c r="I307" t="s">
        <v>58</v>
      </c>
      <c r="J307" t="s">
        <v>88</v>
      </c>
      <c r="K307" t="s">
        <v>960</v>
      </c>
      <c r="L307">
        <v>933.54</v>
      </c>
      <c r="M307">
        <v>4</v>
      </c>
      <c r="N307" t="str">
        <f>IF(Walmart[[#This Row],[Quantity]]&gt;=7,"Bulk",IF(Walmart[[#This Row],[Quantity]]&gt;=2,"Multi","Single"))</f>
        <v>Multi</v>
      </c>
      <c r="O307">
        <v>105.02</v>
      </c>
      <c r="P307" t="str">
        <f>IF(Walmart[[#This Row],[Sales]]&gt;=1000,"High Value", IF(Walmart[[#This Row],[Sales]]&gt;=500,"Medium Value","Low Value"))</f>
        <v>Medium Value</v>
      </c>
    </row>
    <row r="308" spans="1:16" hidden="1" x14ac:dyDescent="0.3">
      <c r="A308" t="s">
        <v>961</v>
      </c>
      <c r="B308" s="1">
        <v>40872</v>
      </c>
      <c r="C308" s="1" t="str">
        <f>TEXT(Walmart[[#This Row],[Order Date]],"mmmm")</f>
        <v>November</v>
      </c>
      <c r="D308" s="1">
        <v>40874</v>
      </c>
      <c r="E308" s="1" t="str">
        <f>IF(DATEDIF(Walmart[[#This Row],[Order Date]],Walmart[[#This Row],[Ship Date]],"D")&lt;7,"On time","Delayed")</f>
        <v>On time</v>
      </c>
      <c r="F308" t="s">
        <v>962</v>
      </c>
      <c r="G308" t="s">
        <v>14</v>
      </c>
      <c r="H308" t="s">
        <v>164</v>
      </c>
      <c r="I308" t="s">
        <v>16</v>
      </c>
      <c r="J308" t="s">
        <v>105</v>
      </c>
      <c r="K308" t="s">
        <v>841</v>
      </c>
      <c r="L308">
        <v>320.88</v>
      </c>
      <c r="M308">
        <v>6</v>
      </c>
      <c r="N308" t="str">
        <f>IF(Walmart[[#This Row],[Quantity]]&gt;=7,"Bulk",IF(Walmart[[#This Row],[Quantity]]&gt;=2,"Multi","Single"))</f>
        <v>Multi</v>
      </c>
      <c r="O308">
        <v>93.06</v>
      </c>
      <c r="P308" t="str">
        <f>IF(Walmart[[#This Row],[Sales]]&gt;=1000,"High Value", IF(Walmart[[#This Row],[Sales]]&gt;=500,"Medium Value","Low Value"))</f>
        <v>Low Value</v>
      </c>
    </row>
    <row r="309" spans="1:16" x14ac:dyDescent="0.3">
      <c r="A309" t="s">
        <v>1083</v>
      </c>
      <c r="B309" s="1">
        <v>41965</v>
      </c>
      <c r="C309" s="1" t="str">
        <f>TEXT(Walmart[[#This Row],[Order Date]],"mmmm")</f>
        <v>November</v>
      </c>
      <c r="D309" s="1">
        <v>41969</v>
      </c>
      <c r="E309" s="1" t="str">
        <f>IF(DATEDIF(Walmart[[#This Row],[Order Date]],Walmart[[#This Row],[Ship Date]],"D")&lt;7,"On time","Delayed")</f>
        <v>On time</v>
      </c>
      <c r="F309" t="s">
        <v>1084</v>
      </c>
      <c r="G309" t="s">
        <v>14</v>
      </c>
      <c r="H309" t="s">
        <v>100</v>
      </c>
      <c r="I309" t="s">
        <v>16</v>
      </c>
      <c r="J309" t="s">
        <v>33</v>
      </c>
      <c r="K309" t="s">
        <v>821</v>
      </c>
      <c r="L309">
        <v>56.56</v>
      </c>
      <c r="M309">
        <v>2</v>
      </c>
      <c r="N309" t="str">
        <f>IF(Walmart[[#This Row],[Quantity]]&gt;=7,"Bulk",IF(Walmart[[#This Row],[Quantity]]&gt;=2,"Multi","Single"))</f>
        <v>Multi</v>
      </c>
      <c r="O309">
        <v>15.27</v>
      </c>
      <c r="P309" t="str">
        <f>IF(Walmart[[#This Row],[Sales]]&gt;=1000,"High Value", IF(Walmart[[#This Row],[Sales]]&gt;=500,"Medium Value","Low Value"))</f>
        <v>Low Value</v>
      </c>
    </row>
    <row r="310" spans="1:16" x14ac:dyDescent="0.3">
      <c r="A310" t="s">
        <v>2466</v>
      </c>
      <c r="B310" s="1">
        <v>41965</v>
      </c>
      <c r="C310" s="1" t="str">
        <f>TEXT(Walmart[[#This Row],[Order Date]],"mmmm")</f>
        <v>November</v>
      </c>
      <c r="D310" s="1">
        <v>41969</v>
      </c>
      <c r="E310" s="1" t="str">
        <f>IF(DATEDIF(Walmart[[#This Row],[Order Date]],Walmart[[#This Row],[Ship Date]],"D")&lt;7,"On time","Delayed")</f>
        <v>On time</v>
      </c>
      <c r="F310" t="s">
        <v>2304</v>
      </c>
      <c r="G310" t="s">
        <v>14</v>
      </c>
      <c r="H310" t="s">
        <v>37</v>
      </c>
      <c r="I310" t="s">
        <v>16</v>
      </c>
      <c r="J310" t="s">
        <v>38</v>
      </c>
      <c r="K310" t="s">
        <v>329</v>
      </c>
      <c r="L310">
        <v>11.76</v>
      </c>
      <c r="M310">
        <v>4</v>
      </c>
      <c r="N310" t="str">
        <f>IF(Walmart[[#This Row],[Quantity]]&gt;=7,"Bulk",IF(Walmart[[#This Row],[Quantity]]&gt;=2,"Multi","Single"))</f>
        <v>Multi</v>
      </c>
      <c r="O310">
        <v>3.18</v>
      </c>
      <c r="P310" t="str">
        <f>IF(Walmart[[#This Row],[Sales]]&gt;=1000,"High Value", IF(Walmart[[#This Row],[Sales]]&gt;=500,"Medium Value","Low Value"))</f>
        <v>Low Value</v>
      </c>
    </row>
    <row r="311" spans="1:16" hidden="1" x14ac:dyDescent="0.3">
      <c r="A311" t="s">
        <v>968</v>
      </c>
      <c r="B311" s="1">
        <v>40987</v>
      </c>
      <c r="C311" s="1" t="str">
        <f>TEXT(Walmart[[#This Row],[Order Date]],"mmmm")</f>
        <v>March</v>
      </c>
      <c r="D311" s="1">
        <v>40991</v>
      </c>
      <c r="E311" s="1" t="str">
        <f>IF(DATEDIF(Walmart[[#This Row],[Order Date]],Walmart[[#This Row],[Ship Date]],"D")&lt;7,"On time","Delayed")</f>
        <v>On time</v>
      </c>
      <c r="F311" t="s">
        <v>969</v>
      </c>
      <c r="G311" t="s">
        <v>14</v>
      </c>
      <c r="H311" t="s">
        <v>970</v>
      </c>
      <c r="I311" t="s">
        <v>16</v>
      </c>
      <c r="J311" t="s">
        <v>27</v>
      </c>
      <c r="K311" t="s">
        <v>971</v>
      </c>
      <c r="L311">
        <v>17.57</v>
      </c>
      <c r="M311">
        <v>2</v>
      </c>
      <c r="N311" t="str">
        <f>IF(Walmart[[#This Row],[Quantity]]&gt;=7,"Bulk",IF(Walmart[[#This Row],[Quantity]]&gt;=2,"Multi","Single"))</f>
        <v>Multi</v>
      </c>
      <c r="O311">
        <v>6.37</v>
      </c>
      <c r="P311" t="str">
        <f>IF(Walmart[[#This Row],[Sales]]&gt;=1000,"High Value", IF(Walmart[[#This Row],[Sales]]&gt;=500,"Medium Value","Low Value"))</f>
        <v>Low Value</v>
      </c>
    </row>
    <row r="312" spans="1:16" x14ac:dyDescent="0.3">
      <c r="A312" t="s">
        <v>2541</v>
      </c>
      <c r="B312" s="1">
        <v>41965</v>
      </c>
      <c r="C312" s="1" t="str">
        <f>TEXT(Walmart[[#This Row],[Order Date]],"mmmm")</f>
        <v>November</v>
      </c>
      <c r="D312" s="1">
        <v>41969</v>
      </c>
      <c r="E312" s="1" t="str">
        <f>IF(DATEDIF(Walmart[[#This Row],[Order Date]],Walmart[[#This Row],[Ship Date]],"D")&lt;7,"On time","Delayed")</f>
        <v>On time</v>
      </c>
      <c r="F312" t="s">
        <v>2247</v>
      </c>
      <c r="G312" t="s">
        <v>14</v>
      </c>
      <c r="H312" t="s">
        <v>2542</v>
      </c>
      <c r="I312" t="s">
        <v>26</v>
      </c>
      <c r="J312" t="s">
        <v>27</v>
      </c>
      <c r="K312" t="s">
        <v>279</v>
      </c>
      <c r="L312">
        <v>150.80000000000001</v>
      </c>
      <c r="M312">
        <v>5</v>
      </c>
      <c r="N312" t="str">
        <f>IF(Walmart[[#This Row],[Quantity]]&gt;=7,"Bulk",IF(Walmart[[#This Row],[Quantity]]&gt;=2,"Multi","Single"))</f>
        <v>Multi</v>
      </c>
      <c r="O312">
        <v>56.55</v>
      </c>
      <c r="P312" t="str">
        <f>IF(Walmart[[#This Row],[Sales]]&gt;=1000,"High Value", IF(Walmart[[#This Row],[Sales]]&gt;=500,"Medium Value","Low Value"))</f>
        <v>Low Value</v>
      </c>
    </row>
    <row r="313" spans="1:16" hidden="1" x14ac:dyDescent="0.3">
      <c r="A313" t="s">
        <v>975</v>
      </c>
      <c r="B313" s="1">
        <v>40981</v>
      </c>
      <c r="C313" s="1" t="str">
        <f>TEXT(Walmart[[#This Row],[Order Date]],"mmmm")</f>
        <v>March</v>
      </c>
      <c r="D313" s="1">
        <v>40983</v>
      </c>
      <c r="E313" s="1" t="str">
        <f>IF(DATEDIF(Walmart[[#This Row],[Order Date]],Walmart[[#This Row],[Ship Date]],"D")&lt;7,"On time","Delayed")</f>
        <v>On time</v>
      </c>
      <c r="F313" t="s">
        <v>976</v>
      </c>
      <c r="G313" t="s">
        <v>14</v>
      </c>
      <c r="H313" t="s">
        <v>25</v>
      </c>
      <c r="I313" t="s">
        <v>26</v>
      </c>
      <c r="J313" t="s">
        <v>671</v>
      </c>
      <c r="K313" t="s">
        <v>977</v>
      </c>
      <c r="L313">
        <v>141.96</v>
      </c>
      <c r="M313">
        <v>2</v>
      </c>
      <c r="N313" t="str">
        <f>IF(Walmart[[#This Row],[Quantity]]&gt;=7,"Bulk",IF(Walmart[[#This Row],[Quantity]]&gt;=2,"Multi","Single"))</f>
        <v>Multi</v>
      </c>
      <c r="O313">
        <v>39.75</v>
      </c>
      <c r="P313" t="str">
        <f>IF(Walmart[[#This Row],[Sales]]&gt;=1000,"High Value", IF(Walmart[[#This Row],[Sales]]&gt;=500,"Medium Value","Low Value"))</f>
        <v>Low Value</v>
      </c>
    </row>
    <row r="314" spans="1:16" hidden="1" x14ac:dyDescent="0.3">
      <c r="A314" t="s">
        <v>978</v>
      </c>
      <c r="B314" s="1">
        <v>41526</v>
      </c>
      <c r="C314" s="1" t="str">
        <f>TEXT(Walmart[[#This Row],[Order Date]],"mmmm")</f>
        <v>September</v>
      </c>
      <c r="D314" s="1">
        <v>41528</v>
      </c>
      <c r="E314" s="1" t="str">
        <f>IF(DATEDIF(Walmart[[#This Row],[Order Date]],Walmart[[#This Row],[Ship Date]],"D")&lt;7,"On time","Delayed")</f>
        <v>On time</v>
      </c>
      <c r="F314" t="s">
        <v>943</v>
      </c>
      <c r="G314" t="s">
        <v>14</v>
      </c>
      <c r="H314" t="s">
        <v>412</v>
      </c>
      <c r="I314" t="s">
        <v>16</v>
      </c>
      <c r="J314" t="s">
        <v>27</v>
      </c>
      <c r="K314" t="s">
        <v>979</v>
      </c>
      <c r="L314">
        <v>33.020000000000003</v>
      </c>
      <c r="M314">
        <v>2</v>
      </c>
      <c r="N314" t="str">
        <f>IF(Walmart[[#This Row],[Quantity]]&gt;=7,"Bulk",IF(Walmart[[#This Row],[Quantity]]&gt;=2,"Multi","Single"))</f>
        <v>Multi</v>
      </c>
      <c r="O314">
        <v>11.56</v>
      </c>
      <c r="P314" t="str">
        <f>IF(Walmart[[#This Row],[Sales]]&gt;=1000,"High Value", IF(Walmart[[#This Row],[Sales]]&gt;=500,"Medium Value","Low Value"))</f>
        <v>Low Value</v>
      </c>
    </row>
    <row r="315" spans="1:16" hidden="1" x14ac:dyDescent="0.3">
      <c r="A315" t="s">
        <v>980</v>
      </c>
      <c r="B315" s="1">
        <v>40931</v>
      </c>
      <c r="C315" s="1" t="str">
        <f>TEXT(Walmart[[#This Row],[Order Date]],"mmmm")</f>
        <v>January</v>
      </c>
      <c r="D315" s="1">
        <v>40935</v>
      </c>
      <c r="E315" s="1" t="str">
        <f>IF(DATEDIF(Walmart[[#This Row],[Order Date]],Walmart[[#This Row],[Ship Date]],"D")&lt;7,"On time","Delayed")</f>
        <v>On time</v>
      </c>
      <c r="F315" t="s">
        <v>981</v>
      </c>
      <c r="G315" t="s">
        <v>14</v>
      </c>
      <c r="H315" t="s">
        <v>982</v>
      </c>
      <c r="I315" t="s">
        <v>286</v>
      </c>
      <c r="J315" t="s">
        <v>93</v>
      </c>
      <c r="K315" t="s">
        <v>983</v>
      </c>
      <c r="L315">
        <v>29.04</v>
      </c>
      <c r="M315">
        <v>3</v>
      </c>
      <c r="N315" t="str">
        <f>IF(Walmart[[#This Row],[Quantity]]&gt;=7,"Bulk",IF(Walmart[[#This Row],[Quantity]]&gt;=2,"Multi","Single"))</f>
        <v>Multi</v>
      </c>
      <c r="O315">
        <v>13.94</v>
      </c>
      <c r="P315" t="str">
        <f>IF(Walmart[[#This Row],[Sales]]&gt;=1000,"High Value", IF(Walmart[[#This Row],[Sales]]&gt;=500,"Medium Value","Low Value"))</f>
        <v>Low Value</v>
      </c>
    </row>
    <row r="316" spans="1:16" hidden="1" x14ac:dyDescent="0.3">
      <c r="A316" t="s">
        <v>984</v>
      </c>
      <c r="B316" s="1">
        <v>41078</v>
      </c>
      <c r="C316" s="1" t="str">
        <f>TEXT(Walmart[[#This Row],[Order Date]],"mmmm")</f>
        <v>June</v>
      </c>
      <c r="D316" s="1">
        <v>41083</v>
      </c>
      <c r="E316" s="1" t="str">
        <f>IF(DATEDIF(Walmart[[#This Row],[Order Date]],Walmart[[#This Row],[Ship Date]],"D")&lt;7,"On time","Delayed")</f>
        <v>On time</v>
      </c>
      <c r="F316" t="s">
        <v>543</v>
      </c>
      <c r="G316" t="s">
        <v>14</v>
      </c>
      <c r="H316" t="s">
        <v>985</v>
      </c>
      <c r="I316" t="s">
        <v>58</v>
      </c>
      <c r="J316" t="s">
        <v>93</v>
      </c>
      <c r="K316" t="s">
        <v>986</v>
      </c>
      <c r="L316">
        <v>11.95</v>
      </c>
      <c r="M316">
        <v>3</v>
      </c>
      <c r="N316" t="str">
        <f>IF(Walmart[[#This Row],[Quantity]]&gt;=7,"Bulk",IF(Walmart[[#This Row],[Quantity]]&gt;=2,"Multi","Single"))</f>
        <v>Multi</v>
      </c>
      <c r="O316">
        <v>4.33</v>
      </c>
      <c r="P316" t="str">
        <f>IF(Walmart[[#This Row],[Sales]]&gt;=1000,"High Value", IF(Walmart[[#This Row],[Sales]]&gt;=500,"Medium Value","Low Value"))</f>
        <v>Low Value</v>
      </c>
    </row>
    <row r="317" spans="1:16" hidden="1" x14ac:dyDescent="0.3">
      <c r="A317" t="s">
        <v>987</v>
      </c>
      <c r="B317" s="1">
        <v>41184</v>
      </c>
      <c r="C317" s="1" t="str">
        <f>TEXT(Walmart[[#This Row],[Order Date]],"mmmm")</f>
        <v>October</v>
      </c>
      <c r="D317" s="1">
        <v>41190</v>
      </c>
      <c r="E317" s="1" t="str">
        <f>IF(DATEDIF(Walmart[[#This Row],[Order Date]],Walmart[[#This Row],[Ship Date]],"D")&lt;7,"On time","Delayed")</f>
        <v>On time</v>
      </c>
      <c r="F317" t="s">
        <v>988</v>
      </c>
      <c r="G317" t="s">
        <v>14</v>
      </c>
      <c r="H317" t="s">
        <v>160</v>
      </c>
      <c r="I317" t="s">
        <v>16</v>
      </c>
      <c r="J317" t="s">
        <v>27</v>
      </c>
      <c r="K317" t="s">
        <v>989</v>
      </c>
      <c r="L317">
        <v>57.5</v>
      </c>
      <c r="M317">
        <v>6</v>
      </c>
      <c r="N317" t="str">
        <f>IF(Walmart[[#This Row],[Quantity]]&gt;=7,"Bulk",IF(Walmart[[#This Row],[Quantity]]&gt;=2,"Multi","Single"))</f>
        <v>Multi</v>
      </c>
      <c r="O317">
        <v>20.13</v>
      </c>
      <c r="P317" t="str">
        <f>IF(Walmart[[#This Row],[Sales]]&gt;=1000,"High Value", IF(Walmart[[#This Row],[Sales]]&gt;=500,"Medium Value","Low Value"))</f>
        <v>Low Value</v>
      </c>
    </row>
    <row r="318" spans="1:16" hidden="1" x14ac:dyDescent="0.3">
      <c r="A318" t="s">
        <v>990</v>
      </c>
      <c r="B318" s="1">
        <v>40847</v>
      </c>
      <c r="C318" s="1" t="str">
        <f>TEXT(Walmart[[#This Row],[Order Date]],"mmmm")</f>
        <v>October</v>
      </c>
      <c r="D318" s="1">
        <v>40851</v>
      </c>
      <c r="E318" s="1" t="str">
        <f>IF(DATEDIF(Walmart[[#This Row],[Order Date]],Walmart[[#This Row],[Ship Date]],"D")&lt;7,"On time","Delayed")</f>
        <v>On time</v>
      </c>
      <c r="F318" t="s">
        <v>577</v>
      </c>
      <c r="G318" t="s">
        <v>14</v>
      </c>
      <c r="H318" t="s">
        <v>15</v>
      </c>
      <c r="I318" t="s">
        <v>16</v>
      </c>
      <c r="J318" t="s">
        <v>191</v>
      </c>
      <c r="K318" t="s">
        <v>125</v>
      </c>
      <c r="L318">
        <v>11.34</v>
      </c>
      <c r="M318">
        <v>3</v>
      </c>
      <c r="N318" t="str">
        <f>IF(Walmart[[#This Row],[Quantity]]&gt;=7,"Bulk",IF(Walmart[[#This Row],[Quantity]]&gt;=2,"Multi","Single"))</f>
        <v>Multi</v>
      </c>
      <c r="O318">
        <v>5.22</v>
      </c>
      <c r="P318" t="str">
        <f>IF(Walmart[[#This Row],[Sales]]&gt;=1000,"High Value", IF(Walmart[[#This Row],[Sales]]&gt;=500,"Medium Value","Low Value"))</f>
        <v>Low Value</v>
      </c>
    </row>
    <row r="319" spans="1:16" hidden="1" x14ac:dyDescent="0.3">
      <c r="A319" t="s">
        <v>991</v>
      </c>
      <c r="B319" s="1">
        <v>41012</v>
      </c>
      <c r="C319" s="1" t="str">
        <f>TEXT(Walmart[[#This Row],[Order Date]],"mmmm")</f>
        <v>April</v>
      </c>
      <c r="D319" s="1">
        <v>41018</v>
      </c>
      <c r="E319" s="1" t="str">
        <f>IF(DATEDIF(Walmart[[#This Row],[Order Date]],Walmart[[#This Row],[Ship Date]],"D")&lt;7,"On time","Delayed")</f>
        <v>On time</v>
      </c>
      <c r="F319" t="s">
        <v>340</v>
      </c>
      <c r="G319" t="s">
        <v>14</v>
      </c>
      <c r="H319" t="s">
        <v>743</v>
      </c>
      <c r="I319" t="s">
        <v>16</v>
      </c>
      <c r="J319" t="s">
        <v>53</v>
      </c>
      <c r="K319" t="s">
        <v>992</v>
      </c>
      <c r="L319">
        <v>199.96</v>
      </c>
      <c r="M319">
        <v>4</v>
      </c>
      <c r="N319" t="str">
        <f>IF(Walmart[[#This Row],[Quantity]]&gt;=7,"Bulk",IF(Walmart[[#This Row],[Quantity]]&gt;=2,"Multi","Single"))</f>
        <v>Multi</v>
      </c>
      <c r="O319">
        <v>69.989999999999995</v>
      </c>
      <c r="P319" t="str">
        <f>IF(Walmart[[#This Row],[Sales]]&gt;=1000,"High Value", IF(Walmart[[#This Row],[Sales]]&gt;=500,"Medium Value","Low Value"))</f>
        <v>Low Value</v>
      </c>
    </row>
    <row r="320" spans="1:16" x14ac:dyDescent="0.3">
      <c r="A320" t="s">
        <v>314</v>
      </c>
      <c r="B320" s="1">
        <v>41964</v>
      </c>
      <c r="C320" s="1" t="str">
        <f>TEXT(Walmart[[#This Row],[Order Date]],"mmmm")</f>
        <v>November</v>
      </c>
      <c r="D320" s="1">
        <v>41966</v>
      </c>
      <c r="E320" s="1" t="str">
        <f>IF(DATEDIF(Walmart[[#This Row],[Order Date]],Walmart[[#This Row],[Ship Date]],"D")&lt;7,"On time","Delayed")</f>
        <v>On time</v>
      </c>
      <c r="F320" t="s">
        <v>315</v>
      </c>
      <c r="G320" t="s">
        <v>14</v>
      </c>
      <c r="H320" t="s">
        <v>37</v>
      </c>
      <c r="I320" t="s">
        <v>16</v>
      </c>
      <c r="J320" t="s">
        <v>21</v>
      </c>
      <c r="K320" t="s">
        <v>316</v>
      </c>
      <c r="L320">
        <v>42.6</v>
      </c>
      <c r="M320">
        <v>3</v>
      </c>
      <c r="N320" t="str">
        <f>IF(Walmart[[#This Row],[Quantity]]&gt;=7,"Bulk",IF(Walmart[[#This Row],[Quantity]]&gt;=2,"Multi","Single"))</f>
        <v>Multi</v>
      </c>
      <c r="O320">
        <v>16.61</v>
      </c>
      <c r="P320" t="str">
        <f>IF(Walmart[[#This Row],[Sales]]&gt;=1000,"High Value", IF(Walmart[[#This Row],[Sales]]&gt;=500,"Medium Value","Low Value"))</f>
        <v>Low Value</v>
      </c>
    </row>
    <row r="321" spans="1:16" hidden="1" x14ac:dyDescent="0.3">
      <c r="A321" t="s">
        <v>997</v>
      </c>
      <c r="B321" s="1">
        <v>41605</v>
      </c>
      <c r="C321" s="1" t="str">
        <f>TEXT(Walmart[[#This Row],[Order Date]],"mmmm")</f>
        <v>November</v>
      </c>
      <c r="D321" s="1">
        <v>41611</v>
      </c>
      <c r="E321" s="1" t="str">
        <f>IF(DATEDIF(Walmart[[#This Row],[Order Date]],Walmart[[#This Row],[Ship Date]],"D")&lt;7,"On time","Delayed")</f>
        <v>On time</v>
      </c>
      <c r="F321" t="s">
        <v>998</v>
      </c>
      <c r="G321" t="s">
        <v>14</v>
      </c>
      <c r="H321" t="s">
        <v>25</v>
      </c>
      <c r="I321" t="s">
        <v>26</v>
      </c>
      <c r="J321" t="s">
        <v>27</v>
      </c>
      <c r="K321" t="s">
        <v>999</v>
      </c>
      <c r="L321">
        <v>7.31</v>
      </c>
      <c r="M321">
        <v>2</v>
      </c>
      <c r="N321" t="str">
        <f>IF(Walmart[[#This Row],[Quantity]]&gt;=7,"Bulk",IF(Walmart[[#This Row],[Quantity]]&gt;=2,"Multi","Single"))</f>
        <v>Multi</v>
      </c>
      <c r="O321">
        <v>2.56</v>
      </c>
      <c r="P321" t="str">
        <f>IF(Walmart[[#This Row],[Sales]]&gt;=1000,"High Value", IF(Walmart[[#This Row],[Sales]]&gt;=500,"Medium Value","Low Value"))</f>
        <v>Low Value</v>
      </c>
    </row>
    <row r="322" spans="1:16" x14ac:dyDescent="0.3">
      <c r="A322" t="s">
        <v>993</v>
      </c>
      <c r="B322" s="1">
        <v>41964</v>
      </c>
      <c r="C322" s="1" t="str">
        <f>TEXT(Walmart[[#This Row],[Order Date]],"mmmm")</f>
        <v>November</v>
      </c>
      <c r="D322" s="1">
        <v>41969</v>
      </c>
      <c r="E322" s="1" t="str">
        <f>IF(DATEDIF(Walmart[[#This Row],[Order Date]],Walmart[[#This Row],[Ship Date]],"D")&lt;7,"On time","Delayed")</f>
        <v>On time</v>
      </c>
      <c r="F322" t="s">
        <v>994</v>
      </c>
      <c r="G322" t="s">
        <v>14</v>
      </c>
      <c r="H322" t="s">
        <v>995</v>
      </c>
      <c r="I322" t="s">
        <v>16</v>
      </c>
      <c r="J322" t="s">
        <v>88</v>
      </c>
      <c r="K322" t="s">
        <v>996</v>
      </c>
      <c r="L322">
        <v>283.92</v>
      </c>
      <c r="M322">
        <v>5</v>
      </c>
      <c r="N322" t="str">
        <f>IF(Walmart[[#This Row],[Quantity]]&gt;=7,"Bulk",IF(Walmart[[#This Row],[Quantity]]&gt;=2,"Multi","Single"))</f>
        <v>Multi</v>
      </c>
      <c r="O322">
        <v>-46.14</v>
      </c>
      <c r="P322" t="str">
        <f>IF(Walmart[[#This Row],[Sales]]&gt;=1000,"High Value", IF(Walmart[[#This Row],[Sales]]&gt;=500,"Medium Value","Low Value"))</f>
        <v>Low Value</v>
      </c>
    </row>
    <row r="323" spans="1:16" hidden="1" x14ac:dyDescent="0.3">
      <c r="A323" t="s">
        <v>1002</v>
      </c>
      <c r="B323" s="1">
        <v>40878</v>
      </c>
      <c r="C323" s="1" t="str">
        <f>TEXT(Walmart[[#This Row],[Order Date]],"mmmm")</f>
        <v>December</v>
      </c>
      <c r="D323" s="1">
        <v>40882</v>
      </c>
      <c r="E323" s="1" t="str">
        <f>IF(DATEDIF(Walmart[[#This Row],[Order Date]],Walmart[[#This Row],[Ship Date]],"D")&lt;7,"On time","Delayed")</f>
        <v>On time</v>
      </c>
      <c r="F323" t="s">
        <v>1003</v>
      </c>
      <c r="G323" t="s">
        <v>14</v>
      </c>
      <c r="H323" t="s">
        <v>37</v>
      </c>
      <c r="I323" t="s">
        <v>16</v>
      </c>
      <c r="J323" t="s">
        <v>21</v>
      </c>
      <c r="K323" t="s">
        <v>1004</v>
      </c>
      <c r="L323">
        <v>58.2</v>
      </c>
      <c r="M323">
        <v>3</v>
      </c>
      <c r="N323" t="str">
        <f>IF(Walmart[[#This Row],[Quantity]]&gt;=7,"Bulk",IF(Walmart[[#This Row],[Quantity]]&gt;=2,"Multi","Single"))</f>
        <v>Multi</v>
      </c>
      <c r="O323">
        <v>28.52</v>
      </c>
      <c r="P323" t="str">
        <f>IF(Walmart[[#This Row],[Sales]]&gt;=1000,"High Value", IF(Walmart[[#This Row],[Sales]]&gt;=500,"Medium Value","Low Value"))</f>
        <v>Low Value</v>
      </c>
    </row>
    <row r="324" spans="1:16" hidden="1" x14ac:dyDescent="0.3">
      <c r="A324" t="s">
        <v>1005</v>
      </c>
      <c r="B324" s="1">
        <v>41267</v>
      </c>
      <c r="C324" s="1" t="str">
        <f>TEXT(Walmart[[#This Row],[Order Date]],"mmmm")</f>
        <v>December</v>
      </c>
      <c r="D324" s="1">
        <v>41272</v>
      </c>
      <c r="E324" s="1" t="str">
        <f>IF(DATEDIF(Walmart[[#This Row],[Order Date]],Walmart[[#This Row],[Ship Date]],"D")&lt;7,"On time","Delayed")</f>
        <v>On time</v>
      </c>
      <c r="F324" t="s">
        <v>1006</v>
      </c>
      <c r="G324" t="s">
        <v>14</v>
      </c>
      <c r="H324" t="s">
        <v>84</v>
      </c>
      <c r="I324" t="s">
        <v>58</v>
      </c>
      <c r="J324" t="s">
        <v>93</v>
      </c>
      <c r="K324" t="s">
        <v>1007</v>
      </c>
      <c r="L324">
        <v>106.23</v>
      </c>
      <c r="M324">
        <v>7</v>
      </c>
      <c r="N324" t="str">
        <f>IF(Walmart[[#This Row],[Quantity]]&gt;=7,"Bulk",IF(Walmart[[#This Row],[Quantity]]&gt;=2,"Multi","Single"))</f>
        <v>Bulk</v>
      </c>
      <c r="O324">
        <v>37.18</v>
      </c>
      <c r="P324" t="str">
        <f>IF(Walmart[[#This Row],[Sales]]&gt;=1000,"High Value", IF(Walmart[[#This Row],[Sales]]&gt;=500,"Medium Value","Low Value"))</f>
        <v>Low Value</v>
      </c>
    </row>
    <row r="325" spans="1:16" x14ac:dyDescent="0.3">
      <c r="A325" t="s">
        <v>716</v>
      </c>
      <c r="B325" s="1">
        <v>41963</v>
      </c>
      <c r="C325" s="1" t="str">
        <f>TEXT(Walmart[[#This Row],[Order Date]],"mmmm")</f>
        <v>November</v>
      </c>
      <c r="D325" s="1">
        <v>41964</v>
      </c>
      <c r="E325" s="1" t="str">
        <f>IF(DATEDIF(Walmart[[#This Row],[Order Date]],Walmart[[#This Row],[Ship Date]],"D")&lt;7,"On time","Delayed")</f>
        <v>On time</v>
      </c>
      <c r="F325" t="s">
        <v>72</v>
      </c>
      <c r="G325" t="s">
        <v>14</v>
      </c>
      <c r="H325" t="s">
        <v>717</v>
      </c>
      <c r="I325" t="s">
        <v>16</v>
      </c>
      <c r="J325" t="s">
        <v>146</v>
      </c>
      <c r="K325" t="s">
        <v>718</v>
      </c>
      <c r="L325">
        <v>31.97</v>
      </c>
      <c r="M325">
        <v>4</v>
      </c>
      <c r="N325" t="str">
        <f>IF(Walmart[[#This Row],[Quantity]]&gt;=7,"Bulk",IF(Walmart[[#This Row],[Quantity]]&gt;=2,"Multi","Single"))</f>
        <v>Multi</v>
      </c>
      <c r="O325">
        <v>2.4</v>
      </c>
      <c r="P325" t="str">
        <f>IF(Walmart[[#This Row],[Sales]]&gt;=1000,"High Value", IF(Walmart[[#This Row],[Sales]]&gt;=500,"Medium Value","Low Value"))</f>
        <v>Low Value</v>
      </c>
    </row>
    <row r="326" spans="1:16" hidden="1" x14ac:dyDescent="0.3">
      <c r="A326" t="s">
        <v>1011</v>
      </c>
      <c r="B326" s="1">
        <v>41208</v>
      </c>
      <c r="C326" s="1" t="str">
        <f>TEXT(Walmart[[#This Row],[Order Date]],"mmmm")</f>
        <v>October</v>
      </c>
      <c r="D326" s="1">
        <v>41212</v>
      </c>
      <c r="E326" s="1" t="str">
        <f>IF(DATEDIF(Walmart[[#This Row],[Order Date]],Walmart[[#This Row],[Ship Date]],"D")&lt;7,"On time","Delayed")</f>
        <v>On time</v>
      </c>
      <c r="F326" t="s">
        <v>277</v>
      </c>
      <c r="G326" t="s">
        <v>14</v>
      </c>
      <c r="H326" t="s">
        <v>1012</v>
      </c>
      <c r="I326" t="s">
        <v>16</v>
      </c>
      <c r="J326" t="s">
        <v>17</v>
      </c>
      <c r="K326" t="s">
        <v>1013</v>
      </c>
      <c r="L326">
        <v>5.76</v>
      </c>
      <c r="M326">
        <v>2</v>
      </c>
      <c r="N326" t="str">
        <f>IF(Walmart[[#This Row],[Quantity]]&gt;=7,"Bulk",IF(Walmart[[#This Row],[Quantity]]&gt;=2,"Multi","Single"))</f>
        <v>Multi</v>
      </c>
      <c r="O326">
        <v>2.65</v>
      </c>
      <c r="P326" t="str">
        <f>IF(Walmart[[#This Row],[Sales]]&gt;=1000,"High Value", IF(Walmart[[#This Row],[Sales]]&gt;=500,"Medium Value","Low Value"))</f>
        <v>Low Value</v>
      </c>
    </row>
    <row r="327" spans="1:16" hidden="1" x14ac:dyDescent="0.3">
      <c r="A327" t="s">
        <v>1014</v>
      </c>
      <c r="B327" s="1">
        <v>41012</v>
      </c>
      <c r="C327" s="1" t="str">
        <f>TEXT(Walmart[[#This Row],[Order Date]],"mmmm")</f>
        <v>April</v>
      </c>
      <c r="D327" s="1">
        <v>41014</v>
      </c>
      <c r="E327" s="1" t="str">
        <f>IF(DATEDIF(Walmart[[#This Row],[Order Date]],Walmart[[#This Row],[Ship Date]],"D")&lt;7,"On time","Delayed")</f>
        <v>On time</v>
      </c>
      <c r="F327" t="s">
        <v>1015</v>
      </c>
      <c r="G327" t="s">
        <v>14</v>
      </c>
      <c r="H327" t="s">
        <v>467</v>
      </c>
      <c r="I327" t="s">
        <v>123</v>
      </c>
      <c r="J327" t="s">
        <v>334</v>
      </c>
      <c r="K327" t="s">
        <v>335</v>
      </c>
      <c r="L327">
        <v>12.88</v>
      </c>
      <c r="M327">
        <v>1</v>
      </c>
      <c r="N327" t="str">
        <f>IF(Walmart[[#This Row],[Quantity]]&gt;=7,"Bulk",IF(Walmart[[#This Row],[Quantity]]&gt;=2,"Multi","Single"))</f>
        <v>Single</v>
      </c>
      <c r="O327">
        <v>0.39</v>
      </c>
      <c r="P327" t="str">
        <f>IF(Walmart[[#This Row],[Sales]]&gt;=1000,"High Value", IF(Walmart[[#This Row],[Sales]]&gt;=500,"Medium Value","Low Value"))</f>
        <v>Low Value</v>
      </c>
    </row>
    <row r="328" spans="1:16" x14ac:dyDescent="0.3">
      <c r="A328" t="s">
        <v>1387</v>
      </c>
      <c r="B328" s="1">
        <v>41963</v>
      </c>
      <c r="C328" s="1" t="str">
        <f>TEXT(Walmart[[#This Row],[Order Date]],"mmmm")</f>
        <v>November</v>
      </c>
      <c r="D328" s="1">
        <v>41968</v>
      </c>
      <c r="E328" s="1" t="str">
        <f>IF(DATEDIF(Walmart[[#This Row],[Order Date]],Walmart[[#This Row],[Ship Date]],"D")&lt;7,"On time","Delayed")</f>
        <v>On time</v>
      </c>
      <c r="F328" t="s">
        <v>1388</v>
      </c>
      <c r="G328" t="s">
        <v>14</v>
      </c>
      <c r="H328" t="s">
        <v>15</v>
      </c>
      <c r="I328" t="s">
        <v>16</v>
      </c>
      <c r="J328" t="s">
        <v>33</v>
      </c>
      <c r="K328" t="s">
        <v>1389</v>
      </c>
      <c r="L328">
        <v>305.01</v>
      </c>
      <c r="M328">
        <v>9</v>
      </c>
      <c r="N328" t="str">
        <f>IF(Walmart[[#This Row],[Quantity]]&gt;=7,"Bulk",IF(Walmart[[#This Row],[Quantity]]&gt;=2,"Multi","Single"))</f>
        <v>Bulk</v>
      </c>
      <c r="O328">
        <v>76.25</v>
      </c>
      <c r="P328" t="str">
        <f>IF(Walmart[[#This Row],[Sales]]&gt;=1000,"High Value", IF(Walmart[[#This Row],[Sales]]&gt;=500,"Medium Value","Low Value"))</f>
        <v>Low Value</v>
      </c>
    </row>
    <row r="329" spans="1:16" hidden="1" x14ac:dyDescent="0.3">
      <c r="A329" t="s">
        <v>1018</v>
      </c>
      <c r="B329" s="1">
        <v>40612</v>
      </c>
      <c r="C329" s="1" t="str">
        <f>TEXT(Walmart[[#This Row],[Order Date]],"mmmm")</f>
        <v>March</v>
      </c>
      <c r="D329" s="1">
        <v>40619</v>
      </c>
      <c r="E329" s="1" t="str">
        <f>IF(DATEDIF(Walmart[[#This Row],[Order Date]],Walmart[[#This Row],[Ship Date]],"D")&lt;7,"On time","Delayed")</f>
        <v>Delayed</v>
      </c>
      <c r="F329" t="s">
        <v>1019</v>
      </c>
      <c r="G329" t="s">
        <v>14</v>
      </c>
      <c r="H329" t="s">
        <v>141</v>
      </c>
      <c r="I329" t="s">
        <v>77</v>
      </c>
      <c r="J329" t="s">
        <v>33</v>
      </c>
      <c r="K329" t="s">
        <v>1020</v>
      </c>
      <c r="L329">
        <v>636.41</v>
      </c>
      <c r="M329">
        <v>3</v>
      </c>
      <c r="N329" t="str">
        <f>IF(Walmart[[#This Row],[Quantity]]&gt;=7,"Bulk",IF(Walmart[[#This Row],[Quantity]]&gt;=2,"Multi","Single"))</f>
        <v>Multi</v>
      </c>
      <c r="O329">
        <v>-15.91</v>
      </c>
      <c r="P329" t="str">
        <f>IF(Walmart[[#This Row],[Sales]]&gt;=1000,"High Value", IF(Walmart[[#This Row],[Sales]]&gt;=500,"Medium Value","Low Value"))</f>
        <v>Medium Value</v>
      </c>
    </row>
    <row r="330" spans="1:16" hidden="1" x14ac:dyDescent="0.3">
      <c r="A330" t="s">
        <v>1021</v>
      </c>
      <c r="B330" s="1">
        <v>40742</v>
      </c>
      <c r="C330" s="1" t="str">
        <f>TEXT(Walmart[[#This Row],[Order Date]],"mmmm")</f>
        <v>July</v>
      </c>
      <c r="D330" s="1">
        <v>40742</v>
      </c>
      <c r="E330" s="1" t="str">
        <f>IF(DATEDIF(Walmart[[#This Row],[Order Date]],Walmart[[#This Row],[Ship Date]],"D")&lt;7,"On time","Delayed")</f>
        <v>On time</v>
      </c>
      <c r="F330" t="s">
        <v>1022</v>
      </c>
      <c r="G330" t="s">
        <v>14</v>
      </c>
      <c r="H330" t="s">
        <v>215</v>
      </c>
      <c r="I330" t="s">
        <v>58</v>
      </c>
      <c r="J330" t="s">
        <v>88</v>
      </c>
      <c r="K330" t="s">
        <v>1023</v>
      </c>
      <c r="L330">
        <v>259.14</v>
      </c>
      <c r="M330">
        <v>4</v>
      </c>
      <c r="N330" t="str">
        <f>IF(Walmart[[#This Row],[Quantity]]&gt;=7,"Bulk",IF(Walmart[[#This Row],[Quantity]]&gt;=2,"Multi","Single"))</f>
        <v>Multi</v>
      </c>
      <c r="O330">
        <v>-25.91</v>
      </c>
      <c r="P330" t="str">
        <f>IF(Walmart[[#This Row],[Sales]]&gt;=1000,"High Value", IF(Walmart[[#This Row],[Sales]]&gt;=500,"Medium Value","Low Value"))</f>
        <v>Low Value</v>
      </c>
    </row>
    <row r="331" spans="1:16" hidden="1" x14ac:dyDescent="0.3">
      <c r="A331" t="s">
        <v>1024</v>
      </c>
      <c r="B331" s="1">
        <v>41213</v>
      </c>
      <c r="C331" s="1" t="str">
        <f>TEXT(Walmart[[#This Row],[Order Date]],"mmmm")</f>
        <v>October</v>
      </c>
      <c r="D331" s="1">
        <v>41213</v>
      </c>
      <c r="E331" s="1" t="str">
        <f>IF(DATEDIF(Walmart[[#This Row],[Order Date]],Walmart[[#This Row],[Ship Date]],"D")&lt;7,"On time","Delayed")</f>
        <v>On time</v>
      </c>
      <c r="F331" t="s">
        <v>1025</v>
      </c>
      <c r="G331" t="s">
        <v>14</v>
      </c>
      <c r="H331" t="s">
        <v>137</v>
      </c>
      <c r="I331" t="s">
        <v>16</v>
      </c>
      <c r="J331" t="s">
        <v>93</v>
      </c>
      <c r="K331" t="s">
        <v>234</v>
      </c>
      <c r="L331">
        <v>19.98</v>
      </c>
      <c r="M331">
        <v>1</v>
      </c>
      <c r="N331" t="str">
        <f>IF(Walmart[[#This Row],[Quantity]]&gt;=7,"Bulk",IF(Walmart[[#This Row],[Quantity]]&gt;=2,"Multi","Single"))</f>
        <v>Single</v>
      </c>
      <c r="O331">
        <v>9.39</v>
      </c>
      <c r="P331" t="str">
        <f>IF(Walmart[[#This Row],[Sales]]&gt;=1000,"High Value", IF(Walmart[[#This Row],[Sales]]&gt;=500,"Medium Value","Low Value"))</f>
        <v>Low Value</v>
      </c>
    </row>
    <row r="332" spans="1:16" hidden="1" x14ac:dyDescent="0.3">
      <c r="A332" t="s">
        <v>1026</v>
      </c>
      <c r="B332" s="1">
        <v>41537</v>
      </c>
      <c r="C332" s="1" t="str">
        <f>TEXT(Walmart[[#This Row],[Order Date]],"mmmm")</f>
        <v>September</v>
      </c>
      <c r="D332" s="1">
        <v>41541</v>
      </c>
      <c r="E332" s="1" t="str">
        <f>IF(DATEDIF(Walmart[[#This Row],[Order Date]],Walmart[[#This Row],[Ship Date]],"D")&lt;7,"On time","Delayed")</f>
        <v>On time</v>
      </c>
      <c r="F332" t="s">
        <v>1027</v>
      </c>
      <c r="G332" t="s">
        <v>14</v>
      </c>
      <c r="H332" t="s">
        <v>1028</v>
      </c>
      <c r="I332" t="s">
        <v>16</v>
      </c>
      <c r="J332" t="s">
        <v>93</v>
      </c>
      <c r="K332" t="s">
        <v>1029</v>
      </c>
      <c r="L332">
        <v>159.88</v>
      </c>
      <c r="M332">
        <v>7</v>
      </c>
      <c r="N332" t="str">
        <f>IF(Walmart[[#This Row],[Quantity]]&gt;=7,"Bulk",IF(Walmart[[#This Row],[Quantity]]&gt;=2,"Multi","Single"))</f>
        <v>Bulk</v>
      </c>
      <c r="O332">
        <v>73.540000000000006</v>
      </c>
      <c r="P332" t="str">
        <f>IF(Walmart[[#This Row],[Sales]]&gt;=1000,"High Value", IF(Walmart[[#This Row],[Sales]]&gt;=500,"Medium Value","Low Value"))</f>
        <v>Low Value</v>
      </c>
    </row>
    <row r="333" spans="1:16" x14ac:dyDescent="0.3">
      <c r="A333" t="s">
        <v>819</v>
      </c>
      <c r="B333" s="1">
        <v>41962</v>
      </c>
      <c r="C333" s="1" t="str">
        <f>TEXT(Walmart[[#This Row],[Order Date]],"mmmm")</f>
        <v>November</v>
      </c>
      <c r="D333" s="1">
        <v>41965</v>
      </c>
      <c r="E333" s="1" t="str">
        <f>IF(DATEDIF(Walmart[[#This Row],[Order Date]],Walmart[[#This Row],[Ship Date]],"D")&lt;7,"On time","Delayed")</f>
        <v>On time</v>
      </c>
      <c r="F333" t="s">
        <v>820</v>
      </c>
      <c r="G333" t="s">
        <v>14</v>
      </c>
      <c r="H333" t="s">
        <v>25</v>
      </c>
      <c r="I333" t="s">
        <v>26</v>
      </c>
      <c r="J333" t="s">
        <v>33</v>
      </c>
      <c r="K333" t="s">
        <v>821</v>
      </c>
      <c r="L333">
        <v>169.68</v>
      </c>
      <c r="M333">
        <v>6</v>
      </c>
      <c r="N333" t="str">
        <f>IF(Walmart[[#This Row],[Quantity]]&gt;=7,"Bulk",IF(Walmart[[#This Row],[Quantity]]&gt;=2,"Multi","Single"))</f>
        <v>Multi</v>
      </c>
      <c r="O333">
        <v>45.81</v>
      </c>
      <c r="P333" t="str">
        <f>IF(Walmart[[#This Row],[Sales]]&gt;=1000,"High Value", IF(Walmart[[#This Row],[Sales]]&gt;=500,"Medium Value","Low Value"))</f>
        <v>Low Value</v>
      </c>
    </row>
    <row r="334" spans="1:16" x14ac:dyDescent="0.3">
      <c r="A334" t="s">
        <v>2761</v>
      </c>
      <c r="B334" s="1">
        <v>41961</v>
      </c>
      <c r="C334" s="1" t="str">
        <f>TEXT(Walmart[[#This Row],[Order Date]],"mmmm")</f>
        <v>November</v>
      </c>
      <c r="D334" s="1">
        <v>41968</v>
      </c>
      <c r="E334" s="1" t="str">
        <f>IF(DATEDIF(Walmart[[#This Row],[Order Date]],Walmart[[#This Row],[Ship Date]],"D")&lt;7,"On time","Delayed")</f>
        <v>Delayed</v>
      </c>
      <c r="F334" t="s">
        <v>577</v>
      </c>
      <c r="G334" t="s">
        <v>14</v>
      </c>
      <c r="H334" t="s">
        <v>25</v>
      </c>
      <c r="I334" t="s">
        <v>26</v>
      </c>
      <c r="J334" t="s">
        <v>27</v>
      </c>
      <c r="K334" t="s">
        <v>636</v>
      </c>
      <c r="L334">
        <v>13.9</v>
      </c>
      <c r="M334">
        <v>2</v>
      </c>
      <c r="N334" t="str">
        <f>IF(Walmart[[#This Row],[Quantity]]&gt;=7,"Bulk",IF(Walmart[[#This Row],[Quantity]]&gt;=2,"Multi","Single"))</f>
        <v>Multi</v>
      </c>
      <c r="O334">
        <v>4.5199999999999996</v>
      </c>
      <c r="P334" t="str">
        <f>IF(Walmart[[#This Row],[Sales]]&gt;=1000,"High Value", IF(Walmart[[#This Row],[Sales]]&gt;=500,"Medium Value","Low Value"))</f>
        <v>Low Value</v>
      </c>
    </row>
    <row r="335" spans="1:16" hidden="1" x14ac:dyDescent="0.3">
      <c r="A335" t="s">
        <v>1034</v>
      </c>
      <c r="B335" s="1">
        <v>40889</v>
      </c>
      <c r="C335" s="1" t="str">
        <f>TEXT(Walmart[[#This Row],[Order Date]],"mmmm")</f>
        <v>December</v>
      </c>
      <c r="D335" s="1">
        <v>40894</v>
      </c>
      <c r="E335" s="1" t="str">
        <f>IF(DATEDIF(Walmart[[#This Row],[Order Date]],Walmart[[#This Row],[Ship Date]],"D")&lt;7,"On time","Delayed")</f>
        <v>On time</v>
      </c>
      <c r="F335" t="s">
        <v>1035</v>
      </c>
      <c r="G335" t="s">
        <v>14</v>
      </c>
      <c r="H335" t="s">
        <v>251</v>
      </c>
      <c r="I335" t="s">
        <v>16</v>
      </c>
      <c r="J335" t="s">
        <v>21</v>
      </c>
      <c r="K335" t="s">
        <v>1036</v>
      </c>
      <c r="L335">
        <v>43.31</v>
      </c>
      <c r="M335">
        <v>1</v>
      </c>
      <c r="N335" t="str">
        <f>IF(Walmart[[#This Row],[Quantity]]&gt;=7,"Bulk",IF(Walmart[[#This Row],[Quantity]]&gt;=2,"Multi","Single"))</f>
        <v>Single</v>
      </c>
      <c r="O335">
        <v>4.33</v>
      </c>
      <c r="P335" t="str">
        <f>IF(Walmart[[#This Row],[Sales]]&gt;=1000,"High Value", IF(Walmart[[#This Row],[Sales]]&gt;=500,"Medium Value","Low Value"))</f>
        <v>Low Value</v>
      </c>
    </row>
    <row r="336" spans="1:16" hidden="1" x14ac:dyDescent="0.3">
      <c r="A336" t="s">
        <v>1037</v>
      </c>
      <c r="B336" s="1">
        <v>41481</v>
      </c>
      <c r="C336" s="1" t="str">
        <f>TEXT(Walmart[[#This Row],[Order Date]],"mmmm")</f>
        <v>July</v>
      </c>
      <c r="D336" s="1">
        <v>41483</v>
      </c>
      <c r="E336" s="1" t="str">
        <f>IF(DATEDIF(Walmart[[#This Row],[Order Date]],Walmart[[#This Row],[Ship Date]],"D")&lt;7,"On time","Delayed")</f>
        <v>On time</v>
      </c>
      <c r="F336" t="s">
        <v>1038</v>
      </c>
      <c r="G336" t="s">
        <v>14</v>
      </c>
      <c r="H336" t="s">
        <v>15</v>
      </c>
      <c r="I336" t="s">
        <v>16</v>
      </c>
      <c r="J336" t="s">
        <v>191</v>
      </c>
      <c r="K336" t="s">
        <v>192</v>
      </c>
      <c r="L336">
        <v>21.48</v>
      </c>
      <c r="M336">
        <v>6</v>
      </c>
      <c r="N336" t="str">
        <f>IF(Walmart[[#This Row],[Quantity]]&gt;=7,"Bulk",IF(Walmart[[#This Row],[Quantity]]&gt;=2,"Multi","Single"))</f>
        <v>Multi</v>
      </c>
      <c r="O336">
        <v>10.74</v>
      </c>
      <c r="P336" t="str">
        <f>IF(Walmart[[#This Row],[Sales]]&gt;=1000,"High Value", IF(Walmart[[#This Row],[Sales]]&gt;=500,"Medium Value","Low Value"))</f>
        <v>Low Value</v>
      </c>
    </row>
    <row r="337" spans="1:16" hidden="1" x14ac:dyDescent="0.3">
      <c r="A337" t="s">
        <v>1039</v>
      </c>
      <c r="B337" s="1">
        <v>41281</v>
      </c>
      <c r="C337" s="1" t="str">
        <f>TEXT(Walmart[[#This Row],[Order Date]],"mmmm")</f>
        <v>January</v>
      </c>
      <c r="D337" s="1">
        <v>41286</v>
      </c>
      <c r="E337" s="1" t="str">
        <f>IF(DATEDIF(Walmart[[#This Row],[Order Date]],Walmart[[#This Row],[Ship Date]],"D")&lt;7,"On time","Delayed")</f>
        <v>On time</v>
      </c>
      <c r="F337" t="s">
        <v>1040</v>
      </c>
      <c r="G337" t="s">
        <v>14</v>
      </c>
      <c r="H337" t="s">
        <v>556</v>
      </c>
      <c r="I337" t="s">
        <v>16</v>
      </c>
      <c r="J337" t="s">
        <v>38</v>
      </c>
      <c r="K337" t="s">
        <v>1041</v>
      </c>
      <c r="L337">
        <v>34.58</v>
      </c>
      <c r="M337">
        <v>1</v>
      </c>
      <c r="N337" t="str">
        <f>IF(Walmart[[#This Row],[Quantity]]&gt;=7,"Bulk",IF(Walmart[[#This Row],[Quantity]]&gt;=2,"Multi","Single"))</f>
        <v>Single</v>
      </c>
      <c r="O337">
        <v>10.029999999999999</v>
      </c>
      <c r="P337" t="str">
        <f>IF(Walmart[[#This Row],[Sales]]&gt;=1000,"High Value", IF(Walmart[[#This Row],[Sales]]&gt;=500,"Medium Value","Low Value"))</f>
        <v>Low Value</v>
      </c>
    </row>
    <row r="338" spans="1:16" x14ac:dyDescent="0.3">
      <c r="A338" t="s">
        <v>2822</v>
      </c>
      <c r="B338" s="1">
        <v>41961</v>
      </c>
      <c r="C338" s="1" t="str">
        <f>TEXT(Walmart[[#This Row],[Order Date]],"mmmm")</f>
        <v>November</v>
      </c>
      <c r="D338" s="1">
        <v>41965</v>
      </c>
      <c r="E338" s="1" t="str">
        <f>IF(DATEDIF(Walmart[[#This Row],[Order Date]],Walmart[[#This Row],[Ship Date]],"D")&lt;7,"On time","Delayed")</f>
        <v>On time</v>
      </c>
      <c r="F338" t="s">
        <v>2823</v>
      </c>
      <c r="G338" t="s">
        <v>14</v>
      </c>
      <c r="H338" t="s">
        <v>2824</v>
      </c>
      <c r="I338" t="s">
        <v>69</v>
      </c>
      <c r="J338" t="s">
        <v>93</v>
      </c>
      <c r="K338" t="s">
        <v>2617</v>
      </c>
      <c r="L338">
        <v>19.61</v>
      </c>
      <c r="M338">
        <v>3</v>
      </c>
      <c r="N338" t="str">
        <f>IF(Walmart[[#This Row],[Quantity]]&gt;=7,"Bulk",IF(Walmart[[#This Row],[Quantity]]&gt;=2,"Multi","Single"))</f>
        <v>Multi</v>
      </c>
      <c r="O338">
        <v>6.62</v>
      </c>
      <c r="P338" t="str">
        <f>IF(Walmart[[#This Row],[Sales]]&gt;=1000,"High Value", IF(Walmart[[#This Row],[Sales]]&gt;=500,"Medium Value","Low Value"))</f>
        <v>Low Value</v>
      </c>
    </row>
    <row r="339" spans="1:16" hidden="1" x14ac:dyDescent="0.3">
      <c r="A339" t="s">
        <v>1046</v>
      </c>
      <c r="B339" s="1">
        <v>40756</v>
      </c>
      <c r="C339" s="1" t="str">
        <f>TEXT(Walmart[[#This Row],[Order Date]],"mmmm")</f>
        <v>August</v>
      </c>
      <c r="D339" s="1">
        <v>40758</v>
      </c>
      <c r="E339" s="1" t="str">
        <f>IF(DATEDIF(Walmart[[#This Row],[Order Date]],Walmart[[#This Row],[Ship Date]],"D")&lt;7,"On time","Delayed")</f>
        <v>On time</v>
      </c>
      <c r="F339" t="s">
        <v>1047</v>
      </c>
      <c r="G339" t="s">
        <v>14</v>
      </c>
      <c r="H339" t="s">
        <v>37</v>
      </c>
      <c r="I339" t="s">
        <v>16</v>
      </c>
      <c r="J339" t="s">
        <v>27</v>
      </c>
      <c r="K339" t="s">
        <v>1048</v>
      </c>
      <c r="L339">
        <v>19.75</v>
      </c>
      <c r="M339">
        <v>3</v>
      </c>
      <c r="N339" t="str">
        <f>IF(Walmart[[#This Row],[Quantity]]&gt;=7,"Bulk",IF(Walmart[[#This Row],[Quantity]]&gt;=2,"Multi","Single"))</f>
        <v>Multi</v>
      </c>
      <c r="O339">
        <v>6.91</v>
      </c>
      <c r="P339" t="str">
        <f>IF(Walmart[[#This Row],[Sales]]&gt;=1000,"High Value", IF(Walmart[[#This Row],[Sales]]&gt;=500,"Medium Value","Low Value"))</f>
        <v>Low Value</v>
      </c>
    </row>
    <row r="340" spans="1:16" hidden="1" x14ac:dyDescent="0.3">
      <c r="A340" t="s">
        <v>1049</v>
      </c>
      <c r="B340" s="1">
        <v>41563</v>
      </c>
      <c r="C340" s="1" t="str">
        <f>TEXT(Walmart[[#This Row],[Order Date]],"mmmm")</f>
        <v>October</v>
      </c>
      <c r="D340" s="1">
        <v>41569</v>
      </c>
      <c r="E340" s="1" t="str">
        <f>IF(DATEDIF(Walmart[[#This Row],[Order Date]],Walmart[[#This Row],[Ship Date]],"D")&lt;7,"On time","Delayed")</f>
        <v>On time</v>
      </c>
      <c r="F340" t="s">
        <v>1050</v>
      </c>
      <c r="G340" t="s">
        <v>14</v>
      </c>
      <c r="H340" t="s">
        <v>1051</v>
      </c>
      <c r="I340" t="s">
        <v>32</v>
      </c>
      <c r="J340" t="s">
        <v>93</v>
      </c>
      <c r="K340" t="s">
        <v>1052</v>
      </c>
      <c r="L340">
        <v>45.68</v>
      </c>
      <c r="M340">
        <v>2</v>
      </c>
      <c r="N340" t="str">
        <f>IF(Walmart[[#This Row],[Quantity]]&gt;=7,"Bulk",IF(Walmart[[#This Row],[Quantity]]&gt;=2,"Multi","Single"))</f>
        <v>Multi</v>
      </c>
      <c r="O340">
        <v>21.01</v>
      </c>
      <c r="P340" t="str">
        <f>IF(Walmart[[#This Row],[Sales]]&gt;=1000,"High Value", IF(Walmart[[#This Row],[Sales]]&gt;=500,"Medium Value","Low Value"))</f>
        <v>Low Value</v>
      </c>
    </row>
    <row r="341" spans="1:16" x14ac:dyDescent="0.3">
      <c r="A341" t="s">
        <v>1362</v>
      </c>
      <c r="B341" s="1">
        <v>41960</v>
      </c>
      <c r="C341" s="1" t="str">
        <f>TEXT(Walmart[[#This Row],[Order Date]],"mmmm")</f>
        <v>November</v>
      </c>
      <c r="D341" s="1">
        <v>41966</v>
      </c>
      <c r="E341" s="1" t="str">
        <f>IF(DATEDIF(Walmart[[#This Row],[Order Date]],Walmart[[#This Row],[Ship Date]],"D")&lt;7,"On time","Delayed")</f>
        <v>On time</v>
      </c>
      <c r="F341" t="s">
        <v>1363</v>
      </c>
      <c r="G341" t="s">
        <v>14</v>
      </c>
      <c r="H341" t="s">
        <v>160</v>
      </c>
      <c r="I341" t="s">
        <v>16</v>
      </c>
      <c r="J341" t="s">
        <v>33</v>
      </c>
      <c r="K341" t="s">
        <v>354</v>
      </c>
      <c r="L341">
        <v>811.28</v>
      </c>
      <c r="M341">
        <v>8</v>
      </c>
      <c r="N341" t="str">
        <f>IF(Walmart[[#This Row],[Quantity]]&gt;=7,"Bulk",IF(Walmart[[#This Row],[Quantity]]&gt;=2,"Multi","Single"))</f>
        <v>Bulk</v>
      </c>
      <c r="O341">
        <v>24.34</v>
      </c>
      <c r="P341" t="str">
        <f>IF(Walmart[[#This Row],[Sales]]&gt;=1000,"High Value", IF(Walmart[[#This Row],[Sales]]&gt;=500,"Medium Value","Low Value"))</f>
        <v>Medium Value</v>
      </c>
    </row>
    <row r="342" spans="1:16" hidden="1" x14ac:dyDescent="0.3">
      <c r="A342" t="s">
        <v>1056</v>
      </c>
      <c r="B342" s="1">
        <v>41451</v>
      </c>
      <c r="C342" s="1" t="str">
        <f>TEXT(Walmart[[#This Row],[Order Date]],"mmmm")</f>
        <v>June</v>
      </c>
      <c r="D342" s="1">
        <v>41455</v>
      </c>
      <c r="E342" s="1" t="str">
        <f>IF(DATEDIF(Walmart[[#This Row],[Order Date]],Walmart[[#This Row],[Ship Date]],"D")&lt;7,"On time","Delayed")</f>
        <v>On time</v>
      </c>
      <c r="F342" t="s">
        <v>1057</v>
      </c>
      <c r="G342" t="s">
        <v>14</v>
      </c>
      <c r="H342" t="s">
        <v>15</v>
      </c>
      <c r="I342" t="s">
        <v>16</v>
      </c>
      <c r="J342" t="s">
        <v>105</v>
      </c>
      <c r="K342" t="s">
        <v>1058</v>
      </c>
      <c r="L342">
        <v>60.81</v>
      </c>
      <c r="M342">
        <v>3</v>
      </c>
      <c r="N342" t="str">
        <f>IF(Walmart[[#This Row],[Quantity]]&gt;=7,"Bulk",IF(Walmart[[#This Row],[Quantity]]&gt;=2,"Multi","Single"))</f>
        <v>Multi</v>
      </c>
      <c r="O342">
        <v>17.03</v>
      </c>
      <c r="P342" t="str">
        <f>IF(Walmart[[#This Row],[Sales]]&gt;=1000,"High Value", IF(Walmart[[#This Row],[Sales]]&gt;=500,"Medium Value","Low Value"))</f>
        <v>Low Value</v>
      </c>
    </row>
    <row r="343" spans="1:16" hidden="1" x14ac:dyDescent="0.3">
      <c r="A343" t="s">
        <v>1059</v>
      </c>
      <c r="B343" s="1">
        <v>41619</v>
      </c>
      <c r="C343" s="1" t="str">
        <f>TEXT(Walmart[[#This Row],[Order Date]],"mmmm")</f>
        <v>December</v>
      </c>
      <c r="D343" s="1">
        <v>41626</v>
      </c>
      <c r="E343" s="1" t="str">
        <f>IF(DATEDIF(Walmart[[#This Row],[Order Date]],Walmart[[#This Row],[Ship Date]],"D")&lt;7,"On time","Delayed")</f>
        <v>Delayed</v>
      </c>
      <c r="F343" t="s">
        <v>580</v>
      </c>
      <c r="G343" t="s">
        <v>14</v>
      </c>
      <c r="H343" t="s">
        <v>25</v>
      </c>
      <c r="I343" t="s">
        <v>26</v>
      </c>
      <c r="J343" t="s">
        <v>27</v>
      </c>
      <c r="K343" t="s">
        <v>1060</v>
      </c>
      <c r="L343">
        <v>153.55000000000001</v>
      </c>
      <c r="M343">
        <v>3</v>
      </c>
      <c r="N343" t="str">
        <f>IF(Walmart[[#This Row],[Quantity]]&gt;=7,"Bulk",IF(Walmart[[#This Row],[Quantity]]&gt;=2,"Multi","Single"))</f>
        <v>Multi</v>
      </c>
      <c r="O343">
        <v>51.82</v>
      </c>
      <c r="P343" t="str">
        <f>IF(Walmart[[#This Row],[Sales]]&gt;=1000,"High Value", IF(Walmart[[#This Row],[Sales]]&gt;=500,"Medium Value","Low Value"))</f>
        <v>Low Value</v>
      </c>
    </row>
    <row r="344" spans="1:16" hidden="1" x14ac:dyDescent="0.3">
      <c r="A344" t="s">
        <v>1061</v>
      </c>
      <c r="B344" s="1">
        <v>41158</v>
      </c>
      <c r="C344" s="1" t="str">
        <f>TEXT(Walmart[[#This Row],[Order Date]],"mmmm")</f>
        <v>September</v>
      </c>
      <c r="D344" s="1">
        <v>41164</v>
      </c>
      <c r="E344" s="1" t="str">
        <f>IF(DATEDIF(Walmart[[#This Row],[Order Date]],Walmart[[#This Row],[Ship Date]],"D")&lt;7,"On time","Delayed")</f>
        <v>On time</v>
      </c>
      <c r="F344" t="s">
        <v>686</v>
      </c>
      <c r="G344" t="s">
        <v>14</v>
      </c>
      <c r="H344" t="s">
        <v>25</v>
      </c>
      <c r="I344" t="s">
        <v>26</v>
      </c>
      <c r="J344" t="s">
        <v>27</v>
      </c>
      <c r="K344" t="s">
        <v>1062</v>
      </c>
      <c r="L344">
        <v>6.1</v>
      </c>
      <c r="M344">
        <v>2</v>
      </c>
      <c r="N344" t="str">
        <f>IF(Walmart[[#This Row],[Quantity]]&gt;=7,"Bulk",IF(Walmart[[#This Row],[Quantity]]&gt;=2,"Multi","Single"))</f>
        <v>Multi</v>
      </c>
      <c r="O344">
        <v>2.13</v>
      </c>
      <c r="P344" t="str">
        <f>IF(Walmart[[#This Row],[Sales]]&gt;=1000,"High Value", IF(Walmart[[#This Row],[Sales]]&gt;=500,"Medium Value","Low Value"))</f>
        <v>Low Value</v>
      </c>
    </row>
    <row r="345" spans="1:16" x14ac:dyDescent="0.3">
      <c r="A345" t="s">
        <v>1515</v>
      </c>
      <c r="B345" s="1">
        <v>41960</v>
      </c>
      <c r="C345" s="1" t="str">
        <f>TEXT(Walmart[[#This Row],[Order Date]],"mmmm")</f>
        <v>November</v>
      </c>
      <c r="D345" s="1">
        <v>41960</v>
      </c>
      <c r="E345" s="1" t="str">
        <f>IF(DATEDIF(Walmart[[#This Row],[Order Date]],Walmart[[#This Row],[Ship Date]],"D")&lt;7,"On time","Delayed")</f>
        <v>On time</v>
      </c>
      <c r="F345" t="s">
        <v>1516</v>
      </c>
      <c r="G345" t="s">
        <v>14</v>
      </c>
      <c r="H345" t="s">
        <v>37</v>
      </c>
      <c r="I345" t="s">
        <v>16</v>
      </c>
      <c r="J345" t="s">
        <v>1168</v>
      </c>
      <c r="K345" t="s">
        <v>1517</v>
      </c>
      <c r="L345">
        <v>1919.98</v>
      </c>
      <c r="M345">
        <v>3</v>
      </c>
      <c r="N345" t="str">
        <f>IF(Walmart[[#This Row],[Quantity]]&gt;=7,"Bulk",IF(Walmart[[#This Row],[Quantity]]&gt;=2,"Multi","Single"))</f>
        <v>Multi</v>
      </c>
      <c r="O345">
        <v>216</v>
      </c>
      <c r="P345" t="str">
        <f>IF(Walmart[[#This Row],[Sales]]&gt;=1000,"High Value", IF(Walmart[[#This Row],[Sales]]&gt;=500,"Medium Value","Low Value"))</f>
        <v>High Value</v>
      </c>
    </row>
    <row r="346" spans="1:16" x14ac:dyDescent="0.3">
      <c r="A346" t="s">
        <v>1753</v>
      </c>
      <c r="B346" s="1">
        <v>41960</v>
      </c>
      <c r="C346" s="1" t="str">
        <f>TEXT(Walmart[[#This Row],[Order Date]],"mmmm")</f>
        <v>November</v>
      </c>
      <c r="D346" s="1">
        <v>41964</v>
      </c>
      <c r="E346" s="1" t="str">
        <f>IF(DATEDIF(Walmart[[#This Row],[Order Date]],Walmart[[#This Row],[Ship Date]],"D")&lt;7,"On time","Delayed")</f>
        <v>On time</v>
      </c>
      <c r="F346" t="s">
        <v>378</v>
      </c>
      <c r="G346" t="s">
        <v>14</v>
      </c>
      <c r="H346" t="s">
        <v>613</v>
      </c>
      <c r="I346" t="s">
        <v>16</v>
      </c>
      <c r="J346" t="s">
        <v>33</v>
      </c>
      <c r="K346" t="s">
        <v>457</v>
      </c>
      <c r="L346">
        <v>48.86</v>
      </c>
      <c r="M346">
        <v>7</v>
      </c>
      <c r="N346" t="str">
        <f>IF(Walmart[[#This Row],[Quantity]]&gt;=7,"Bulk",IF(Walmart[[#This Row],[Quantity]]&gt;=2,"Multi","Single"))</f>
        <v>Bulk</v>
      </c>
      <c r="O346">
        <v>0.98</v>
      </c>
      <c r="P346" t="str">
        <f>IF(Walmart[[#This Row],[Sales]]&gt;=1000,"High Value", IF(Walmart[[#This Row],[Sales]]&gt;=500,"Medium Value","Low Value"))</f>
        <v>Low Value</v>
      </c>
    </row>
    <row r="347" spans="1:16" hidden="1" x14ac:dyDescent="0.3">
      <c r="A347" t="s">
        <v>1068</v>
      </c>
      <c r="B347" s="1">
        <v>41353</v>
      </c>
      <c r="C347" s="1" t="str">
        <f>TEXT(Walmart[[#This Row],[Order Date]],"mmmm")</f>
        <v>March</v>
      </c>
      <c r="D347" s="1">
        <v>41355</v>
      </c>
      <c r="E347" s="1" t="str">
        <f>IF(DATEDIF(Walmart[[#This Row],[Order Date]],Walmart[[#This Row],[Ship Date]],"D")&lt;7,"On time","Delayed")</f>
        <v>On time</v>
      </c>
      <c r="F347" t="s">
        <v>1069</v>
      </c>
      <c r="G347" t="s">
        <v>14</v>
      </c>
      <c r="H347" t="s">
        <v>1070</v>
      </c>
      <c r="I347" t="s">
        <v>77</v>
      </c>
      <c r="J347" t="s">
        <v>671</v>
      </c>
      <c r="K347" t="s">
        <v>1071</v>
      </c>
      <c r="L347">
        <v>72.290000000000006</v>
      </c>
      <c r="M347">
        <v>1</v>
      </c>
      <c r="N347" t="str">
        <f>IF(Walmart[[#This Row],[Quantity]]&gt;=7,"Bulk",IF(Walmart[[#This Row],[Quantity]]&gt;=2,"Multi","Single"))</f>
        <v>Single</v>
      </c>
      <c r="O347">
        <v>-98.8</v>
      </c>
      <c r="P347" t="str">
        <f>IF(Walmart[[#This Row],[Sales]]&gt;=1000,"High Value", IF(Walmart[[#This Row],[Sales]]&gt;=500,"Medium Value","Low Value"))</f>
        <v>Low Value</v>
      </c>
    </row>
    <row r="348" spans="1:16" hidden="1" x14ac:dyDescent="0.3">
      <c r="A348" t="s">
        <v>1072</v>
      </c>
      <c r="B348" s="1">
        <v>40633</v>
      </c>
      <c r="C348" s="1" t="str">
        <f>TEXT(Walmart[[#This Row],[Order Date]],"mmmm")</f>
        <v>March</v>
      </c>
      <c r="D348" s="1">
        <v>40638</v>
      </c>
      <c r="E348" s="1" t="str">
        <f>IF(DATEDIF(Walmart[[#This Row],[Order Date]],Walmart[[#This Row],[Ship Date]],"D")&lt;7,"On time","Delayed")</f>
        <v>On time</v>
      </c>
      <c r="F348" t="s">
        <v>638</v>
      </c>
      <c r="G348" t="s">
        <v>14</v>
      </c>
      <c r="H348" t="s">
        <v>37</v>
      </c>
      <c r="I348" t="s">
        <v>16</v>
      </c>
      <c r="J348" t="s">
        <v>27</v>
      </c>
      <c r="K348" t="s">
        <v>1073</v>
      </c>
      <c r="L348">
        <v>673.57</v>
      </c>
      <c r="M348">
        <v>2</v>
      </c>
      <c r="N348" t="str">
        <f>IF(Walmart[[#This Row],[Quantity]]&gt;=7,"Bulk",IF(Walmart[[#This Row],[Quantity]]&gt;=2,"Multi","Single"))</f>
        <v>Multi</v>
      </c>
      <c r="O348">
        <v>252.59</v>
      </c>
      <c r="P348" t="str">
        <f>IF(Walmart[[#This Row],[Sales]]&gt;=1000,"High Value", IF(Walmart[[#This Row],[Sales]]&gt;=500,"Medium Value","Low Value"))</f>
        <v>Medium Value</v>
      </c>
    </row>
    <row r="349" spans="1:16" hidden="1" x14ac:dyDescent="0.3">
      <c r="A349" t="s">
        <v>1074</v>
      </c>
      <c r="B349" s="1">
        <v>41257</v>
      </c>
      <c r="C349" s="1" t="str">
        <f>TEXT(Walmart[[#This Row],[Order Date]],"mmmm")</f>
        <v>December</v>
      </c>
      <c r="D349" s="1">
        <v>41259</v>
      </c>
      <c r="E349" s="1" t="str">
        <f>IF(DATEDIF(Walmart[[#This Row],[Order Date]],Walmart[[#This Row],[Ship Date]],"D")&lt;7,"On time","Delayed")</f>
        <v>On time</v>
      </c>
      <c r="F349" t="s">
        <v>1075</v>
      </c>
      <c r="G349" t="s">
        <v>14</v>
      </c>
      <c r="H349" t="s">
        <v>68</v>
      </c>
      <c r="I349" t="s">
        <v>69</v>
      </c>
      <c r="J349" t="s">
        <v>146</v>
      </c>
      <c r="K349" t="s">
        <v>1076</v>
      </c>
      <c r="L349">
        <v>319.97000000000003</v>
      </c>
      <c r="M349">
        <v>4</v>
      </c>
      <c r="N349" t="str">
        <f>IF(Walmart[[#This Row],[Quantity]]&gt;=7,"Bulk",IF(Walmart[[#This Row],[Quantity]]&gt;=2,"Multi","Single"))</f>
        <v>Multi</v>
      </c>
      <c r="O349">
        <v>36</v>
      </c>
      <c r="P349" t="str">
        <f>IF(Walmart[[#This Row],[Sales]]&gt;=1000,"High Value", IF(Walmart[[#This Row],[Sales]]&gt;=500,"Medium Value","Low Value"))</f>
        <v>Low Value</v>
      </c>
    </row>
    <row r="350" spans="1:16" hidden="1" x14ac:dyDescent="0.3">
      <c r="A350" t="s">
        <v>1077</v>
      </c>
      <c r="B350" s="1">
        <v>41471</v>
      </c>
      <c r="C350" s="1" t="str">
        <f>TEXT(Walmart[[#This Row],[Order Date]],"mmmm")</f>
        <v>July</v>
      </c>
      <c r="D350" s="1">
        <v>41477</v>
      </c>
      <c r="E350" s="1" t="str">
        <f>IF(DATEDIF(Walmart[[#This Row],[Order Date]],Walmart[[#This Row],[Ship Date]],"D")&lt;7,"On time","Delayed")</f>
        <v>On time</v>
      </c>
      <c r="F350" t="s">
        <v>1078</v>
      </c>
      <c r="G350" t="s">
        <v>14</v>
      </c>
      <c r="H350" t="s">
        <v>677</v>
      </c>
      <c r="I350" t="s">
        <v>32</v>
      </c>
      <c r="J350" t="s">
        <v>334</v>
      </c>
      <c r="K350" t="s">
        <v>1079</v>
      </c>
      <c r="L350">
        <v>44.4</v>
      </c>
      <c r="M350">
        <v>5</v>
      </c>
      <c r="N350" t="str">
        <f>IF(Walmart[[#This Row],[Quantity]]&gt;=7,"Bulk",IF(Walmart[[#This Row],[Quantity]]&gt;=2,"Multi","Single"))</f>
        <v>Multi</v>
      </c>
      <c r="O350">
        <v>12.43</v>
      </c>
      <c r="P350" t="str">
        <f>IF(Walmart[[#This Row],[Sales]]&gt;=1000,"High Value", IF(Walmart[[#This Row],[Sales]]&gt;=500,"Medium Value","Low Value"))</f>
        <v>Low Value</v>
      </c>
    </row>
    <row r="351" spans="1:16" hidden="1" x14ac:dyDescent="0.3">
      <c r="A351" t="s">
        <v>1080</v>
      </c>
      <c r="B351" s="1">
        <v>41594</v>
      </c>
      <c r="C351" s="1" t="str">
        <f>TEXT(Walmart[[#This Row],[Order Date]],"mmmm")</f>
        <v>November</v>
      </c>
      <c r="D351" s="1">
        <v>41596</v>
      </c>
      <c r="E351" s="1" t="str">
        <f>IF(DATEDIF(Walmart[[#This Row],[Order Date]],Walmart[[#This Row],[Ship Date]],"D")&lt;7,"On time","Delayed")</f>
        <v>On time</v>
      </c>
      <c r="F351" t="s">
        <v>1081</v>
      </c>
      <c r="G351" t="s">
        <v>14</v>
      </c>
      <c r="H351" t="s">
        <v>15</v>
      </c>
      <c r="I351" t="s">
        <v>16</v>
      </c>
      <c r="J351" t="s">
        <v>27</v>
      </c>
      <c r="K351" t="s">
        <v>1082</v>
      </c>
      <c r="L351">
        <v>1016.79</v>
      </c>
      <c r="M351">
        <v>1</v>
      </c>
      <c r="N351" t="str">
        <f>IF(Walmart[[#This Row],[Quantity]]&gt;=7,"Bulk",IF(Walmart[[#This Row],[Quantity]]&gt;=2,"Multi","Single"))</f>
        <v>Single</v>
      </c>
      <c r="O351">
        <v>381.3</v>
      </c>
      <c r="P351" t="str">
        <f>IF(Walmart[[#This Row],[Sales]]&gt;=1000,"High Value", IF(Walmart[[#This Row],[Sales]]&gt;=500,"Medium Value","Low Value"))</f>
        <v>High Value</v>
      </c>
    </row>
    <row r="352" spans="1:16" x14ac:dyDescent="0.3">
      <c r="A352" t="s">
        <v>1974</v>
      </c>
      <c r="B352" s="1">
        <v>41960</v>
      </c>
      <c r="C352" s="1" t="str">
        <f>TEXT(Walmart[[#This Row],[Order Date]],"mmmm")</f>
        <v>November</v>
      </c>
      <c r="D352" s="1">
        <v>41965</v>
      </c>
      <c r="E352" s="1" t="str">
        <f>IF(DATEDIF(Walmart[[#This Row],[Order Date]],Walmart[[#This Row],[Ship Date]],"D")&lt;7,"On time","Delayed")</f>
        <v>On time</v>
      </c>
      <c r="F352" t="s">
        <v>1755</v>
      </c>
      <c r="G352" t="s">
        <v>14</v>
      </c>
      <c r="H352" t="s">
        <v>589</v>
      </c>
      <c r="I352" t="s">
        <v>16</v>
      </c>
      <c r="J352" t="s">
        <v>38</v>
      </c>
      <c r="K352" t="s">
        <v>1975</v>
      </c>
      <c r="L352">
        <v>23.36</v>
      </c>
      <c r="M352">
        <v>4</v>
      </c>
      <c r="N352" t="str">
        <f>IF(Walmart[[#This Row],[Quantity]]&gt;=7,"Bulk",IF(Walmart[[#This Row],[Quantity]]&gt;=2,"Multi","Single"))</f>
        <v>Multi</v>
      </c>
      <c r="O352">
        <v>6.07</v>
      </c>
      <c r="P352" t="str">
        <f>IF(Walmart[[#This Row],[Sales]]&gt;=1000,"High Value", IF(Walmart[[#This Row],[Sales]]&gt;=500,"Medium Value","Low Value"))</f>
        <v>Low Value</v>
      </c>
    </row>
    <row r="353" spans="1:16" hidden="1" x14ac:dyDescent="0.3">
      <c r="A353" t="s">
        <v>1085</v>
      </c>
      <c r="B353" s="1">
        <v>40954</v>
      </c>
      <c r="C353" s="1" t="str">
        <f>TEXT(Walmart[[#This Row],[Order Date]],"mmmm")</f>
        <v>February</v>
      </c>
      <c r="D353" s="1">
        <v>40957</v>
      </c>
      <c r="E353" s="1" t="str">
        <f>IF(DATEDIF(Walmart[[#This Row],[Order Date]],Walmart[[#This Row],[Ship Date]],"D")&lt;7,"On time","Delayed")</f>
        <v>On time</v>
      </c>
      <c r="F353" t="s">
        <v>1086</v>
      </c>
      <c r="G353" t="s">
        <v>14</v>
      </c>
      <c r="H353" t="s">
        <v>15</v>
      </c>
      <c r="I353" t="s">
        <v>16</v>
      </c>
      <c r="J353" t="s">
        <v>93</v>
      </c>
      <c r="K353" t="s">
        <v>1087</v>
      </c>
      <c r="L353">
        <v>13.36</v>
      </c>
      <c r="M353">
        <v>2</v>
      </c>
      <c r="N353" t="str">
        <f>IF(Walmart[[#This Row],[Quantity]]&gt;=7,"Bulk",IF(Walmart[[#This Row],[Quantity]]&gt;=2,"Multi","Single"))</f>
        <v>Multi</v>
      </c>
      <c r="O353">
        <v>6.41</v>
      </c>
      <c r="P353" t="str">
        <f>IF(Walmart[[#This Row],[Sales]]&gt;=1000,"High Value", IF(Walmart[[#This Row],[Sales]]&gt;=500,"Medium Value","Low Value"))</f>
        <v>Low Value</v>
      </c>
    </row>
    <row r="354" spans="1:16" hidden="1" x14ac:dyDescent="0.3">
      <c r="A354" t="s">
        <v>1088</v>
      </c>
      <c r="B354" s="1">
        <v>41380</v>
      </c>
      <c r="C354" s="1" t="str">
        <f>TEXT(Walmart[[#This Row],[Order Date]],"mmmm")</f>
        <v>April</v>
      </c>
      <c r="D354" s="1">
        <v>41382</v>
      </c>
      <c r="E354" s="1" t="str">
        <f>IF(DATEDIF(Walmart[[#This Row],[Order Date]],Walmart[[#This Row],[Ship Date]],"D")&lt;7,"On time","Delayed")</f>
        <v>On time</v>
      </c>
      <c r="F354" t="s">
        <v>1089</v>
      </c>
      <c r="G354" t="s">
        <v>14</v>
      </c>
      <c r="H354" t="s">
        <v>160</v>
      </c>
      <c r="I354" t="s">
        <v>16</v>
      </c>
      <c r="J354" t="s">
        <v>93</v>
      </c>
      <c r="K354" t="s">
        <v>1090</v>
      </c>
      <c r="L354">
        <v>143.69999999999999</v>
      </c>
      <c r="M354">
        <v>3</v>
      </c>
      <c r="N354" t="str">
        <f>IF(Walmart[[#This Row],[Quantity]]&gt;=7,"Bulk",IF(Walmart[[#This Row],[Quantity]]&gt;=2,"Multi","Single"))</f>
        <v>Multi</v>
      </c>
      <c r="O354">
        <v>68.98</v>
      </c>
      <c r="P354" t="str">
        <f>IF(Walmart[[#This Row],[Sales]]&gt;=1000,"High Value", IF(Walmart[[#This Row],[Sales]]&gt;=500,"Medium Value","Low Value"))</f>
        <v>Low Value</v>
      </c>
    </row>
    <row r="355" spans="1:16" hidden="1" x14ac:dyDescent="0.3">
      <c r="A355" t="s">
        <v>1091</v>
      </c>
      <c r="B355" s="1">
        <v>41180</v>
      </c>
      <c r="C355" s="1" t="str">
        <f>TEXT(Walmart[[#This Row],[Order Date]],"mmmm")</f>
        <v>September</v>
      </c>
      <c r="D355" s="1">
        <v>41183</v>
      </c>
      <c r="E355" s="1" t="str">
        <f>IF(DATEDIF(Walmart[[#This Row],[Order Date]],Walmart[[#This Row],[Ship Date]],"D")&lt;7,"On time","Delayed")</f>
        <v>On time</v>
      </c>
      <c r="F355" t="s">
        <v>644</v>
      </c>
      <c r="G355" t="s">
        <v>14</v>
      </c>
      <c r="H355" t="s">
        <v>37</v>
      </c>
      <c r="I355" t="s">
        <v>16</v>
      </c>
      <c r="J355" t="s">
        <v>105</v>
      </c>
      <c r="K355" t="s">
        <v>1092</v>
      </c>
      <c r="L355">
        <v>43.26</v>
      </c>
      <c r="M355">
        <v>3</v>
      </c>
      <c r="N355" t="str">
        <f>IF(Walmart[[#This Row],[Quantity]]&gt;=7,"Bulk",IF(Walmart[[#This Row],[Quantity]]&gt;=2,"Multi","Single"))</f>
        <v>Multi</v>
      </c>
      <c r="O355">
        <v>14.28</v>
      </c>
      <c r="P355" t="str">
        <f>IF(Walmart[[#This Row],[Sales]]&gt;=1000,"High Value", IF(Walmart[[#This Row],[Sales]]&gt;=500,"Medium Value","Low Value"))</f>
        <v>Low Value</v>
      </c>
    </row>
    <row r="356" spans="1:16" x14ac:dyDescent="0.3">
      <c r="A356" t="s">
        <v>2564</v>
      </c>
      <c r="B356" s="1">
        <v>41960</v>
      </c>
      <c r="C356" s="1" t="str">
        <f>TEXT(Walmart[[#This Row],[Order Date]],"mmmm")</f>
        <v>November</v>
      </c>
      <c r="D356" s="1">
        <v>41963</v>
      </c>
      <c r="E356" s="1" t="str">
        <f>IF(DATEDIF(Walmart[[#This Row],[Order Date]],Walmart[[#This Row],[Ship Date]],"D")&lt;7,"On time","Delayed")</f>
        <v>On time</v>
      </c>
      <c r="F356" t="s">
        <v>1496</v>
      </c>
      <c r="G356" t="s">
        <v>14</v>
      </c>
      <c r="H356" t="s">
        <v>25</v>
      </c>
      <c r="I356" t="s">
        <v>26</v>
      </c>
      <c r="J356" t="s">
        <v>93</v>
      </c>
      <c r="K356" t="s">
        <v>2565</v>
      </c>
      <c r="L356">
        <v>73.680000000000007</v>
      </c>
      <c r="M356">
        <v>6</v>
      </c>
      <c r="N356" t="str">
        <f>IF(Walmart[[#This Row],[Quantity]]&gt;=7,"Bulk",IF(Walmart[[#This Row],[Quantity]]&gt;=2,"Multi","Single"))</f>
        <v>Multi</v>
      </c>
      <c r="O356">
        <v>34.630000000000003</v>
      </c>
      <c r="P356" t="str">
        <f>IF(Walmart[[#This Row],[Sales]]&gt;=1000,"High Value", IF(Walmart[[#This Row],[Sales]]&gt;=500,"Medium Value","Low Value"))</f>
        <v>Low Value</v>
      </c>
    </row>
    <row r="357" spans="1:16" hidden="1" x14ac:dyDescent="0.3">
      <c r="A357" t="s">
        <v>1095</v>
      </c>
      <c r="B357" s="1">
        <v>41221</v>
      </c>
      <c r="C357" s="1" t="str">
        <f>TEXT(Walmart[[#This Row],[Order Date]],"mmmm")</f>
        <v>November</v>
      </c>
      <c r="D357" s="1">
        <v>41223</v>
      </c>
      <c r="E357" s="1" t="str">
        <f>IF(DATEDIF(Walmart[[#This Row],[Order Date]],Walmart[[#This Row],[Ship Date]],"D")&lt;7,"On time","Delayed")</f>
        <v>On time</v>
      </c>
      <c r="F357" t="s">
        <v>1096</v>
      </c>
      <c r="G357" t="s">
        <v>14</v>
      </c>
      <c r="H357" t="s">
        <v>160</v>
      </c>
      <c r="I357" t="s">
        <v>16</v>
      </c>
      <c r="J357" t="s">
        <v>191</v>
      </c>
      <c r="K357" t="s">
        <v>1097</v>
      </c>
      <c r="L357">
        <v>5</v>
      </c>
      <c r="M357">
        <v>1</v>
      </c>
      <c r="N357" t="str">
        <f>IF(Walmart[[#This Row],[Quantity]]&gt;=7,"Bulk",IF(Walmart[[#This Row],[Quantity]]&gt;=2,"Multi","Single"))</f>
        <v>Single</v>
      </c>
      <c r="O357">
        <v>2.4</v>
      </c>
      <c r="P357" t="str">
        <f>IF(Walmart[[#This Row],[Sales]]&gt;=1000,"High Value", IF(Walmart[[#This Row],[Sales]]&gt;=500,"Medium Value","Low Value"))</f>
        <v>Low Value</v>
      </c>
    </row>
    <row r="358" spans="1:16" x14ac:dyDescent="0.3">
      <c r="A358" t="s">
        <v>2899</v>
      </c>
      <c r="B358" s="1">
        <v>41960</v>
      </c>
      <c r="C358" s="1" t="str">
        <f>TEXT(Walmart[[#This Row],[Order Date]],"mmmm")</f>
        <v>November</v>
      </c>
      <c r="D358" s="1">
        <v>41966</v>
      </c>
      <c r="E358" s="1" t="str">
        <f>IF(DATEDIF(Walmart[[#This Row],[Order Date]],Walmart[[#This Row],[Ship Date]],"D")&lt;7,"On time","Delayed")</f>
        <v>On time</v>
      </c>
      <c r="F358" t="s">
        <v>2074</v>
      </c>
      <c r="G358" t="s">
        <v>14</v>
      </c>
      <c r="H358" t="s">
        <v>92</v>
      </c>
      <c r="I358" t="s">
        <v>16</v>
      </c>
      <c r="J358" t="s">
        <v>21</v>
      </c>
      <c r="K358" t="s">
        <v>1705</v>
      </c>
      <c r="L358">
        <v>17.309999999999999</v>
      </c>
      <c r="M358">
        <v>3</v>
      </c>
      <c r="N358" t="str">
        <f>IF(Walmart[[#This Row],[Quantity]]&gt;=7,"Bulk",IF(Walmart[[#This Row],[Quantity]]&gt;=2,"Multi","Single"))</f>
        <v>Multi</v>
      </c>
      <c r="O358">
        <v>5.19</v>
      </c>
      <c r="P358" t="str">
        <f>IF(Walmart[[#This Row],[Sales]]&gt;=1000,"High Value", IF(Walmart[[#This Row],[Sales]]&gt;=500,"Medium Value","Low Value"))</f>
        <v>Low Value</v>
      </c>
    </row>
    <row r="359" spans="1:16" hidden="1" x14ac:dyDescent="0.3">
      <c r="A359" t="s">
        <v>1101</v>
      </c>
      <c r="B359" s="1">
        <v>41173</v>
      </c>
      <c r="C359" s="1" t="str">
        <f>TEXT(Walmart[[#This Row],[Order Date]],"mmmm")</f>
        <v>September</v>
      </c>
      <c r="D359" s="1">
        <v>41179</v>
      </c>
      <c r="E359" s="1" t="str">
        <f>IF(DATEDIF(Walmart[[#This Row],[Order Date]],Walmart[[#This Row],[Ship Date]],"D")&lt;7,"On time","Delayed")</f>
        <v>On time</v>
      </c>
      <c r="F359" t="s">
        <v>130</v>
      </c>
      <c r="G359" t="s">
        <v>14</v>
      </c>
      <c r="H359" t="s">
        <v>25</v>
      </c>
      <c r="I359" t="s">
        <v>26</v>
      </c>
      <c r="J359" t="s">
        <v>33</v>
      </c>
      <c r="K359" t="s">
        <v>1102</v>
      </c>
      <c r="L359">
        <v>199.74</v>
      </c>
      <c r="M359">
        <v>6</v>
      </c>
      <c r="N359" t="str">
        <f>IF(Walmart[[#This Row],[Quantity]]&gt;=7,"Bulk",IF(Walmart[[#This Row],[Quantity]]&gt;=2,"Multi","Single"))</f>
        <v>Multi</v>
      </c>
      <c r="O359">
        <v>47.94</v>
      </c>
      <c r="P359" t="str">
        <f>IF(Walmart[[#This Row],[Sales]]&gt;=1000,"High Value", IF(Walmart[[#This Row],[Sales]]&gt;=500,"Medium Value","Low Value"))</f>
        <v>Low Value</v>
      </c>
    </row>
    <row r="360" spans="1:16" hidden="1" x14ac:dyDescent="0.3">
      <c r="A360" t="s">
        <v>1103</v>
      </c>
      <c r="B360" s="1">
        <v>40974</v>
      </c>
      <c r="C360" s="1" t="str">
        <f>TEXT(Walmart[[#This Row],[Order Date]],"mmmm")</f>
        <v>March</v>
      </c>
      <c r="D360" s="1">
        <v>40979</v>
      </c>
      <c r="E360" s="1" t="str">
        <f>IF(DATEDIF(Walmart[[#This Row],[Order Date]],Walmart[[#This Row],[Ship Date]],"D")&lt;7,"On time","Delayed")</f>
        <v>On time</v>
      </c>
      <c r="F360" t="s">
        <v>481</v>
      </c>
      <c r="G360" t="s">
        <v>14</v>
      </c>
      <c r="H360" t="s">
        <v>37</v>
      </c>
      <c r="I360" t="s">
        <v>16</v>
      </c>
      <c r="J360" t="s">
        <v>21</v>
      </c>
      <c r="K360" t="s">
        <v>1104</v>
      </c>
      <c r="L360">
        <v>435.26</v>
      </c>
      <c r="M360">
        <v>7</v>
      </c>
      <c r="N360" t="str">
        <f>IF(Walmart[[#This Row],[Quantity]]&gt;=7,"Bulk",IF(Walmart[[#This Row],[Quantity]]&gt;=2,"Multi","Single"))</f>
        <v>Bulk</v>
      </c>
      <c r="O360">
        <v>95.76</v>
      </c>
      <c r="P360" t="str">
        <f>IF(Walmart[[#This Row],[Sales]]&gt;=1000,"High Value", IF(Walmart[[#This Row],[Sales]]&gt;=500,"Medium Value","Low Value"))</f>
        <v>Low Value</v>
      </c>
    </row>
    <row r="361" spans="1:16" hidden="1" x14ac:dyDescent="0.3">
      <c r="A361" t="s">
        <v>1105</v>
      </c>
      <c r="B361" s="1">
        <v>40819</v>
      </c>
      <c r="C361" s="1" t="str">
        <f>TEXT(Walmart[[#This Row],[Order Date]],"mmmm")</f>
        <v>October</v>
      </c>
      <c r="D361" s="1">
        <v>40824</v>
      </c>
      <c r="E361" s="1" t="str">
        <f>IF(DATEDIF(Walmart[[#This Row],[Order Date]],Walmart[[#This Row],[Ship Date]],"D")&lt;7,"On time","Delayed")</f>
        <v>On time</v>
      </c>
      <c r="F361" t="s">
        <v>1106</v>
      </c>
      <c r="G361" t="s">
        <v>14</v>
      </c>
      <c r="H361" t="s">
        <v>15</v>
      </c>
      <c r="I361" t="s">
        <v>16</v>
      </c>
      <c r="J361" t="s">
        <v>43</v>
      </c>
      <c r="K361" t="s">
        <v>1107</v>
      </c>
      <c r="L361">
        <v>143.43</v>
      </c>
      <c r="M361">
        <v>1</v>
      </c>
      <c r="N361" t="str">
        <f>IF(Walmart[[#This Row],[Quantity]]&gt;=7,"Bulk",IF(Walmart[[#This Row],[Quantity]]&gt;=2,"Multi","Single"))</f>
        <v>Single</v>
      </c>
      <c r="O361">
        <v>3.59</v>
      </c>
      <c r="P361" t="str">
        <f>IF(Walmart[[#This Row],[Sales]]&gt;=1000,"High Value", IF(Walmart[[#This Row],[Sales]]&gt;=500,"Medium Value","Low Value"))</f>
        <v>Low Value</v>
      </c>
    </row>
    <row r="362" spans="1:16" x14ac:dyDescent="0.3">
      <c r="A362" t="s">
        <v>3469</v>
      </c>
      <c r="B362" s="1">
        <v>41960</v>
      </c>
      <c r="C362" s="1" t="str">
        <f>TEXT(Walmart[[#This Row],[Order Date]],"mmmm")</f>
        <v>November</v>
      </c>
      <c r="D362" s="1">
        <v>41964</v>
      </c>
      <c r="E362" s="1" t="str">
        <f>IF(DATEDIF(Walmart[[#This Row],[Order Date]],Walmart[[#This Row],[Ship Date]],"D")&lt;7,"On time","Delayed")</f>
        <v>On time</v>
      </c>
      <c r="F362" t="s">
        <v>91</v>
      </c>
      <c r="G362" t="s">
        <v>14</v>
      </c>
      <c r="H362" t="s">
        <v>15</v>
      </c>
      <c r="I362" t="s">
        <v>16</v>
      </c>
      <c r="J362" t="s">
        <v>21</v>
      </c>
      <c r="K362" t="s">
        <v>3470</v>
      </c>
      <c r="L362">
        <v>119.94</v>
      </c>
      <c r="M362">
        <v>3</v>
      </c>
      <c r="N362" t="str">
        <f>IF(Walmart[[#This Row],[Quantity]]&gt;=7,"Bulk",IF(Walmart[[#This Row],[Quantity]]&gt;=2,"Multi","Single"))</f>
        <v>Multi</v>
      </c>
      <c r="O362">
        <v>23.99</v>
      </c>
      <c r="P362" t="str">
        <f>IF(Walmart[[#This Row],[Sales]]&gt;=1000,"High Value", IF(Walmart[[#This Row],[Sales]]&gt;=500,"Medium Value","Low Value"))</f>
        <v>Low Value</v>
      </c>
    </row>
    <row r="363" spans="1:16" x14ac:dyDescent="0.3">
      <c r="A363" t="s">
        <v>493</v>
      </c>
      <c r="B363" s="1">
        <v>41958</v>
      </c>
      <c r="C363" s="1" t="str">
        <f>TEXT(Walmart[[#This Row],[Order Date]],"mmmm")</f>
        <v>November</v>
      </c>
      <c r="D363" s="1">
        <v>41963</v>
      </c>
      <c r="E363" s="1" t="str">
        <f>IF(DATEDIF(Walmart[[#This Row],[Order Date]],Walmart[[#This Row],[Ship Date]],"D")&lt;7,"On time","Delayed")</f>
        <v>On time</v>
      </c>
      <c r="F363" t="s">
        <v>494</v>
      </c>
      <c r="G363" t="s">
        <v>14</v>
      </c>
      <c r="H363" t="s">
        <v>37</v>
      </c>
      <c r="I363" t="s">
        <v>16</v>
      </c>
      <c r="J363" t="s">
        <v>88</v>
      </c>
      <c r="K363" t="s">
        <v>157</v>
      </c>
      <c r="L363">
        <v>321.57</v>
      </c>
      <c r="M363">
        <v>2</v>
      </c>
      <c r="N363" t="str">
        <f>IF(Walmart[[#This Row],[Quantity]]&gt;=7,"Bulk",IF(Walmart[[#This Row],[Quantity]]&gt;=2,"Multi","Single"))</f>
        <v>Multi</v>
      </c>
      <c r="O363">
        <v>28.14</v>
      </c>
      <c r="P363" t="str">
        <f>IF(Walmart[[#This Row],[Sales]]&gt;=1000,"High Value", IF(Walmart[[#This Row],[Sales]]&gt;=500,"Medium Value","Low Value"))</f>
        <v>Low Value</v>
      </c>
    </row>
    <row r="364" spans="1:16" x14ac:dyDescent="0.3">
      <c r="A364" t="s">
        <v>3500</v>
      </c>
      <c r="B364" s="1">
        <v>41958</v>
      </c>
      <c r="C364" s="1" t="str">
        <f>TEXT(Walmart[[#This Row],[Order Date]],"mmmm")</f>
        <v>November</v>
      </c>
      <c r="D364" s="1">
        <v>41963</v>
      </c>
      <c r="E364" s="1" t="str">
        <f>IF(DATEDIF(Walmart[[#This Row],[Order Date]],Walmart[[#This Row],[Ship Date]],"D")&lt;7,"On time","Delayed")</f>
        <v>On time</v>
      </c>
      <c r="F364" t="s">
        <v>954</v>
      </c>
      <c r="G364" t="s">
        <v>14</v>
      </c>
      <c r="H364" t="s">
        <v>15</v>
      </c>
      <c r="I364" t="s">
        <v>16</v>
      </c>
      <c r="J364" t="s">
        <v>38</v>
      </c>
      <c r="K364" t="s">
        <v>2071</v>
      </c>
      <c r="L364">
        <v>34.24</v>
      </c>
      <c r="M364">
        <v>8</v>
      </c>
      <c r="N364" t="str">
        <f>IF(Walmart[[#This Row],[Quantity]]&gt;=7,"Bulk",IF(Walmart[[#This Row],[Quantity]]&gt;=2,"Multi","Single"))</f>
        <v>Bulk</v>
      </c>
      <c r="O364">
        <v>9.93</v>
      </c>
      <c r="P364" t="str">
        <f>IF(Walmart[[#This Row],[Sales]]&gt;=1000,"High Value", IF(Walmart[[#This Row],[Sales]]&gt;=500,"Medium Value","Low Value"))</f>
        <v>Low Value</v>
      </c>
    </row>
    <row r="365" spans="1:16" x14ac:dyDescent="0.3">
      <c r="A365" t="s">
        <v>1998</v>
      </c>
      <c r="B365" s="1">
        <v>41957</v>
      </c>
      <c r="C365" s="1" t="str">
        <f>TEXT(Walmart[[#This Row],[Order Date]],"mmmm")</f>
        <v>November</v>
      </c>
      <c r="D365" s="1">
        <v>41962</v>
      </c>
      <c r="E365" s="1" t="str">
        <f>IF(DATEDIF(Walmart[[#This Row],[Order Date]],Walmart[[#This Row],[Ship Date]],"D")&lt;7,"On time","Delayed")</f>
        <v>On time</v>
      </c>
      <c r="F365" t="s">
        <v>118</v>
      </c>
      <c r="G365" t="s">
        <v>14</v>
      </c>
      <c r="H365" t="s">
        <v>25</v>
      </c>
      <c r="I365" t="s">
        <v>26</v>
      </c>
      <c r="J365" t="s">
        <v>88</v>
      </c>
      <c r="K365" t="s">
        <v>1354</v>
      </c>
      <c r="L365">
        <v>2404.6999999999998</v>
      </c>
      <c r="M365">
        <v>6</v>
      </c>
      <c r="N365" t="str">
        <f>IF(Walmart[[#This Row],[Quantity]]&gt;=7,"Bulk",IF(Walmart[[#This Row],[Quantity]]&gt;=2,"Multi","Single"))</f>
        <v>Multi</v>
      </c>
      <c r="O365">
        <v>150.29</v>
      </c>
      <c r="P365" t="str">
        <f>IF(Walmart[[#This Row],[Sales]]&gt;=1000,"High Value", IF(Walmart[[#This Row],[Sales]]&gt;=500,"Medium Value","Low Value"))</f>
        <v>High Value</v>
      </c>
    </row>
    <row r="366" spans="1:16" x14ac:dyDescent="0.3">
      <c r="A366" t="s">
        <v>3165</v>
      </c>
      <c r="B366" s="1">
        <v>41957</v>
      </c>
      <c r="C366" s="1" t="str">
        <f>TEXT(Walmart[[#This Row],[Order Date]],"mmmm")</f>
        <v>November</v>
      </c>
      <c r="D366" s="1">
        <v>41961</v>
      </c>
      <c r="E366" s="1" t="str">
        <f>IF(DATEDIF(Walmart[[#This Row],[Order Date]],Walmart[[#This Row],[Ship Date]],"D")&lt;7,"On time","Delayed")</f>
        <v>On time</v>
      </c>
      <c r="F366" t="s">
        <v>1290</v>
      </c>
      <c r="G366" t="s">
        <v>14</v>
      </c>
      <c r="H366" t="s">
        <v>2525</v>
      </c>
      <c r="I366" t="s">
        <v>16</v>
      </c>
      <c r="J366" t="s">
        <v>53</v>
      </c>
      <c r="K366" t="s">
        <v>3166</v>
      </c>
      <c r="L366">
        <v>82.95</v>
      </c>
      <c r="M366">
        <v>5</v>
      </c>
      <c r="N366" t="str">
        <f>IF(Walmart[[#This Row],[Quantity]]&gt;=7,"Bulk",IF(Walmart[[#This Row],[Quantity]]&gt;=2,"Multi","Single"))</f>
        <v>Multi</v>
      </c>
      <c r="O366">
        <v>29.03</v>
      </c>
      <c r="P366" t="str">
        <f>IF(Walmart[[#This Row],[Sales]]&gt;=1000,"High Value", IF(Walmart[[#This Row],[Sales]]&gt;=500,"Medium Value","Low Value"))</f>
        <v>Low Value</v>
      </c>
    </row>
    <row r="367" spans="1:16" x14ac:dyDescent="0.3">
      <c r="A367" t="s">
        <v>3473</v>
      </c>
      <c r="B367" s="1">
        <v>41957</v>
      </c>
      <c r="C367" s="1" t="str">
        <f>TEXT(Walmart[[#This Row],[Order Date]],"mmmm")</f>
        <v>November</v>
      </c>
      <c r="D367" s="1">
        <v>41963</v>
      </c>
      <c r="E367" s="1" t="str">
        <f>IF(DATEDIF(Walmart[[#This Row],[Order Date]],Walmart[[#This Row],[Ship Date]],"D")&lt;7,"On time","Delayed")</f>
        <v>On time</v>
      </c>
      <c r="F367" t="s">
        <v>204</v>
      </c>
      <c r="G367" t="s">
        <v>14</v>
      </c>
      <c r="H367" t="s">
        <v>3474</v>
      </c>
      <c r="I367" t="s">
        <v>16</v>
      </c>
      <c r="J367" t="s">
        <v>146</v>
      </c>
      <c r="K367" t="s">
        <v>3475</v>
      </c>
      <c r="L367">
        <v>22</v>
      </c>
      <c r="M367">
        <v>5</v>
      </c>
      <c r="N367" t="str">
        <f>IF(Walmart[[#This Row],[Quantity]]&gt;=7,"Bulk",IF(Walmart[[#This Row],[Quantity]]&gt;=2,"Multi","Single"))</f>
        <v>Multi</v>
      </c>
      <c r="O367">
        <v>1.38</v>
      </c>
      <c r="P367" t="str">
        <f>IF(Walmart[[#This Row],[Sales]]&gt;=1000,"High Value", IF(Walmart[[#This Row],[Sales]]&gt;=500,"Medium Value","Low Value"))</f>
        <v>Low Value</v>
      </c>
    </row>
    <row r="368" spans="1:16" hidden="1" x14ac:dyDescent="0.3">
      <c r="A368" t="s">
        <v>1126</v>
      </c>
      <c r="B368" s="1">
        <v>41542</v>
      </c>
      <c r="C368" s="1" t="str">
        <f>TEXT(Walmart[[#This Row],[Order Date]],"mmmm")</f>
        <v>September</v>
      </c>
      <c r="D368" s="1">
        <v>41544</v>
      </c>
      <c r="E368" s="1" t="str">
        <f>IF(DATEDIF(Walmart[[#This Row],[Order Date]],Walmart[[#This Row],[Ship Date]],"D")&lt;7,"On time","Delayed")</f>
        <v>On time</v>
      </c>
      <c r="F368" t="s">
        <v>1127</v>
      </c>
      <c r="G368" t="s">
        <v>14</v>
      </c>
      <c r="H368" t="s">
        <v>15</v>
      </c>
      <c r="I368" t="s">
        <v>16</v>
      </c>
      <c r="J368" t="s">
        <v>33</v>
      </c>
      <c r="K368" t="s">
        <v>1128</v>
      </c>
      <c r="L368">
        <v>41.96</v>
      </c>
      <c r="M368">
        <v>2</v>
      </c>
      <c r="N368" t="str">
        <f>IF(Walmart[[#This Row],[Quantity]]&gt;=7,"Bulk",IF(Walmart[[#This Row],[Quantity]]&gt;=2,"Multi","Single"))</f>
        <v>Multi</v>
      </c>
      <c r="O368">
        <v>2.94</v>
      </c>
      <c r="P368" t="str">
        <f>IF(Walmart[[#This Row],[Sales]]&gt;=1000,"High Value", IF(Walmart[[#This Row],[Sales]]&gt;=500,"Medium Value","Low Value"))</f>
        <v>Low Value</v>
      </c>
    </row>
    <row r="369" spans="1:16" x14ac:dyDescent="0.3">
      <c r="A369" t="s">
        <v>151</v>
      </c>
      <c r="B369" s="1">
        <v>41956</v>
      </c>
      <c r="C369" s="1" t="str">
        <f>TEXT(Walmart[[#This Row],[Order Date]],"mmmm")</f>
        <v>November</v>
      </c>
      <c r="D369" s="1">
        <v>41960</v>
      </c>
      <c r="E369" s="1" t="str">
        <f>IF(DATEDIF(Walmart[[#This Row],[Order Date]],Walmart[[#This Row],[Ship Date]],"D")&lt;7,"On time","Delayed")</f>
        <v>On time</v>
      </c>
      <c r="F369" t="s">
        <v>152</v>
      </c>
      <c r="G369" t="s">
        <v>14</v>
      </c>
      <c r="H369" t="s">
        <v>153</v>
      </c>
      <c r="I369" t="s">
        <v>16</v>
      </c>
      <c r="J369" t="s">
        <v>93</v>
      </c>
      <c r="K369" t="s">
        <v>154</v>
      </c>
      <c r="L369">
        <v>10.56</v>
      </c>
      <c r="M369">
        <v>2</v>
      </c>
      <c r="N369" t="str">
        <f>IF(Walmart[[#This Row],[Quantity]]&gt;=7,"Bulk",IF(Walmart[[#This Row],[Quantity]]&gt;=2,"Multi","Single"))</f>
        <v>Multi</v>
      </c>
      <c r="O369">
        <v>4.75</v>
      </c>
      <c r="P369" t="str">
        <f>IF(Walmart[[#This Row],[Sales]]&gt;=1000,"High Value", IF(Walmart[[#This Row],[Sales]]&gt;=500,"Medium Value","Low Value"))</f>
        <v>Low Value</v>
      </c>
    </row>
    <row r="370" spans="1:16" hidden="1" x14ac:dyDescent="0.3">
      <c r="A370" t="s">
        <v>1131</v>
      </c>
      <c r="B370" s="1">
        <v>41152</v>
      </c>
      <c r="C370" s="1" t="str">
        <f>TEXT(Walmart[[#This Row],[Order Date]],"mmmm")</f>
        <v>August</v>
      </c>
      <c r="D370" s="1">
        <v>41154</v>
      </c>
      <c r="E370" s="1" t="str">
        <f>IF(DATEDIF(Walmart[[#This Row],[Order Date]],Walmart[[#This Row],[Ship Date]],"D")&lt;7,"On time","Delayed")</f>
        <v>On time</v>
      </c>
      <c r="F370" t="s">
        <v>1132</v>
      </c>
      <c r="G370" t="s">
        <v>14</v>
      </c>
      <c r="H370" t="s">
        <v>37</v>
      </c>
      <c r="I370" t="s">
        <v>16</v>
      </c>
      <c r="J370" t="s">
        <v>671</v>
      </c>
      <c r="K370" t="s">
        <v>1133</v>
      </c>
      <c r="L370">
        <v>1552.83</v>
      </c>
      <c r="M370">
        <v>7</v>
      </c>
      <c r="N370" t="str">
        <f>IF(Walmart[[#This Row],[Quantity]]&gt;=7,"Bulk",IF(Walmart[[#This Row],[Quantity]]&gt;=2,"Multi","Single"))</f>
        <v>Bulk</v>
      </c>
      <c r="O370">
        <v>200.95</v>
      </c>
      <c r="P370" t="str">
        <f>IF(Walmart[[#This Row],[Sales]]&gt;=1000,"High Value", IF(Walmart[[#This Row],[Sales]]&gt;=500,"Medium Value","Low Value"))</f>
        <v>High Value</v>
      </c>
    </row>
    <row r="371" spans="1:16" hidden="1" x14ac:dyDescent="0.3">
      <c r="A371" t="s">
        <v>1134</v>
      </c>
      <c r="B371" s="1">
        <v>40871</v>
      </c>
      <c r="C371" s="1" t="str">
        <f>TEXT(Walmart[[#This Row],[Order Date]],"mmmm")</f>
        <v>November</v>
      </c>
      <c r="D371" s="1">
        <v>40873</v>
      </c>
      <c r="E371" s="1" t="str">
        <f>IF(DATEDIF(Walmart[[#This Row],[Order Date]],Walmart[[#This Row],[Ship Date]],"D")&lt;7,"On time","Delayed")</f>
        <v>On time</v>
      </c>
      <c r="F371" t="s">
        <v>1135</v>
      </c>
      <c r="G371" t="s">
        <v>14</v>
      </c>
      <c r="H371" t="s">
        <v>1136</v>
      </c>
      <c r="I371" t="s">
        <v>16</v>
      </c>
      <c r="J371" t="s">
        <v>88</v>
      </c>
      <c r="K371" t="s">
        <v>1137</v>
      </c>
      <c r="L371">
        <v>120.71</v>
      </c>
      <c r="M371">
        <v>1</v>
      </c>
      <c r="N371" t="str">
        <f>IF(Walmart[[#This Row],[Quantity]]&gt;=7,"Bulk",IF(Walmart[[#This Row],[Quantity]]&gt;=2,"Multi","Single"))</f>
        <v>Single</v>
      </c>
      <c r="O371">
        <v>-18.11</v>
      </c>
      <c r="P371" t="str">
        <f>IF(Walmart[[#This Row],[Sales]]&gt;=1000,"High Value", IF(Walmart[[#This Row],[Sales]]&gt;=500,"Medium Value","Low Value"))</f>
        <v>Low Value</v>
      </c>
    </row>
    <row r="372" spans="1:16" hidden="1" x14ac:dyDescent="0.3">
      <c r="A372" t="s">
        <v>1138</v>
      </c>
      <c r="B372" s="1">
        <v>41249</v>
      </c>
      <c r="C372" s="1" t="str">
        <f>TEXT(Walmart[[#This Row],[Order Date]],"mmmm")</f>
        <v>December</v>
      </c>
      <c r="D372" s="1">
        <v>41254</v>
      </c>
      <c r="E372" s="1" t="str">
        <f>IF(DATEDIF(Walmart[[#This Row],[Order Date]],Walmart[[#This Row],[Ship Date]],"D")&lt;7,"On time","Delayed")</f>
        <v>On time</v>
      </c>
      <c r="F372" t="s">
        <v>1139</v>
      </c>
      <c r="G372" t="s">
        <v>14</v>
      </c>
      <c r="H372" t="s">
        <v>1140</v>
      </c>
      <c r="I372" t="s">
        <v>16</v>
      </c>
      <c r="J372" t="s">
        <v>93</v>
      </c>
      <c r="K372" t="s">
        <v>1141</v>
      </c>
      <c r="L372">
        <v>32.75</v>
      </c>
      <c r="M372">
        <v>5</v>
      </c>
      <c r="N372" t="str">
        <f>IF(Walmart[[#This Row],[Quantity]]&gt;=7,"Bulk",IF(Walmart[[#This Row],[Quantity]]&gt;=2,"Multi","Single"))</f>
        <v>Multi</v>
      </c>
      <c r="O372">
        <v>15.07</v>
      </c>
      <c r="P372" t="str">
        <f>IF(Walmart[[#This Row],[Sales]]&gt;=1000,"High Value", IF(Walmart[[#This Row],[Sales]]&gt;=500,"Medium Value","Low Value"))</f>
        <v>Low Value</v>
      </c>
    </row>
    <row r="373" spans="1:16" x14ac:dyDescent="0.3">
      <c r="A373" t="s">
        <v>1395</v>
      </c>
      <c r="B373" s="1">
        <v>41956</v>
      </c>
      <c r="C373" s="1" t="str">
        <f>TEXT(Walmart[[#This Row],[Order Date]],"mmmm")</f>
        <v>November</v>
      </c>
      <c r="D373" s="1">
        <v>41956</v>
      </c>
      <c r="E373" s="1" t="str">
        <f>IF(DATEDIF(Walmart[[#This Row],[Order Date]],Walmart[[#This Row],[Ship Date]],"D")&lt;7,"On time","Delayed")</f>
        <v>On time</v>
      </c>
      <c r="F373" t="s">
        <v>1396</v>
      </c>
      <c r="G373" t="s">
        <v>14</v>
      </c>
      <c r="H373" t="s">
        <v>712</v>
      </c>
      <c r="I373" t="s">
        <v>58</v>
      </c>
      <c r="J373" t="s">
        <v>53</v>
      </c>
      <c r="K373" t="s">
        <v>1397</v>
      </c>
      <c r="L373">
        <v>41.6</v>
      </c>
      <c r="M373">
        <v>4</v>
      </c>
      <c r="N373" t="str">
        <f>IF(Walmart[[#This Row],[Quantity]]&gt;=7,"Bulk",IF(Walmart[[#This Row],[Quantity]]&gt;=2,"Multi","Single"))</f>
        <v>Multi</v>
      </c>
      <c r="O373">
        <v>13</v>
      </c>
      <c r="P373" t="str">
        <f>IF(Walmart[[#This Row],[Sales]]&gt;=1000,"High Value", IF(Walmart[[#This Row],[Sales]]&gt;=500,"Medium Value","Low Value"))</f>
        <v>Low Value</v>
      </c>
    </row>
    <row r="374" spans="1:16" hidden="1" x14ac:dyDescent="0.3">
      <c r="A374" t="s">
        <v>1145</v>
      </c>
      <c r="B374" s="1">
        <v>41255</v>
      </c>
      <c r="C374" s="1" t="str">
        <f>TEXT(Walmart[[#This Row],[Order Date]],"mmmm")</f>
        <v>December</v>
      </c>
      <c r="D374" s="1">
        <v>41258</v>
      </c>
      <c r="E374" s="1" t="str">
        <f>IF(DATEDIF(Walmart[[#This Row],[Order Date]],Walmart[[#This Row],[Ship Date]],"D")&lt;7,"On time","Delayed")</f>
        <v>On time</v>
      </c>
      <c r="F374" t="s">
        <v>1146</v>
      </c>
      <c r="G374" t="s">
        <v>14</v>
      </c>
      <c r="H374" t="s">
        <v>160</v>
      </c>
      <c r="I374" t="s">
        <v>16</v>
      </c>
      <c r="J374" t="s">
        <v>191</v>
      </c>
      <c r="K374" t="s">
        <v>125</v>
      </c>
      <c r="L374">
        <v>7.86</v>
      </c>
      <c r="M374">
        <v>2</v>
      </c>
      <c r="N374" t="str">
        <f>IF(Walmart[[#This Row],[Quantity]]&gt;=7,"Bulk",IF(Walmart[[#This Row],[Quantity]]&gt;=2,"Multi","Single"))</f>
        <v>Multi</v>
      </c>
      <c r="O374">
        <v>3.62</v>
      </c>
      <c r="P374" t="str">
        <f>IF(Walmart[[#This Row],[Sales]]&gt;=1000,"High Value", IF(Walmart[[#This Row],[Sales]]&gt;=500,"Medium Value","Low Value"))</f>
        <v>Low Value</v>
      </c>
    </row>
    <row r="375" spans="1:16" x14ac:dyDescent="0.3">
      <c r="A375" t="s">
        <v>1958</v>
      </c>
      <c r="B375" s="1">
        <v>41956</v>
      </c>
      <c r="C375" s="1" t="str">
        <f>TEXT(Walmart[[#This Row],[Order Date]],"mmmm")</f>
        <v>November</v>
      </c>
      <c r="D375" s="1">
        <v>41960</v>
      </c>
      <c r="E375" s="1" t="str">
        <f>IF(DATEDIF(Walmart[[#This Row],[Order Date]],Walmart[[#This Row],[Ship Date]],"D")&lt;7,"On time","Delayed")</f>
        <v>On time</v>
      </c>
      <c r="F375" t="s">
        <v>1959</v>
      </c>
      <c r="G375" t="s">
        <v>14</v>
      </c>
      <c r="H375" t="s">
        <v>25</v>
      </c>
      <c r="I375" t="s">
        <v>26</v>
      </c>
      <c r="J375" t="s">
        <v>17</v>
      </c>
      <c r="K375" t="s">
        <v>1960</v>
      </c>
      <c r="L375">
        <v>9.9600000000000009</v>
      </c>
      <c r="M375">
        <v>2</v>
      </c>
      <c r="N375" t="str">
        <f>IF(Walmart[[#This Row],[Quantity]]&gt;=7,"Bulk",IF(Walmart[[#This Row],[Quantity]]&gt;=2,"Multi","Single"))</f>
        <v>Multi</v>
      </c>
      <c r="O375">
        <v>4.58</v>
      </c>
      <c r="P375" t="str">
        <f>IF(Walmart[[#This Row],[Sales]]&gt;=1000,"High Value", IF(Walmart[[#This Row],[Sales]]&gt;=500,"Medium Value","Low Value"))</f>
        <v>Low Value</v>
      </c>
    </row>
    <row r="376" spans="1:16" x14ac:dyDescent="0.3">
      <c r="A376" t="s">
        <v>1985</v>
      </c>
      <c r="B376" s="1">
        <v>41956</v>
      </c>
      <c r="C376" s="1" t="str">
        <f>TEXT(Walmart[[#This Row],[Order Date]],"mmmm")</f>
        <v>November</v>
      </c>
      <c r="D376" s="1">
        <v>41959</v>
      </c>
      <c r="E376" s="1" t="str">
        <f>IF(DATEDIF(Walmart[[#This Row],[Order Date]],Walmart[[#This Row],[Ship Date]],"D")&lt;7,"On time","Delayed")</f>
        <v>On time</v>
      </c>
      <c r="F376" t="s">
        <v>1986</v>
      </c>
      <c r="G376" t="s">
        <v>14</v>
      </c>
      <c r="H376" t="s">
        <v>15</v>
      </c>
      <c r="I376" t="s">
        <v>16</v>
      </c>
      <c r="J376" t="s">
        <v>27</v>
      </c>
      <c r="K376" t="s">
        <v>1987</v>
      </c>
      <c r="L376">
        <v>14.02</v>
      </c>
      <c r="M376">
        <v>4</v>
      </c>
      <c r="N376" t="str">
        <f>IF(Walmart[[#This Row],[Quantity]]&gt;=7,"Bulk",IF(Walmart[[#This Row],[Quantity]]&gt;=2,"Multi","Single"))</f>
        <v>Multi</v>
      </c>
      <c r="O376">
        <v>4.91</v>
      </c>
      <c r="P376" t="str">
        <f>IF(Walmart[[#This Row],[Sales]]&gt;=1000,"High Value", IF(Walmart[[#This Row],[Sales]]&gt;=500,"Medium Value","Low Value"))</f>
        <v>Low Value</v>
      </c>
    </row>
    <row r="377" spans="1:16" x14ac:dyDescent="0.3">
      <c r="A377" t="s">
        <v>2485</v>
      </c>
      <c r="B377" s="1">
        <v>41956</v>
      </c>
      <c r="C377" s="1" t="str">
        <f>TEXT(Walmart[[#This Row],[Order Date]],"mmmm")</f>
        <v>November</v>
      </c>
      <c r="D377" s="1">
        <v>41960</v>
      </c>
      <c r="E377" s="1" t="str">
        <f>IF(DATEDIF(Walmart[[#This Row],[Order Date]],Walmart[[#This Row],[Ship Date]],"D")&lt;7,"On time","Delayed")</f>
        <v>On time</v>
      </c>
      <c r="F377" t="s">
        <v>711</v>
      </c>
      <c r="G377" t="s">
        <v>14</v>
      </c>
      <c r="H377" t="s">
        <v>2486</v>
      </c>
      <c r="I377" t="s">
        <v>26</v>
      </c>
      <c r="J377" t="s">
        <v>191</v>
      </c>
      <c r="K377" t="s">
        <v>125</v>
      </c>
      <c r="L377">
        <v>18.239999999999998</v>
      </c>
      <c r="M377">
        <v>3</v>
      </c>
      <c r="N377" t="str">
        <f>IF(Walmart[[#This Row],[Quantity]]&gt;=7,"Bulk",IF(Walmart[[#This Row],[Quantity]]&gt;=2,"Multi","Single"))</f>
        <v>Multi</v>
      </c>
      <c r="O377">
        <v>9.1199999999999992</v>
      </c>
      <c r="P377" t="str">
        <f>IF(Walmart[[#This Row],[Sales]]&gt;=1000,"High Value", IF(Walmart[[#This Row],[Sales]]&gt;=500,"Medium Value","Low Value"))</f>
        <v>Low Value</v>
      </c>
    </row>
    <row r="378" spans="1:16" x14ac:dyDescent="0.3">
      <c r="A378" t="s">
        <v>3109</v>
      </c>
      <c r="B378" s="1">
        <v>41956</v>
      </c>
      <c r="C378" s="1" t="str">
        <f>TEXT(Walmart[[#This Row],[Order Date]],"mmmm")</f>
        <v>November</v>
      </c>
      <c r="D378" s="1">
        <v>41960</v>
      </c>
      <c r="E378" s="1" t="str">
        <f>IF(DATEDIF(Walmart[[#This Row],[Order Date]],Walmart[[#This Row],[Ship Date]],"D")&lt;7,"On time","Delayed")</f>
        <v>On time</v>
      </c>
      <c r="F378" t="s">
        <v>1353</v>
      </c>
      <c r="G378" t="s">
        <v>14</v>
      </c>
      <c r="H378" t="s">
        <v>757</v>
      </c>
      <c r="I378" t="s">
        <v>58</v>
      </c>
      <c r="J378" t="s">
        <v>53</v>
      </c>
      <c r="K378" t="s">
        <v>1409</v>
      </c>
      <c r="L378">
        <v>62.35</v>
      </c>
      <c r="M378">
        <v>6</v>
      </c>
      <c r="N378" t="str">
        <f>IF(Walmart[[#This Row],[Quantity]]&gt;=7,"Bulk",IF(Walmart[[#This Row],[Quantity]]&gt;=2,"Multi","Single"))</f>
        <v>Multi</v>
      </c>
      <c r="O378">
        <v>-10.91</v>
      </c>
      <c r="P378" t="str">
        <f>IF(Walmart[[#This Row],[Sales]]&gt;=1000,"High Value", IF(Walmart[[#This Row],[Sales]]&gt;=500,"Medium Value","Low Value"))</f>
        <v>Low Value</v>
      </c>
    </row>
    <row r="379" spans="1:16" hidden="1" x14ac:dyDescent="0.3">
      <c r="A379" t="s">
        <v>1157</v>
      </c>
      <c r="B379" s="1">
        <v>41067</v>
      </c>
      <c r="C379" s="1" t="str">
        <f>TEXT(Walmart[[#This Row],[Order Date]],"mmmm")</f>
        <v>June</v>
      </c>
      <c r="D379" s="1">
        <v>41069</v>
      </c>
      <c r="E379" s="1" t="str">
        <f>IF(DATEDIF(Walmart[[#This Row],[Order Date]],Walmart[[#This Row],[Ship Date]],"D")&lt;7,"On time","Delayed")</f>
        <v>On time</v>
      </c>
      <c r="F379" t="s">
        <v>1158</v>
      </c>
      <c r="G379" t="s">
        <v>14</v>
      </c>
      <c r="H379" t="s">
        <v>15</v>
      </c>
      <c r="I379" t="s">
        <v>16</v>
      </c>
      <c r="J379" t="s">
        <v>27</v>
      </c>
      <c r="K379" t="s">
        <v>125</v>
      </c>
      <c r="L379">
        <v>7.52</v>
      </c>
      <c r="M379">
        <v>5</v>
      </c>
      <c r="N379" t="str">
        <f>IF(Walmart[[#This Row],[Quantity]]&gt;=7,"Bulk",IF(Walmart[[#This Row],[Quantity]]&gt;=2,"Multi","Single"))</f>
        <v>Multi</v>
      </c>
      <c r="O379">
        <v>2.63</v>
      </c>
      <c r="P379" t="str">
        <f>IF(Walmart[[#This Row],[Sales]]&gt;=1000,"High Value", IF(Walmart[[#This Row],[Sales]]&gt;=500,"Medium Value","Low Value"))</f>
        <v>Low Value</v>
      </c>
    </row>
    <row r="380" spans="1:16" hidden="1" x14ac:dyDescent="0.3">
      <c r="A380" t="s">
        <v>1159</v>
      </c>
      <c r="B380" s="1">
        <v>40859</v>
      </c>
      <c r="C380" s="1" t="str">
        <f>TEXT(Walmart[[#This Row],[Order Date]],"mmmm")</f>
        <v>November</v>
      </c>
      <c r="D380" s="1">
        <v>40863</v>
      </c>
      <c r="E380" s="1" t="str">
        <f>IF(DATEDIF(Walmart[[#This Row],[Order Date]],Walmart[[#This Row],[Ship Date]],"D")&lt;7,"On time","Delayed")</f>
        <v>On time</v>
      </c>
      <c r="F380" t="s">
        <v>487</v>
      </c>
      <c r="G380" t="s">
        <v>14</v>
      </c>
      <c r="H380" t="s">
        <v>15</v>
      </c>
      <c r="I380" t="s">
        <v>16</v>
      </c>
      <c r="J380" t="s">
        <v>93</v>
      </c>
      <c r="K380" t="s">
        <v>1160</v>
      </c>
      <c r="L380">
        <v>11.96</v>
      </c>
      <c r="M380">
        <v>2</v>
      </c>
      <c r="N380" t="str">
        <f>IF(Walmart[[#This Row],[Quantity]]&gt;=7,"Bulk",IF(Walmart[[#This Row],[Quantity]]&gt;=2,"Multi","Single"))</f>
        <v>Multi</v>
      </c>
      <c r="O380">
        <v>5.86</v>
      </c>
      <c r="P380" t="str">
        <f>IF(Walmart[[#This Row],[Sales]]&gt;=1000,"High Value", IF(Walmart[[#This Row],[Sales]]&gt;=500,"Medium Value","Low Value"))</f>
        <v>Low Value</v>
      </c>
    </row>
    <row r="381" spans="1:16" x14ac:dyDescent="0.3">
      <c r="A381" t="s">
        <v>3456</v>
      </c>
      <c r="B381" s="1">
        <v>41956</v>
      </c>
      <c r="C381" s="1" t="str">
        <f>TEXT(Walmart[[#This Row],[Order Date]],"mmmm")</f>
        <v>November</v>
      </c>
      <c r="D381" s="1">
        <v>41959</v>
      </c>
      <c r="E381" s="1" t="str">
        <f>IF(DATEDIF(Walmart[[#This Row],[Order Date]],Walmart[[#This Row],[Ship Date]],"D")&lt;7,"On time","Delayed")</f>
        <v>On time</v>
      </c>
      <c r="F381" t="s">
        <v>1370</v>
      </c>
      <c r="G381" t="s">
        <v>14</v>
      </c>
      <c r="H381" t="s">
        <v>15</v>
      </c>
      <c r="I381" t="s">
        <v>16</v>
      </c>
      <c r="J381" t="s">
        <v>93</v>
      </c>
      <c r="K381" t="s">
        <v>3457</v>
      </c>
      <c r="L381">
        <v>11.56</v>
      </c>
      <c r="M381">
        <v>2</v>
      </c>
      <c r="N381" t="str">
        <f>IF(Walmart[[#This Row],[Quantity]]&gt;=7,"Bulk",IF(Walmart[[#This Row],[Quantity]]&gt;=2,"Multi","Single"))</f>
        <v>Multi</v>
      </c>
      <c r="O381">
        <v>5.66</v>
      </c>
      <c r="P381" t="str">
        <f>IF(Walmart[[#This Row],[Sales]]&gt;=1000,"High Value", IF(Walmart[[#This Row],[Sales]]&gt;=500,"Medium Value","Low Value"))</f>
        <v>Low Value</v>
      </c>
    </row>
    <row r="382" spans="1:16" hidden="1" x14ac:dyDescent="0.3">
      <c r="A382" t="s">
        <v>1165</v>
      </c>
      <c r="B382" s="1">
        <v>41416</v>
      </c>
      <c r="C382" s="1" t="str">
        <f>TEXT(Walmart[[#This Row],[Order Date]],"mmmm")</f>
        <v>May</v>
      </c>
      <c r="D382" s="1">
        <v>41423</v>
      </c>
      <c r="E382" s="1" t="str">
        <f>IF(DATEDIF(Walmart[[#This Row],[Order Date]],Walmart[[#This Row],[Ship Date]],"D")&lt;7,"On time","Delayed")</f>
        <v>Delayed</v>
      </c>
      <c r="F382" t="s">
        <v>1166</v>
      </c>
      <c r="G382" t="s">
        <v>14</v>
      </c>
      <c r="H382" t="s">
        <v>1167</v>
      </c>
      <c r="I382" t="s">
        <v>227</v>
      </c>
      <c r="J382" t="s">
        <v>1168</v>
      </c>
      <c r="K382" t="s">
        <v>1169</v>
      </c>
      <c r="L382">
        <v>2396.4</v>
      </c>
      <c r="M382">
        <v>10</v>
      </c>
      <c r="N382" t="str">
        <f>IF(Walmart[[#This Row],[Quantity]]&gt;=7,"Bulk",IF(Walmart[[#This Row],[Quantity]]&gt;=2,"Multi","Single"))</f>
        <v>Bulk</v>
      </c>
      <c r="O382">
        <v>179.73</v>
      </c>
      <c r="P382" t="str">
        <f>IF(Walmart[[#This Row],[Sales]]&gt;=1000,"High Value", IF(Walmart[[#This Row],[Sales]]&gt;=500,"Medium Value","Low Value"))</f>
        <v>High Value</v>
      </c>
    </row>
    <row r="383" spans="1:16" x14ac:dyDescent="0.3">
      <c r="A383" t="s">
        <v>1351</v>
      </c>
      <c r="B383" s="1">
        <v>41955</v>
      </c>
      <c r="C383" s="1" t="str">
        <f>TEXT(Walmart[[#This Row],[Order Date]],"mmmm")</f>
        <v>November</v>
      </c>
      <c r="D383" s="1">
        <v>41960</v>
      </c>
      <c r="E383" s="1" t="str">
        <f>IF(DATEDIF(Walmart[[#This Row],[Order Date]],Walmart[[#This Row],[Ship Date]],"D")&lt;7,"On time","Delayed")</f>
        <v>On time</v>
      </c>
      <c r="F383" t="s">
        <v>1332</v>
      </c>
      <c r="G383" t="s">
        <v>14</v>
      </c>
      <c r="H383" t="s">
        <v>15</v>
      </c>
      <c r="I383" t="s">
        <v>16</v>
      </c>
      <c r="J383" t="s">
        <v>105</v>
      </c>
      <c r="K383" t="s">
        <v>1321</v>
      </c>
      <c r="L383">
        <v>10.89</v>
      </c>
      <c r="M383">
        <v>1</v>
      </c>
      <c r="N383" t="str">
        <f>IF(Walmart[[#This Row],[Quantity]]&gt;=7,"Bulk",IF(Walmart[[#This Row],[Quantity]]&gt;=2,"Multi","Single"))</f>
        <v>Single</v>
      </c>
      <c r="O383">
        <v>2.83</v>
      </c>
      <c r="P383" t="str">
        <f>IF(Walmart[[#This Row],[Sales]]&gt;=1000,"High Value", IF(Walmart[[#This Row],[Sales]]&gt;=500,"Medium Value","Low Value"))</f>
        <v>Low Value</v>
      </c>
    </row>
    <row r="384" spans="1:16" x14ac:dyDescent="0.3">
      <c r="A384" t="s">
        <v>2868</v>
      </c>
      <c r="B384" s="1">
        <v>41955</v>
      </c>
      <c r="C384" s="1" t="str">
        <f>TEXT(Walmart[[#This Row],[Order Date]],"mmmm")</f>
        <v>November</v>
      </c>
      <c r="D384" s="1">
        <v>41959</v>
      </c>
      <c r="E384" s="1" t="str">
        <f>IF(DATEDIF(Walmart[[#This Row],[Order Date]],Walmart[[#This Row],[Ship Date]],"D")&lt;7,"On time","Delayed")</f>
        <v>On time</v>
      </c>
      <c r="F384" t="s">
        <v>2711</v>
      </c>
      <c r="G384" t="s">
        <v>14</v>
      </c>
      <c r="H384" t="s">
        <v>15</v>
      </c>
      <c r="I384" t="s">
        <v>16</v>
      </c>
      <c r="J384" t="s">
        <v>21</v>
      </c>
      <c r="K384" t="s">
        <v>2777</v>
      </c>
      <c r="L384">
        <v>34.92</v>
      </c>
      <c r="M384">
        <v>4</v>
      </c>
      <c r="N384" t="str">
        <f>IF(Walmart[[#This Row],[Quantity]]&gt;=7,"Bulk",IF(Walmart[[#This Row],[Quantity]]&gt;=2,"Multi","Single"))</f>
        <v>Multi</v>
      </c>
      <c r="O384">
        <v>11.87</v>
      </c>
      <c r="P384" t="str">
        <f>IF(Walmart[[#This Row],[Sales]]&gt;=1000,"High Value", IF(Walmart[[#This Row],[Sales]]&gt;=500,"Medium Value","Low Value"))</f>
        <v>Low Value</v>
      </c>
    </row>
    <row r="385" spans="1:16" x14ac:dyDescent="0.3">
      <c r="A385" t="s">
        <v>662</v>
      </c>
      <c r="B385" s="1">
        <v>41954</v>
      </c>
      <c r="C385" s="1" t="str">
        <f>TEXT(Walmart[[#This Row],[Order Date]],"mmmm")</f>
        <v>November</v>
      </c>
      <c r="D385" s="1">
        <v>41955</v>
      </c>
      <c r="E385" s="1" t="str">
        <f>IF(DATEDIF(Walmart[[#This Row],[Order Date]],Walmart[[#This Row],[Ship Date]],"D")&lt;7,"On time","Delayed")</f>
        <v>On time</v>
      </c>
      <c r="F385" t="s">
        <v>663</v>
      </c>
      <c r="G385" t="s">
        <v>14</v>
      </c>
      <c r="H385" t="s">
        <v>215</v>
      </c>
      <c r="I385" t="s">
        <v>58</v>
      </c>
      <c r="J385" t="s">
        <v>27</v>
      </c>
      <c r="K385" t="s">
        <v>664</v>
      </c>
      <c r="L385">
        <v>38.39</v>
      </c>
      <c r="M385">
        <v>14</v>
      </c>
      <c r="N385" t="str">
        <f>IF(Walmart[[#This Row],[Quantity]]&gt;=7,"Bulk",IF(Walmart[[#This Row],[Quantity]]&gt;=2,"Multi","Single"))</f>
        <v>Bulk</v>
      </c>
      <c r="O385">
        <v>-25.59</v>
      </c>
      <c r="P385" t="str">
        <f>IF(Walmart[[#This Row],[Sales]]&gt;=1000,"High Value", IF(Walmart[[#This Row],[Sales]]&gt;=500,"Medium Value","Low Value"))</f>
        <v>Low Value</v>
      </c>
    </row>
    <row r="386" spans="1:16" x14ac:dyDescent="0.3">
      <c r="A386" t="s">
        <v>2188</v>
      </c>
      <c r="B386" s="1">
        <v>41954</v>
      </c>
      <c r="C386" s="1" t="str">
        <f>TEXT(Walmart[[#This Row],[Order Date]],"mmmm")</f>
        <v>November</v>
      </c>
      <c r="D386" s="1">
        <v>41956</v>
      </c>
      <c r="E386" s="1" t="str">
        <f>IF(DATEDIF(Walmart[[#This Row],[Order Date]],Walmart[[#This Row],[Ship Date]],"D")&lt;7,"On time","Delayed")</f>
        <v>On time</v>
      </c>
      <c r="F386" t="s">
        <v>1770</v>
      </c>
      <c r="G386" t="s">
        <v>14</v>
      </c>
      <c r="H386" t="s">
        <v>25</v>
      </c>
      <c r="I386" t="s">
        <v>26</v>
      </c>
      <c r="J386" t="s">
        <v>27</v>
      </c>
      <c r="K386" t="s">
        <v>971</v>
      </c>
      <c r="L386">
        <v>26.35</v>
      </c>
      <c r="M386">
        <v>3</v>
      </c>
      <c r="N386" t="str">
        <f>IF(Walmart[[#This Row],[Quantity]]&gt;=7,"Bulk",IF(Walmart[[#This Row],[Quantity]]&gt;=2,"Multi","Single"))</f>
        <v>Multi</v>
      </c>
      <c r="O386">
        <v>9.5500000000000007</v>
      </c>
      <c r="P386" t="str">
        <f>IF(Walmart[[#This Row],[Sales]]&gt;=1000,"High Value", IF(Walmart[[#This Row],[Sales]]&gt;=500,"Medium Value","Low Value"))</f>
        <v>Low Value</v>
      </c>
    </row>
    <row r="387" spans="1:16" hidden="1" x14ac:dyDescent="0.3">
      <c r="A387" t="s">
        <v>1180</v>
      </c>
      <c r="B387" s="1">
        <v>40865</v>
      </c>
      <c r="C387" s="1" t="str">
        <f>TEXT(Walmart[[#This Row],[Order Date]],"mmmm")</f>
        <v>November</v>
      </c>
      <c r="D387" s="1">
        <v>40867</v>
      </c>
      <c r="E387" s="1" t="str">
        <f>IF(DATEDIF(Walmart[[#This Row],[Order Date]],Walmart[[#This Row],[Ship Date]],"D")&lt;7,"On time","Delayed")</f>
        <v>On time</v>
      </c>
      <c r="F387" t="s">
        <v>1181</v>
      </c>
      <c r="G387" t="s">
        <v>14</v>
      </c>
      <c r="H387" t="s">
        <v>247</v>
      </c>
      <c r="I387" t="s">
        <v>77</v>
      </c>
      <c r="J387" t="s">
        <v>43</v>
      </c>
      <c r="K387" t="s">
        <v>1182</v>
      </c>
      <c r="L387">
        <v>145.97999999999999</v>
      </c>
      <c r="M387">
        <v>2</v>
      </c>
      <c r="N387" t="str">
        <f>IF(Walmart[[#This Row],[Quantity]]&gt;=7,"Bulk",IF(Walmart[[#This Row],[Quantity]]&gt;=2,"Multi","Single"))</f>
        <v>Multi</v>
      </c>
      <c r="O387">
        <v>-99.27</v>
      </c>
      <c r="P387" t="str">
        <f>IF(Walmart[[#This Row],[Sales]]&gt;=1000,"High Value", IF(Walmart[[#This Row],[Sales]]&gt;=500,"Medium Value","Low Value"))</f>
        <v>Low Value</v>
      </c>
    </row>
    <row r="388" spans="1:16" hidden="1" x14ac:dyDescent="0.3">
      <c r="A388" t="s">
        <v>1183</v>
      </c>
      <c r="B388" s="1">
        <v>41177</v>
      </c>
      <c r="C388" s="1" t="str">
        <f>TEXT(Walmart[[#This Row],[Order Date]],"mmmm")</f>
        <v>September</v>
      </c>
      <c r="D388" s="1">
        <v>41183</v>
      </c>
      <c r="E388" s="1" t="str">
        <f>IF(DATEDIF(Walmart[[#This Row],[Order Date]],Walmart[[#This Row],[Ship Date]],"D")&lt;7,"On time","Delayed")</f>
        <v>On time</v>
      </c>
      <c r="F388" t="s">
        <v>1184</v>
      </c>
      <c r="G388" t="s">
        <v>14</v>
      </c>
      <c r="H388" t="s">
        <v>15</v>
      </c>
      <c r="I388" t="s">
        <v>16</v>
      </c>
      <c r="J388" t="s">
        <v>124</v>
      </c>
      <c r="K388" t="s">
        <v>1185</v>
      </c>
      <c r="L388">
        <v>17.48</v>
      </c>
      <c r="M388">
        <v>2</v>
      </c>
      <c r="N388" t="str">
        <f>IF(Walmart[[#This Row],[Quantity]]&gt;=7,"Bulk",IF(Walmart[[#This Row],[Quantity]]&gt;=2,"Multi","Single"))</f>
        <v>Multi</v>
      </c>
      <c r="O388">
        <v>8.2200000000000006</v>
      </c>
      <c r="P388" t="str">
        <f>IF(Walmart[[#This Row],[Sales]]&gt;=1000,"High Value", IF(Walmart[[#This Row],[Sales]]&gt;=500,"Medium Value","Low Value"))</f>
        <v>Low Value</v>
      </c>
    </row>
    <row r="389" spans="1:16" hidden="1" x14ac:dyDescent="0.3">
      <c r="A389" t="s">
        <v>1186</v>
      </c>
      <c r="B389" s="1">
        <v>41584</v>
      </c>
      <c r="C389" s="1" t="str">
        <f>TEXT(Walmart[[#This Row],[Order Date]],"mmmm")</f>
        <v>November</v>
      </c>
      <c r="D389" s="1">
        <v>41589</v>
      </c>
      <c r="E389" s="1" t="str">
        <f>IF(DATEDIF(Walmart[[#This Row],[Order Date]],Walmart[[#This Row],[Ship Date]],"D")&lt;7,"On time","Delayed")</f>
        <v>On time</v>
      </c>
      <c r="F389" t="s">
        <v>782</v>
      </c>
      <c r="G389" t="s">
        <v>14</v>
      </c>
      <c r="H389" t="s">
        <v>109</v>
      </c>
      <c r="I389" t="s">
        <v>16</v>
      </c>
      <c r="J389" t="s">
        <v>27</v>
      </c>
      <c r="K389" t="s">
        <v>1187</v>
      </c>
      <c r="L389">
        <v>29.12</v>
      </c>
      <c r="M389">
        <v>5</v>
      </c>
      <c r="N389" t="str">
        <f>IF(Walmart[[#This Row],[Quantity]]&gt;=7,"Bulk",IF(Walmart[[#This Row],[Quantity]]&gt;=2,"Multi","Single"))</f>
        <v>Multi</v>
      </c>
      <c r="O389">
        <v>9.83</v>
      </c>
      <c r="P389" t="str">
        <f>IF(Walmart[[#This Row],[Sales]]&gt;=1000,"High Value", IF(Walmart[[#This Row],[Sales]]&gt;=500,"Medium Value","Low Value"))</f>
        <v>Low Value</v>
      </c>
    </row>
    <row r="390" spans="1:16" hidden="1" x14ac:dyDescent="0.3">
      <c r="A390" t="s">
        <v>1188</v>
      </c>
      <c r="B390" s="1">
        <v>41101</v>
      </c>
      <c r="C390" s="1" t="str">
        <f>TEXT(Walmart[[#This Row],[Order Date]],"mmmm")</f>
        <v>July</v>
      </c>
      <c r="D390" s="1">
        <v>41103</v>
      </c>
      <c r="E390" s="1" t="str">
        <f>IF(DATEDIF(Walmart[[#This Row],[Order Date]],Walmart[[#This Row],[Ship Date]],"D")&lt;7,"On time","Delayed")</f>
        <v>On time</v>
      </c>
      <c r="F390" t="s">
        <v>1189</v>
      </c>
      <c r="G390" t="s">
        <v>14</v>
      </c>
      <c r="H390" t="s">
        <v>25</v>
      </c>
      <c r="I390" t="s">
        <v>26</v>
      </c>
      <c r="J390" t="s">
        <v>93</v>
      </c>
      <c r="K390" t="s">
        <v>1190</v>
      </c>
      <c r="L390">
        <v>29.97</v>
      </c>
      <c r="M390">
        <v>3</v>
      </c>
      <c r="N390" t="str">
        <f>IF(Walmart[[#This Row],[Quantity]]&gt;=7,"Bulk",IF(Walmart[[#This Row],[Quantity]]&gt;=2,"Multi","Single"))</f>
        <v>Multi</v>
      </c>
      <c r="O390">
        <v>13.49</v>
      </c>
      <c r="P390" t="str">
        <f>IF(Walmart[[#This Row],[Sales]]&gt;=1000,"High Value", IF(Walmart[[#This Row],[Sales]]&gt;=500,"Medium Value","Low Value"))</f>
        <v>Low Value</v>
      </c>
    </row>
    <row r="391" spans="1:16" hidden="1" x14ac:dyDescent="0.3">
      <c r="A391" t="s">
        <v>1191</v>
      </c>
      <c r="B391" s="1">
        <v>41582</v>
      </c>
      <c r="C391" s="1" t="str">
        <f>TEXT(Walmart[[#This Row],[Order Date]],"mmmm")</f>
        <v>November</v>
      </c>
      <c r="D391" s="1">
        <v>41585</v>
      </c>
      <c r="E391" s="1" t="str">
        <f>IF(DATEDIF(Walmart[[#This Row],[Order Date]],Walmart[[#This Row],[Ship Date]],"D")&lt;7,"On time","Delayed")</f>
        <v>On time</v>
      </c>
      <c r="F391" t="s">
        <v>616</v>
      </c>
      <c r="G391" t="s">
        <v>14</v>
      </c>
      <c r="H391" t="s">
        <v>15</v>
      </c>
      <c r="I391" t="s">
        <v>16</v>
      </c>
      <c r="J391" t="s">
        <v>88</v>
      </c>
      <c r="K391" t="s">
        <v>1192</v>
      </c>
      <c r="L391">
        <v>217.58</v>
      </c>
      <c r="M391">
        <v>2</v>
      </c>
      <c r="N391" t="str">
        <f>IF(Walmart[[#This Row],[Quantity]]&gt;=7,"Bulk",IF(Walmart[[#This Row],[Quantity]]&gt;=2,"Multi","Single"))</f>
        <v>Multi</v>
      </c>
      <c r="O391">
        <v>-29.92</v>
      </c>
      <c r="P391" t="str">
        <f>IF(Walmart[[#This Row],[Sales]]&gt;=1000,"High Value", IF(Walmart[[#This Row],[Sales]]&gt;=500,"Medium Value","Low Value"))</f>
        <v>Low Value</v>
      </c>
    </row>
    <row r="392" spans="1:16" x14ac:dyDescent="0.3">
      <c r="A392" t="s">
        <v>2710</v>
      </c>
      <c r="B392" s="1">
        <v>41954</v>
      </c>
      <c r="C392" s="1" t="str">
        <f>TEXT(Walmart[[#This Row],[Order Date]],"mmmm")</f>
        <v>November</v>
      </c>
      <c r="D392" s="1">
        <v>41954</v>
      </c>
      <c r="E392" s="1" t="str">
        <f>IF(DATEDIF(Walmart[[#This Row],[Order Date]],Walmart[[#This Row],[Ship Date]],"D")&lt;7,"On time","Delayed")</f>
        <v>On time</v>
      </c>
      <c r="F392" t="s">
        <v>2711</v>
      </c>
      <c r="G392" t="s">
        <v>14</v>
      </c>
      <c r="H392" t="s">
        <v>471</v>
      </c>
      <c r="I392" t="s">
        <v>16</v>
      </c>
      <c r="J392" t="s">
        <v>38</v>
      </c>
      <c r="K392" t="s">
        <v>2712</v>
      </c>
      <c r="L392">
        <v>7.8</v>
      </c>
      <c r="M392">
        <v>3</v>
      </c>
      <c r="N392" t="str">
        <f>IF(Walmart[[#This Row],[Quantity]]&gt;=7,"Bulk",IF(Walmart[[#This Row],[Quantity]]&gt;=2,"Multi","Single"))</f>
        <v>Multi</v>
      </c>
      <c r="O392">
        <v>2.11</v>
      </c>
      <c r="P392" t="str">
        <f>IF(Walmart[[#This Row],[Sales]]&gt;=1000,"High Value", IF(Walmart[[#This Row],[Sales]]&gt;=500,"Medium Value","Low Value"))</f>
        <v>Low Value</v>
      </c>
    </row>
    <row r="393" spans="1:16" x14ac:dyDescent="0.3">
      <c r="A393" t="s">
        <v>2825</v>
      </c>
      <c r="B393" s="1">
        <v>41954</v>
      </c>
      <c r="C393" s="1" t="str">
        <f>TEXT(Walmart[[#This Row],[Order Date]],"mmmm")</f>
        <v>November</v>
      </c>
      <c r="D393" s="1">
        <v>41961</v>
      </c>
      <c r="E393" s="1" t="str">
        <f>IF(DATEDIF(Walmart[[#This Row],[Order Date]],Walmart[[#This Row],[Ship Date]],"D")&lt;7,"On time","Delayed")</f>
        <v>Delayed</v>
      </c>
      <c r="F393" t="s">
        <v>746</v>
      </c>
      <c r="G393" t="s">
        <v>14</v>
      </c>
      <c r="H393" t="s">
        <v>1994</v>
      </c>
      <c r="I393" t="s">
        <v>26</v>
      </c>
      <c r="J393" t="s">
        <v>105</v>
      </c>
      <c r="K393" t="s">
        <v>2826</v>
      </c>
      <c r="L393">
        <v>400.8</v>
      </c>
      <c r="M393">
        <v>5</v>
      </c>
      <c r="N393" t="str">
        <f>IF(Walmart[[#This Row],[Quantity]]&gt;=7,"Bulk",IF(Walmart[[#This Row],[Quantity]]&gt;=2,"Multi","Single"))</f>
        <v>Multi</v>
      </c>
      <c r="O393">
        <v>112.22</v>
      </c>
      <c r="P393" t="str">
        <f>IF(Walmart[[#This Row],[Sales]]&gt;=1000,"High Value", IF(Walmart[[#This Row],[Sales]]&gt;=500,"Medium Value","Low Value"))</f>
        <v>Low Value</v>
      </c>
    </row>
    <row r="394" spans="1:16" x14ac:dyDescent="0.3">
      <c r="A394" t="s">
        <v>2831</v>
      </c>
      <c r="B394" s="1">
        <v>41954</v>
      </c>
      <c r="C394" s="1" t="str">
        <f>TEXT(Walmart[[#This Row],[Order Date]],"mmmm")</f>
        <v>November</v>
      </c>
      <c r="D394" s="1">
        <v>41960</v>
      </c>
      <c r="E394" s="1" t="str">
        <f>IF(DATEDIF(Walmart[[#This Row],[Order Date]],Walmart[[#This Row],[Ship Date]],"D")&lt;7,"On time","Delayed")</f>
        <v>On time</v>
      </c>
      <c r="F394" t="s">
        <v>754</v>
      </c>
      <c r="G394" t="s">
        <v>14</v>
      </c>
      <c r="H394" t="s">
        <v>2832</v>
      </c>
      <c r="I394" t="s">
        <v>16</v>
      </c>
      <c r="J394" t="s">
        <v>53</v>
      </c>
      <c r="K394" t="s">
        <v>2833</v>
      </c>
      <c r="L394">
        <v>111.79</v>
      </c>
      <c r="M394">
        <v>7</v>
      </c>
      <c r="N394" t="str">
        <f>IF(Walmart[[#This Row],[Quantity]]&gt;=7,"Bulk",IF(Walmart[[#This Row],[Quantity]]&gt;=2,"Multi","Single"))</f>
        <v>Bulk</v>
      </c>
      <c r="O394">
        <v>43.6</v>
      </c>
      <c r="P394" t="str">
        <f>IF(Walmart[[#This Row],[Sales]]&gt;=1000,"High Value", IF(Walmart[[#This Row],[Sales]]&gt;=500,"Medium Value","Low Value"))</f>
        <v>Low Value</v>
      </c>
    </row>
    <row r="395" spans="1:16" hidden="1" x14ac:dyDescent="0.3">
      <c r="A395" t="s">
        <v>1200</v>
      </c>
      <c r="B395" s="1">
        <v>40890</v>
      </c>
      <c r="C395" s="1" t="str">
        <f>TEXT(Walmart[[#This Row],[Order Date]],"mmmm")</f>
        <v>December</v>
      </c>
      <c r="D395" s="1">
        <v>40892</v>
      </c>
      <c r="E395" s="1" t="str">
        <f>IF(DATEDIF(Walmart[[#This Row],[Order Date]],Walmart[[#This Row],[Ship Date]],"D")&lt;7,"On time","Delayed")</f>
        <v>On time</v>
      </c>
      <c r="F395" t="s">
        <v>72</v>
      </c>
      <c r="G395" t="s">
        <v>14</v>
      </c>
      <c r="H395" t="s">
        <v>15</v>
      </c>
      <c r="I395" t="s">
        <v>16</v>
      </c>
      <c r="J395" t="s">
        <v>93</v>
      </c>
      <c r="K395" t="s">
        <v>1201</v>
      </c>
      <c r="L395">
        <v>90.24</v>
      </c>
      <c r="M395">
        <v>6</v>
      </c>
      <c r="N395" t="str">
        <f>IF(Walmart[[#This Row],[Quantity]]&gt;=7,"Bulk",IF(Walmart[[#This Row],[Quantity]]&gt;=2,"Multi","Single"))</f>
        <v>Multi</v>
      </c>
      <c r="O395">
        <v>41.51</v>
      </c>
      <c r="P395" t="str">
        <f>IF(Walmart[[#This Row],[Sales]]&gt;=1000,"High Value", IF(Walmart[[#This Row],[Sales]]&gt;=500,"Medium Value","Low Value"))</f>
        <v>Low Value</v>
      </c>
    </row>
    <row r="396" spans="1:16" hidden="1" x14ac:dyDescent="0.3">
      <c r="A396" t="s">
        <v>1202</v>
      </c>
      <c r="B396" s="1">
        <v>41178</v>
      </c>
      <c r="C396" s="1" t="str">
        <f>TEXT(Walmart[[#This Row],[Order Date]],"mmmm")</f>
        <v>September</v>
      </c>
      <c r="D396" s="1">
        <v>41183</v>
      </c>
      <c r="E396" s="1" t="str">
        <f>IF(DATEDIF(Walmart[[#This Row],[Order Date]],Walmart[[#This Row],[Ship Date]],"D")&lt;7,"On time","Delayed")</f>
        <v>On time</v>
      </c>
      <c r="F396" t="s">
        <v>1203</v>
      </c>
      <c r="G396" t="s">
        <v>14</v>
      </c>
      <c r="H396" t="s">
        <v>160</v>
      </c>
      <c r="I396" t="s">
        <v>16</v>
      </c>
      <c r="J396" t="s">
        <v>33</v>
      </c>
      <c r="K396" t="s">
        <v>1204</v>
      </c>
      <c r="L396">
        <v>64.17</v>
      </c>
      <c r="M396">
        <v>3</v>
      </c>
      <c r="N396" t="str">
        <f>IF(Walmart[[#This Row],[Quantity]]&gt;=7,"Bulk",IF(Walmart[[#This Row],[Quantity]]&gt;=2,"Multi","Single"))</f>
        <v>Multi</v>
      </c>
      <c r="O396">
        <v>18.61</v>
      </c>
      <c r="P396" t="str">
        <f>IF(Walmart[[#This Row],[Sales]]&gt;=1000,"High Value", IF(Walmart[[#This Row],[Sales]]&gt;=500,"Medium Value","Low Value"))</f>
        <v>Low Value</v>
      </c>
    </row>
    <row r="397" spans="1:16" hidden="1" x14ac:dyDescent="0.3">
      <c r="A397" t="s">
        <v>1205</v>
      </c>
      <c r="B397" s="1">
        <v>41414</v>
      </c>
      <c r="C397" s="1" t="str">
        <f>TEXT(Walmart[[#This Row],[Order Date]],"mmmm")</f>
        <v>May</v>
      </c>
      <c r="D397" s="1">
        <v>41419</v>
      </c>
      <c r="E397" s="1" t="str">
        <f>IF(DATEDIF(Walmart[[#This Row],[Order Date]],Walmart[[#This Row],[Ship Date]],"D")&lt;7,"On time","Delayed")</f>
        <v>On time</v>
      </c>
      <c r="F397" t="s">
        <v>1206</v>
      </c>
      <c r="G397" t="s">
        <v>14</v>
      </c>
      <c r="H397" t="s">
        <v>37</v>
      </c>
      <c r="I397" t="s">
        <v>16</v>
      </c>
      <c r="J397" t="s">
        <v>27</v>
      </c>
      <c r="K397" t="s">
        <v>989</v>
      </c>
      <c r="L397">
        <v>9.58</v>
      </c>
      <c r="M397">
        <v>1</v>
      </c>
      <c r="N397" t="str">
        <f>IF(Walmart[[#This Row],[Quantity]]&gt;=7,"Bulk",IF(Walmart[[#This Row],[Quantity]]&gt;=2,"Multi","Single"))</f>
        <v>Single</v>
      </c>
      <c r="O397">
        <v>3.35</v>
      </c>
      <c r="P397" t="str">
        <f>IF(Walmart[[#This Row],[Sales]]&gt;=1000,"High Value", IF(Walmart[[#This Row],[Sales]]&gt;=500,"Medium Value","Low Value"))</f>
        <v>Low Value</v>
      </c>
    </row>
    <row r="398" spans="1:16" hidden="1" x14ac:dyDescent="0.3">
      <c r="A398" t="s">
        <v>1207</v>
      </c>
      <c r="B398" s="1">
        <v>41593</v>
      </c>
      <c r="C398" s="1" t="str">
        <f>TEXT(Walmart[[#This Row],[Order Date]],"mmmm")</f>
        <v>November</v>
      </c>
      <c r="D398" s="1">
        <v>41598</v>
      </c>
      <c r="E398" s="1" t="str">
        <f>IF(DATEDIF(Walmart[[#This Row],[Order Date]],Walmart[[#This Row],[Ship Date]],"D")&lt;7,"On time","Delayed")</f>
        <v>On time</v>
      </c>
      <c r="F398" t="s">
        <v>1208</v>
      </c>
      <c r="G398" t="s">
        <v>14</v>
      </c>
      <c r="H398" t="s">
        <v>37</v>
      </c>
      <c r="I398" t="s">
        <v>16</v>
      </c>
      <c r="J398" t="s">
        <v>17</v>
      </c>
      <c r="K398" t="s">
        <v>1209</v>
      </c>
      <c r="L398">
        <v>7.38</v>
      </c>
      <c r="M398">
        <v>2</v>
      </c>
      <c r="N398" t="str">
        <f>IF(Walmart[[#This Row],[Quantity]]&gt;=7,"Bulk",IF(Walmart[[#This Row],[Quantity]]&gt;=2,"Multi","Single"))</f>
        <v>Multi</v>
      </c>
      <c r="O398">
        <v>3.47</v>
      </c>
      <c r="P398" t="str">
        <f>IF(Walmart[[#This Row],[Sales]]&gt;=1000,"High Value", IF(Walmart[[#This Row],[Sales]]&gt;=500,"Medium Value","Low Value"))</f>
        <v>Low Value</v>
      </c>
    </row>
    <row r="399" spans="1:16" hidden="1" x14ac:dyDescent="0.3">
      <c r="A399" t="s">
        <v>1210</v>
      </c>
      <c r="B399" s="1">
        <v>40749</v>
      </c>
      <c r="C399" s="1" t="str">
        <f>TEXT(Walmart[[#This Row],[Order Date]],"mmmm")</f>
        <v>July</v>
      </c>
      <c r="D399" s="1">
        <v>40751</v>
      </c>
      <c r="E399" s="1" t="str">
        <f>IF(DATEDIF(Walmart[[#This Row],[Order Date]],Walmart[[#This Row],[Ship Date]],"D")&lt;7,"On time","Delayed")</f>
        <v>On time</v>
      </c>
      <c r="F399" t="s">
        <v>204</v>
      </c>
      <c r="G399" t="s">
        <v>14</v>
      </c>
      <c r="H399" t="s">
        <v>37</v>
      </c>
      <c r="I399" t="s">
        <v>16</v>
      </c>
      <c r="J399" t="s">
        <v>33</v>
      </c>
      <c r="K399" t="s">
        <v>1211</v>
      </c>
      <c r="L399">
        <v>53.72</v>
      </c>
      <c r="M399">
        <v>4</v>
      </c>
      <c r="N399" t="str">
        <f>IF(Walmart[[#This Row],[Quantity]]&gt;=7,"Bulk",IF(Walmart[[#This Row],[Quantity]]&gt;=2,"Multi","Single"))</f>
        <v>Multi</v>
      </c>
      <c r="O399">
        <v>15.04</v>
      </c>
      <c r="P399" t="str">
        <f>IF(Walmart[[#This Row],[Sales]]&gt;=1000,"High Value", IF(Walmart[[#This Row],[Sales]]&gt;=500,"Medium Value","Low Value"))</f>
        <v>Low Value</v>
      </c>
    </row>
    <row r="400" spans="1:16" x14ac:dyDescent="0.3">
      <c r="A400" t="s">
        <v>3143</v>
      </c>
      <c r="B400" s="1">
        <v>41954</v>
      </c>
      <c r="C400" s="1" t="str">
        <f>TEXT(Walmart[[#This Row],[Order Date]],"mmmm")</f>
        <v>November</v>
      </c>
      <c r="D400" s="1">
        <v>41961</v>
      </c>
      <c r="E400" s="1" t="str">
        <f>IF(DATEDIF(Walmart[[#This Row],[Order Date]],Walmart[[#This Row],[Ship Date]],"D")&lt;7,"On time","Delayed")</f>
        <v>Delayed</v>
      </c>
      <c r="F400" t="s">
        <v>3144</v>
      </c>
      <c r="G400" t="s">
        <v>14</v>
      </c>
      <c r="H400" t="s">
        <v>15</v>
      </c>
      <c r="I400" t="s">
        <v>16</v>
      </c>
      <c r="J400" t="s">
        <v>88</v>
      </c>
      <c r="K400" t="s">
        <v>1137</v>
      </c>
      <c r="L400">
        <v>241.42</v>
      </c>
      <c r="M400">
        <v>2</v>
      </c>
      <c r="N400" t="str">
        <f>IF(Walmart[[#This Row],[Quantity]]&gt;=7,"Bulk",IF(Walmart[[#This Row],[Quantity]]&gt;=2,"Multi","Single"))</f>
        <v>Multi</v>
      </c>
      <c r="O400">
        <v>-36.21</v>
      </c>
      <c r="P400" t="str">
        <f>IF(Walmart[[#This Row],[Sales]]&gt;=1000,"High Value", IF(Walmart[[#This Row],[Sales]]&gt;=500,"Medium Value","Low Value"))</f>
        <v>Low Value</v>
      </c>
    </row>
    <row r="401" spans="1:16" hidden="1" x14ac:dyDescent="0.3">
      <c r="A401" t="s">
        <v>1214</v>
      </c>
      <c r="B401" s="1">
        <v>41158</v>
      </c>
      <c r="C401" s="1" t="str">
        <f>TEXT(Walmart[[#This Row],[Order Date]],"mmmm")</f>
        <v>September</v>
      </c>
      <c r="D401" s="1">
        <v>41160</v>
      </c>
      <c r="E401" s="1" t="str">
        <f>IF(DATEDIF(Walmart[[#This Row],[Order Date]],Walmart[[#This Row],[Ship Date]],"D")&lt;7,"On time","Delayed")</f>
        <v>On time</v>
      </c>
      <c r="F401" t="s">
        <v>1215</v>
      </c>
      <c r="G401" t="s">
        <v>14</v>
      </c>
      <c r="H401" t="s">
        <v>1216</v>
      </c>
      <c r="I401" t="s">
        <v>16</v>
      </c>
      <c r="J401" t="s">
        <v>53</v>
      </c>
      <c r="K401" t="s">
        <v>1217</v>
      </c>
      <c r="L401">
        <v>46.32</v>
      </c>
      <c r="M401">
        <v>4</v>
      </c>
      <c r="N401" t="str">
        <f>IF(Walmart[[#This Row],[Quantity]]&gt;=7,"Bulk",IF(Walmart[[#This Row],[Quantity]]&gt;=2,"Multi","Single"))</f>
        <v>Multi</v>
      </c>
      <c r="O401">
        <v>18.059999999999999</v>
      </c>
      <c r="P401" t="str">
        <f>IF(Walmart[[#This Row],[Sales]]&gt;=1000,"High Value", IF(Walmart[[#This Row],[Sales]]&gt;=500,"Medium Value","Low Value"))</f>
        <v>Low Value</v>
      </c>
    </row>
    <row r="402" spans="1:16" hidden="1" x14ac:dyDescent="0.3">
      <c r="A402" t="s">
        <v>1218</v>
      </c>
      <c r="B402" s="1">
        <v>41106</v>
      </c>
      <c r="C402" s="1" t="str">
        <f>TEXT(Walmart[[#This Row],[Order Date]],"mmmm")</f>
        <v>July</v>
      </c>
      <c r="D402" s="1">
        <v>41106</v>
      </c>
      <c r="E402" s="1" t="str">
        <f>IF(DATEDIF(Walmart[[#This Row],[Order Date]],Walmart[[#This Row],[Ship Date]],"D")&lt;7,"On time","Delayed")</f>
        <v>On time</v>
      </c>
      <c r="F402" t="s">
        <v>1158</v>
      </c>
      <c r="G402" t="s">
        <v>14</v>
      </c>
      <c r="H402" t="s">
        <v>37</v>
      </c>
      <c r="I402" t="s">
        <v>16</v>
      </c>
      <c r="J402" t="s">
        <v>88</v>
      </c>
      <c r="K402" t="s">
        <v>1219</v>
      </c>
      <c r="L402">
        <v>1348.7</v>
      </c>
      <c r="M402">
        <v>6</v>
      </c>
      <c r="N402" t="str">
        <f>IF(Walmart[[#This Row],[Quantity]]&gt;=7,"Bulk",IF(Walmart[[#This Row],[Quantity]]&gt;=2,"Multi","Single"))</f>
        <v>Multi</v>
      </c>
      <c r="O402">
        <v>-219.16</v>
      </c>
      <c r="P402" t="str">
        <f>IF(Walmart[[#This Row],[Sales]]&gt;=1000,"High Value", IF(Walmart[[#This Row],[Sales]]&gt;=500,"Medium Value","Low Value"))</f>
        <v>High Value</v>
      </c>
    </row>
    <row r="403" spans="1:16" hidden="1" x14ac:dyDescent="0.3">
      <c r="A403" t="s">
        <v>1220</v>
      </c>
      <c r="B403" s="1">
        <v>41395</v>
      </c>
      <c r="C403" s="1" t="str">
        <f>TEXT(Walmart[[#This Row],[Order Date]],"mmmm")</f>
        <v>May</v>
      </c>
      <c r="D403" s="1">
        <v>41399</v>
      </c>
      <c r="E403" s="1" t="str">
        <f>IF(DATEDIF(Walmart[[#This Row],[Order Date]],Walmart[[#This Row],[Ship Date]],"D")&lt;7,"On time","Delayed")</f>
        <v>On time</v>
      </c>
      <c r="F403" t="s">
        <v>1221</v>
      </c>
      <c r="G403" t="s">
        <v>14</v>
      </c>
      <c r="H403" t="s">
        <v>104</v>
      </c>
      <c r="I403" t="s">
        <v>58</v>
      </c>
      <c r="J403" t="s">
        <v>21</v>
      </c>
      <c r="K403" t="s">
        <v>403</v>
      </c>
      <c r="L403">
        <v>111.89</v>
      </c>
      <c r="M403">
        <v>7</v>
      </c>
      <c r="N403" t="str">
        <f>IF(Walmart[[#This Row],[Quantity]]&gt;=7,"Bulk",IF(Walmart[[#This Row],[Quantity]]&gt;=2,"Multi","Single"))</f>
        <v>Bulk</v>
      </c>
      <c r="O403">
        <v>22.38</v>
      </c>
      <c r="P403" t="str">
        <f>IF(Walmart[[#This Row],[Sales]]&gt;=1000,"High Value", IF(Walmart[[#This Row],[Sales]]&gt;=500,"Medium Value","Low Value"))</f>
        <v>Low Value</v>
      </c>
    </row>
    <row r="404" spans="1:16" x14ac:dyDescent="0.3">
      <c r="A404" t="s">
        <v>1031</v>
      </c>
      <c r="B404" s="1">
        <v>41953</v>
      </c>
      <c r="C404" s="1" t="str">
        <f>TEXT(Walmart[[#This Row],[Order Date]],"mmmm")</f>
        <v>November</v>
      </c>
      <c r="D404" s="1">
        <v>41955</v>
      </c>
      <c r="E404" s="1" t="str">
        <f>IF(DATEDIF(Walmart[[#This Row],[Order Date]],Walmart[[#This Row],[Ship Date]],"D")&lt;7,"On time","Delayed")</f>
        <v>On time</v>
      </c>
      <c r="F404" t="s">
        <v>703</v>
      </c>
      <c r="G404" t="s">
        <v>14</v>
      </c>
      <c r="H404" t="s">
        <v>1032</v>
      </c>
      <c r="I404" t="s">
        <v>16</v>
      </c>
      <c r="J404" t="s">
        <v>88</v>
      </c>
      <c r="K404" t="s">
        <v>1033</v>
      </c>
      <c r="L404">
        <v>215.98</v>
      </c>
      <c r="M404">
        <v>3</v>
      </c>
      <c r="N404" t="str">
        <f>IF(Walmart[[#This Row],[Quantity]]&gt;=7,"Bulk",IF(Walmart[[#This Row],[Quantity]]&gt;=2,"Multi","Single"))</f>
        <v>Multi</v>
      </c>
      <c r="O404">
        <v>-2.7</v>
      </c>
      <c r="P404" t="str">
        <f>IF(Walmart[[#This Row],[Sales]]&gt;=1000,"High Value", IF(Walmart[[#This Row],[Sales]]&gt;=500,"Medium Value","Low Value"))</f>
        <v>Low Value</v>
      </c>
    </row>
    <row r="405" spans="1:16" hidden="1" x14ac:dyDescent="0.3">
      <c r="A405" t="s">
        <v>1224</v>
      </c>
      <c r="B405" s="1">
        <v>41137</v>
      </c>
      <c r="C405" s="1" t="str">
        <f>TEXT(Walmart[[#This Row],[Order Date]],"mmmm")</f>
        <v>August</v>
      </c>
      <c r="D405" s="1">
        <v>41143</v>
      </c>
      <c r="E405" s="1" t="str">
        <f>IF(DATEDIF(Walmart[[#This Row],[Order Date]],Walmart[[#This Row],[Ship Date]],"D")&lt;7,"On time","Delayed")</f>
        <v>On time</v>
      </c>
      <c r="F405" t="s">
        <v>1225</v>
      </c>
      <c r="G405" t="s">
        <v>14</v>
      </c>
      <c r="H405" t="s">
        <v>84</v>
      </c>
      <c r="I405" t="s">
        <v>58</v>
      </c>
      <c r="J405" t="s">
        <v>38</v>
      </c>
      <c r="K405" t="s">
        <v>1226</v>
      </c>
      <c r="L405">
        <v>2.2999999999999998</v>
      </c>
      <c r="M405">
        <v>1</v>
      </c>
      <c r="N405" t="str">
        <f>IF(Walmart[[#This Row],[Quantity]]&gt;=7,"Bulk",IF(Walmart[[#This Row],[Quantity]]&gt;=2,"Multi","Single"))</f>
        <v>Single</v>
      </c>
      <c r="O405">
        <v>0.26</v>
      </c>
      <c r="P405" t="str">
        <f>IF(Walmart[[#This Row],[Sales]]&gt;=1000,"High Value", IF(Walmart[[#This Row],[Sales]]&gt;=500,"Medium Value","Low Value"))</f>
        <v>Low Value</v>
      </c>
    </row>
    <row r="406" spans="1:16" hidden="1" x14ac:dyDescent="0.3">
      <c r="A406" t="s">
        <v>1227</v>
      </c>
      <c r="B406" s="1">
        <v>41060</v>
      </c>
      <c r="C406" s="1" t="str">
        <f>TEXT(Walmart[[#This Row],[Order Date]],"mmmm")</f>
        <v>May</v>
      </c>
      <c r="D406" s="1">
        <v>41064</v>
      </c>
      <c r="E406" s="1" t="str">
        <f>IF(DATEDIF(Walmart[[#This Row],[Order Date]],Walmart[[#This Row],[Ship Date]],"D")&lt;7,"On time","Delayed")</f>
        <v>On time</v>
      </c>
      <c r="F406" t="s">
        <v>1153</v>
      </c>
      <c r="G406" t="s">
        <v>14</v>
      </c>
      <c r="H406" t="s">
        <v>42</v>
      </c>
      <c r="I406" t="s">
        <v>32</v>
      </c>
      <c r="J406" t="s">
        <v>671</v>
      </c>
      <c r="K406" t="s">
        <v>1228</v>
      </c>
      <c r="L406">
        <v>1406.86</v>
      </c>
      <c r="M406">
        <v>7</v>
      </c>
      <c r="N406" t="str">
        <f>IF(Walmart[[#This Row],[Quantity]]&gt;=7,"Bulk",IF(Walmart[[#This Row],[Quantity]]&gt;=2,"Multi","Single"))</f>
        <v>Bulk</v>
      </c>
      <c r="O406">
        <v>140.69</v>
      </c>
      <c r="P406" t="str">
        <f>IF(Walmart[[#This Row],[Sales]]&gt;=1000,"High Value", IF(Walmart[[#This Row],[Sales]]&gt;=500,"Medium Value","Low Value"))</f>
        <v>High Value</v>
      </c>
    </row>
    <row r="407" spans="1:16" x14ac:dyDescent="0.3">
      <c r="A407" t="s">
        <v>1170</v>
      </c>
      <c r="B407" s="1">
        <v>41953</v>
      </c>
      <c r="C407" s="1" t="str">
        <f>TEXT(Walmart[[#This Row],[Order Date]],"mmmm")</f>
        <v>November</v>
      </c>
      <c r="D407" s="1">
        <v>41958</v>
      </c>
      <c r="E407" s="1" t="str">
        <f>IF(DATEDIF(Walmart[[#This Row],[Order Date]],Walmart[[#This Row],[Ship Date]],"D")&lt;7,"On time","Delayed")</f>
        <v>On time</v>
      </c>
      <c r="F407" t="s">
        <v>1171</v>
      </c>
      <c r="G407" t="s">
        <v>14</v>
      </c>
      <c r="H407" t="s">
        <v>1172</v>
      </c>
      <c r="I407" t="s">
        <v>16</v>
      </c>
      <c r="J407" t="s">
        <v>33</v>
      </c>
      <c r="K407" t="s">
        <v>1173</v>
      </c>
      <c r="L407">
        <v>63.56</v>
      </c>
      <c r="M407">
        <v>2</v>
      </c>
      <c r="N407" t="str">
        <f>IF(Walmart[[#This Row],[Quantity]]&gt;=7,"Bulk",IF(Walmart[[#This Row],[Quantity]]&gt;=2,"Multi","Single"))</f>
        <v>Multi</v>
      </c>
      <c r="O407">
        <v>3.18</v>
      </c>
      <c r="P407" t="str">
        <f>IF(Walmart[[#This Row],[Sales]]&gt;=1000,"High Value", IF(Walmart[[#This Row],[Sales]]&gt;=500,"Medium Value","Low Value"))</f>
        <v>Low Value</v>
      </c>
    </row>
    <row r="408" spans="1:16" hidden="1" x14ac:dyDescent="0.3">
      <c r="A408" t="s">
        <v>1232</v>
      </c>
      <c r="B408" s="1">
        <v>41400</v>
      </c>
      <c r="C408" s="1" t="str">
        <f>TEXT(Walmart[[#This Row],[Order Date]],"mmmm")</f>
        <v>May</v>
      </c>
      <c r="D408" s="1">
        <v>41404</v>
      </c>
      <c r="E408" s="1" t="str">
        <f>IF(DATEDIF(Walmart[[#This Row],[Order Date]],Walmart[[#This Row],[Ship Date]],"D")&lt;7,"On time","Delayed")</f>
        <v>On time</v>
      </c>
      <c r="F408" t="s">
        <v>1084</v>
      </c>
      <c r="G408" t="s">
        <v>14</v>
      </c>
      <c r="H408" t="s">
        <v>15</v>
      </c>
      <c r="I408" t="s">
        <v>16</v>
      </c>
      <c r="J408" t="s">
        <v>33</v>
      </c>
      <c r="K408" t="s">
        <v>1233</v>
      </c>
      <c r="L408">
        <v>5.98</v>
      </c>
      <c r="M408">
        <v>1</v>
      </c>
      <c r="N408" t="str">
        <f>IF(Walmart[[#This Row],[Quantity]]&gt;=7,"Bulk",IF(Walmart[[#This Row],[Quantity]]&gt;=2,"Multi","Single"))</f>
        <v>Single</v>
      </c>
      <c r="O408">
        <v>1.02</v>
      </c>
      <c r="P408" t="str">
        <f>IF(Walmart[[#This Row],[Sales]]&gt;=1000,"High Value", IF(Walmart[[#This Row],[Sales]]&gt;=500,"Medium Value","Low Value"))</f>
        <v>Low Value</v>
      </c>
    </row>
    <row r="409" spans="1:16" hidden="1" x14ac:dyDescent="0.3">
      <c r="A409" t="s">
        <v>1234</v>
      </c>
      <c r="B409" s="1">
        <v>41338</v>
      </c>
      <c r="C409" s="1" t="str">
        <f>TEXT(Walmart[[#This Row],[Order Date]],"mmmm")</f>
        <v>March</v>
      </c>
      <c r="D409" s="1">
        <v>41344</v>
      </c>
      <c r="E409" s="1" t="str">
        <f>IF(DATEDIF(Walmart[[#This Row],[Order Date]],Walmart[[#This Row],[Ship Date]],"D")&lt;7,"On time","Delayed")</f>
        <v>On time</v>
      </c>
      <c r="F409" t="s">
        <v>1235</v>
      </c>
      <c r="G409" t="s">
        <v>14</v>
      </c>
      <c r="H409" t="s">
        <v>160</v>
      </c>
      <c r="I409" t="s">
        <v>16</v>
      </c>
      <c r="J409" t="s">
        <v>38</v>
      </c>
      <c r="K409" t="s">
        <v>1236</v>
      </c>
      <c r="L409">
        <v>16.989999999999998</v>
      </c>
      <c r="M409">
        <v>1</v>
      </c>
      <c r="N409" t="str">
        <f>IF(Walmart[[#This Row],[Quantity]]&gt;=7,"Bulk",IF(Walmart[[#This Row],[Quantity]]&gt;=2,"Multi","Single"))</f>
        <v>Single</v>
      </c>
      <c r="O409">
        <v>4.93</v>
      </c>
      <c r="P409" t="str">
        <f>IF(Walmart[[#This Row],[Sales]]&gt;=1000,"High Value", IF(Walmart[[#This Row],[Sales]]&gt;=500,"Medium Value","Low Value"))</f>
        <v>Low Value</v>
      </c>
    </row>
    <row r="410" spans="1:16" hidden="1" x14ac:dyDescent="0.3">
      <c r="A410" t="s">
        <v>1237</v>
      </c>
      <c r="B410" s="1">
        <v>41393</v>
      </c>
      <c r="C410" s="1" t="str">
        <f>TEXT(Walmart[[#This Row],[Order Date]],"mmmm")</f>
        <v>April</v>
      </c>
      <c r="D410" s="1">
        <v>41400</v>
      </c>
      <c r="E410" s="1" t="str">
        <f>IF(DATEDIF(Walmart[[#This Row],[Order Date]],Walmart[[#This Row],[Ship Date]],"D")&lt;7,"On time","Delayed")</f>
        <v>Delayed</v>
      </c>
      <c r="F410" t="s">
        <v>1238</v>
      </c>
      <c r="G410" t="s">
        <v>14</v>
      </c>
      <c r="H410" t="s">
        <v>15</v>
      </c>
      <c r="I410" t="s">
        <v>16</v>
      </c>
      <c r="J410" t="s">
        <v>88</v>
      </c>
      <c r="K410" t="s">
        <v>1239</v>
      </c>
      <c r="L410">
        <v>41.57</v>
      </c>
      <c r="M410">
        <v>2</v>
      </c>
      <c r="N410" t="str">
        <f>IF(Walmart[[#This Row],[Quantity]]&gt;=7,"Bulk",IF(Walmart[[#This Row],[Quantity]]&gt;=2,"Multi","Single"))</f>
        <v>Multi</v>
      </c>
      <c r="O410">
        <v>2.6</v>
      </c>
      <c r="P410" t="str">
        <f>IF(Walmart[[#This Row],[Sales]]&gt;=1000,"High Value", IF(Walmart[[#This Row],[Sales]]&gt;=500,"Medium Value","Low Value"))</f>
        <v>Low Value</v>
      </c>
    </row>
    <row r="411" spans="1:16" hidden="1" x14ac:dyDescent="0.3">
      <c r="A411" t="s">
        <v>1240</v>
      </c>
      <c r="B411" s="1">
        <v>40659</v>
      </c>
      <c r="C411" s="1" t="str">
        <f>TEXT(Walmart[[#This Row],[Order Date]],"mmmm")</f>
        <v>April</v>
      </c>
      <c r="D411" s="1">
        <v>40666</v>
      </c>
      <c r="E411" s="1" t="str">
        <f>IF(DATEDIF(Walmart[[#This Row],[Order Date]],Walmart[[#This Row],[Ship Date]],"D")&lt;7,"On time","Delayed")</f>
        <v>Delayed</v>
      </c>
      <c r="F411" t="s">
        <v>1241</v>
      </c>
      <c r="G411" t="s">
        <v>14</v>
      </c>
      <c r="H411" t="s">
        <v>15</v>
      </c>
      <c r="I411" t="s">
        <v>16</v>
      </c>
      <c r="J411" t="s">
        <v>88</v>
      </c>
      <c r="K411" t="s">
        <v>241</v>
      </c>
      <c r="L411">
        <v>230.28</v>
      </c>
      <c r="M411">
        <v>3</v>
      </c>
      <c r="N411" t="str">
        <f>IF(Walmart[[#This Row],[Quantity]]&gt;=7,"Bulk",IF(Walmart[[#This Row],[Quantity]]&gt;=2,"Multi","Single"))</f>
        <v>Multi</v>
      </c>
      <c r="O411">
        <v>23.03</v>
      </c>
      <c r="P411" t="str">
        <f>IF(Walmart[[#This Row],[Sales]]&gt;=1000,"High Value", IF(Walmart[[#This Row],[Sales]]&gt;=500,"Medium Value","Low Value"))</f>
        <v>Low Value</v>
      </c>
    </row>
    <row r="412" spans="1:16" x14ac:dyDescent="0.3">
      <c r="A412" t="s">
        <v>1909</v>
      </c>
      <c r="B412" s="1">
        <v>41953</v>
      </c>
      <c r="C412" s="1" t="str">
        <f>TEXT(Walmart[[#This Row],[Order Date]],"mmmm")</f>
        <v>November</v>
      </c>
      <c r="D412" s="1">
        <v>41958</v>
      </c>
      <c r="E412" s="1" t="str">
        <f>IF(DATEDIF(Walmart[[#This Row],[Order Date]],Walmart[[#This Row],[Ship Date]],"D")&lt;7,"On time","Delayed")</f>
        <v>On time</v>
      </c>
      <c r="F412" t="s">
        <v>246</v>
      </c>
      <c r="G412" t="s">
        <v>14</v>
      </c>
      <c r="H412" t="s">
        <v>491</v>
      </c>
      <c r="I412" t="s">
        <v>16</v>
      </c>
      <c r="J412" t="s">
        <v>21</v>
      </c>
      <c r="K412" t="s">
        <v>258</v>
      </c>
      <c r="L412">
        <v>47.12</v>
      </c>
      <c r="M412">
        <v>8</v>
      </c>
      <c r="N412" t="str">
        <f>IF(Walmart[[#This Row],[Quantity]]&gt;=7,"Bulk",IF(Walmart[[#This Row],[Quantity]]&gt;=2,"Multi","Single"))</f>
        <v>Bulk</v>
      </c>
      <c r="O412">
        <v>20.73</v>
      </c>
      <c r="P412" t="str">
        <f>IF(Walmart[[#This Row],[Sales]]&gt;=1000,"High Value", IF(Walmart[[#This Row],[Sales]]&gt;=500,"Medium Value","Low Value"))</f>
        <v>Low Value</v>
      </c>
    </row>
    <row r="413" spans="1:16" x14ac:dyDescent="0.3">
      <c r="A413" t="s">
        <v>2730</v>
      </c>
      <c r="B413" s="1">
        <v>41953</v>
      </c>
      <c r="C413" s="1" t="str">
        <f>TEXT(Walmart[[#This Row],[Order Date]],"mmmm")</f>
        <v>November</v>
      </c>
      <c r="D413" s="1">
        <v>41957</v>
      </c>
      <c r="E413" s="1" t="str">
        <f>IF(DATEDIF(Walmart[[#This Row],[Order Date]],Walmart[[#This Row],[Ship Date]],"D")&lt;7,"On time","Delayed")</f>
        <v>On time</v>
      </c>
      <c r="F413" t="s">
        <v>1986</v>
      </c>
      <c r="G413" t="s">
        <v>14</v>
      </c>
      <c r="H413" t="s">
        <v>160</v>
      </c>
      <c r="I413" t="s">
        <v>16</v>
      </c>
      <c r="J413" t="s">
        <v>88</v>
      </c>
      <c r="K413" t="s">
        <v>416</v>
      </c>
      <c r="L413">
        <v>523.39</v>
      </c>
      <c r="M413">
        <v>3</v>
      </c>
      <c r="N413" t="str">
        <f>IF(Walmart[[#This Row],[Quantity]]&gt;=7,"Bulk",IF(Walmart[[#This Row],[Quantity]]&gt;=2,"Multi","Single"))</f>
        <v>Multi</v>
      </c>
      <c r="O413">
        <v>52.34</v>
      </c>
      <c r="P413" t="str">
        <f>IF(Walmart[[#This Row],[Sales]]&gt;=1000,"High Value", IF(Walmart[[#This Row],[Sales]]&gt;=500,"Medium Value","Low Value"))</f>
        <v>Medium Value</v>
      </c>
    </row>
    <row r="414" spans="1:16" x14ac:dyDescent="0.3">
      <c r="A414" t="s">
        <v>1000</v>
      </c>
      <c r="B414" s="1">
        <v>41951</v>
      </c>
      <c r="C414" s="1" t="str">
        <f>TEXT(Walmart[[#This Row],[Order Date]],"mmmm")</f>
        <v>November</v>
      </c>
      <c r="D414" s="1">
        <v>41956</v>
      </c>
      <c r="E414" s="1" t="str">
        <f>IF(DATEDIF(Walmart[[#This Row],[Order Date]],Walmart[[#This Row],[Ship Date]],"D")&lt;7,"On time","Delayed")</f>
        <v>On time</v>
      </c>
      <c r="F414" t="s">
        <v>764</v>
      </c>
      <c r="G414" t="s">
        <v>14</v>
      </c>
      <c r="H414" t="s">
        <v>164</v>
      </c>
      <c r="I414" t="s">
        <v>16</v>
      </c>
      <c r="J414" t="s">
        <v>53</v>
      </c>
      <c r="K414" t="s">
        <v>1001</v>
      </c>
      <c r="L414">
        <v>59.97</v>
      </c>
      <c r="M414">
        <v>3</v>
      </c>
      <c r="N414" t="str">
        <f>IF(Walmart[[#This Row],[Quantity]]&gt;=7,"Bulk",IF(Walmart[[#This Row],[Quantity]]&gt;=2,"Multi","Single"))</f>
        <v>Multi</v>
      </c>
      <c r="O414">
        <v>13.79</v>
      </c>
      <c r="P414" t="str">
        <f>IF(Walmart[[#This Row],[Sales]]&gt;=1000,"High Value", IF(Walmart[[#This Row],[Sales]]&gt;=500,"Medium Value","Low Value"))</f>
        <v>Low Value</v>
      </c>
    </row>
    <row r="415" spans="1:16" hidden="1" x14ac:dyDescent="0.3">
      <c r="A415" t="s">
        <v>1250</v>
      </c>
      <c r="B415" s="1">
        <v>41136</v>
      </c>
      <c r="C415" s="1" t="str">
        <f>TEXT(Walmart[[#This Row],[Order Date]],"mmmm")</f>
        <v>August</v>
      </c>
      <c r="D415" s="1">
        <v>41140</v>
      </c>
      <c r="E415" s="1" t="str">
        <f>IF(DATEDIF(Walmart[[#This Row],[Order Date]],Walmart[[#This Row],[Ship Date]],"D")&lt;7,"On time","Delayed")</f>
        <v>On time</v>
      </c>
      <c r="F415" t="s">
        <v>1251</v>
      </c>
      <c r="G415" t="s">
        <v>14</v>
      </c>
      <c r="H415" t="s">
        <v>15</v>
      </c>
      <c r="I415" t="s">
        <v>16</v>
      </c>
      <c r="J415" t="s">
        <v>33</v>
      </c>
      <c r="K415" t="s">
        <v>512</v>
      </c>
      <c r="L415">
        <v>323.10000000000002</v>
      </c>
      <c r="M415">
        <v>2</v>
      </c>
      <c r="N415" t="str">
        <f>IF(Walmart[[#This Row],[Quantity]]&gt;=7,"Bulk",IF(Walmart[[#This Row],[Quantity]]&gt;=2,"Multi","Single"))</f>
        <v>Multi</v>
      </c>
      <c r="O415">
        <v>61.39</v>
      </c>
      <c r="P415" t="str">
        <f>IF(Walmart[[#This Row],[Sales]]&gt;=1000,"High Value", IF(Walmart[[#This Row],[Sales]]&gt;=500,"Medium Value","Low Value"))</f>
        <v>Low Value</v>
      </c>
    </row>
    <row r="416" spans="1:16" hidden="1" x14ac:dyDescent="0.3">
      <c r="A416" t="s">
        <v>1252</v>
      </c>
      <c r="B416" s="1">
        <v>41544</v>
      </c>
      <c r="C416" s="1" t="str">
        <f>TEXT(Walmart[[#This Row],[Order Date]],"mmmm")</f>
        <v>September</v>
      </c>
      <c r="D416" s="1">
        <v>41549</v>
      </c>
      <c r="E416" s="1" t="str">
        <f>IF(DATEDIF(Walmart[[#This Row],[Order Date]],Walmart[[#This Row],[Ship Date]],"D")&lt;7,"On time","Delayed")</f>
        <v>On time</v>
      </c>
      <c r="F416" t="s">
        <v>96</v>
      </c>
      <c r="G416" t="s">
        <v>14</v>
      </c>
      <c r="H416" t="s">
        <v>195</v>
      </c>
      <c r="I416" t="s">
        <v>16</v>
      </c>
      <c r="J416" t="s">
        <v>671</v>
      </c>
      <c r="K416" t="s">
        <v>1253</v>
      </c>
      <c r="L416">
        <v>424.96</v>
      </c>
      <c r="M416">
        <v>5</v>
      </c>
      <c r="N416" t="str">
        <f>IF(Walmart[[#This Row],[Quantity]]&gt;=7,"Bulk",IF(Walmart[[#This Row],[Quantity]]&gt;=2,"Multi","Single"))</f>
        <v>Multi</v>
      </c>
      <c r="O416">
        <v>20</v>
      </c>
      <c r="P416" t="str">
        <f>IF(Walmart[[#This Row],[Sales]]&gt;=1000,"High Value", IF(Walmart[[#This Row],[Sales]]&gt;=500,"Medium Value","Low Value"))</f>
        <v>Low Value</v>
      </c>
    </row>
    <row r="417" spans="1:16" x14ac:dyDescent="0.3">
      <c r="A417" t="s">
        <v>1586</v>
      </c>
      <c r="B417" s="1">
        <v>41951</v>
      </c>
      <c r="C417" s="1" t="str">
        <f>TEXT(Walmart[[#This Row],[Order Date]],"mmmm")</f>
        <v>November</v>
      </c>
      <c r="D417" s="1">
        <v>41956</v>
      </c>
      <c r="E417" s="1" t="str">
        <f>IF(DATEDIF(Walmart[[#This Row],[Order Date]],Walmart[[#This Row],[Ship Date]],"D")&lt;7,"On time","Delayed")</f>
        <v>On time</v>
      </c>
      <c r="F417" t="s">
        <v>1587</v>
      </c>
      <c r="G417" t="s">
        <v>14</v>
      </c>
      <c r="H417" t="s">
        <v>37</v>
      </c>
      <c r="I417" t="s">
        <v>16</v>
      </c>
      <c r="J417" t="s">
        <v>27</v>
      </c>
      <c r="K417" t="s">
        <v>1588</v>
      </c>
      <c r="L417">
        <v>21.79</v>
      </c>
      <c r="M417">
        <v>4</v>
      </c>
      <c r="N417" t="str">
        <f>IF(Walmart[[#This Row],[Quantity]]&gt;=7,"Bulk",IF(Walmart[[#This Row],[Quantity]]&gt;=2,"Multi","Single"))</f>
        <v>Multi</v>
      </c>
      <c r="O417">
        <v>7.63</v>
      </c>
      <c r="P417" t="str">
        <f>IF(Walmart[[#This Row],[Sales]]&gt;=1000,"High Value", IF(Walmart[[#This Row],[Sales]]&gt;=500,"Medium Value","Low Value"))</f>
        <v>Low Value</v>
      </c>
    </row>
    <row r="418" spans="1:16" hidden="1" x14ac:dyDescent="0.3">
      <c r="A418" t="s">
        <v>1257</v>
      </c>
      <c r="B418" s="1">
        <v>41503</v>
      </c>
      <c r="C418" s="1" t="str">
        <f>TEXT(Walmart[[#This Row],[Order Date]],"mmmm")</f>
        <v>August</v>
      </c>
      <c r="D418" s="1">
        <v>41507</v>
      </c>
      <c r="E418" s="1" t="str">
        <f>IF(DATEDIF(Walmart[[#This Row],[Order Date]],Walmart[[#This Row],[Ship Date]],"D")&lt;7,"On time","Delayed")</f>
        <v>On time</v>
      </c>
      <c r="F418" t="s">
        <v>1258</v>
      </c>
      <c r="G418" t="s">
        <v>14</v>
      </c>
      <c r="H418" t="s">
        <v>37</v>
      </c>
      <c r="I418" t="s">
        <v>16</v>
      </c>
      <c r="J418" t="s">
        <v>124</v>
      </c>
      <c r="K418" t="s">
        <v>1259</v>
      </c>
      <c r="L418">
        <v>10.86</v>
      </c>
      <c r="M418">
        <v>3</v>
      </c>
      <c r="N418" t="str">
        <f>IF(Walmart[[#This Row],[Quantity]]&gt;=7,"Bulk",IF(Walmart[[#This Row],[Quantity]]&gt;=2,"Multi","Single"))</f>
        <v>Multi</v>
      </c>
      <c r="O418">
        <v>5.0999999999999996</v>
      </c>
      <c r="P418" t="str">
        <f>IF(Walmart[[#This Row],[Sales]]&gt;=1000,"High Value", IF(Walmart[[#This Row],[Sales]]&gt;=500,"Medium Value","Low Value"))</f>
        <v>Low Value</v>
      </c>
    </row>
    <row r="419" spans="1:16" hidden="1" x14ac:dyDescent="0.3">
      <c r="A419" t="s">
        <v>1260</v>
      </c>
      <c r="B419" s="1">
        <v>41267</v>
      </c>
      <c r="C419" s="1" t="str">
        <f>TEXT(Walmart[[#This Row],[Order Date]],"mmmm")</f>
        <v>December</v>
      </c>
      <c r="D419" s="1">
        <v>41271</v>
      </c>
      <c r="E419" s="1" t="str">
        <f>IF(DATEDIF(Walmart[[#This Row],[Order Date]],Walmart[[#This Row],[Ship Date]],"D")&lt;7,"On time","Delayed")</f>
        <v>On time</v>
      </c>
      <c r="F419" t="s">
        <v>597</v>
      </c>
      <c r="G419" t="s">
        <v>14</v>
      </c>
      <c r="H419" t="s">
        <v>57</v>
      </c>
      <c r="I419" t="s">
        <v>58</v>
      </c>
      <c r="J419" t="s">
        <v>88</v>
      </c>
      <c r="K419" t="s">
        <v>1261</v>
      </c>
      <c r="L419">
        <v>883.84</v>
      </c>
      <c r="M419">
        <v>4</v>
      </c>
      <c r="N419" t="str">
        <f>IF(Walmart[[#This Row],[Quantity]]&gt;=7,"Bulk",IF(Walmart[[#This Row],[Quantity]]&gt;=2,"Multi","Single"))</f>
        <v>Multi</v>
      </c>
      <c r="O419">
        <v>99.43</v>
      </c>
      <c r="P419" t="str">
        <f>IF(Walmart[[#This Row],[Sales]]&gt;=1000,"High Value", IF(Walmart[[#This Row],[Sales]]&gt;=500,"Medium Value","Low Value"))</f>
        <v>Medium Value</v>
      </c>
    </row>
    <row r="420" spans="1:16" hidden="1" x14ac:dyDescent="0.3">
      <c r="A420" t="s">
        <v>1262</v>
      </c>
      <c r="B420" s="1">
        <v>41146</v>
      </c>
      <c r="C420" s="1" t="str">
        <f>TEXT(Walmart[[#This Row],[Order Date]],"mmmm")</f>
        <v>August</v>
      </c>
      <c r="D420" s="1">
        <v>41151</v>
      </c>
      <c r="E420" s="1" t="str">
        <f>IF(DATEDIF(Walmart[[#This Row],[Order Date]],Walmart[[#This Row],[Ship Date]],"D")&lt;7,"On time","Delayed")</f>
        <v>On time</v>
      </c>
      <c r="F420" t="s">
        <v>1263</v>
      </c>
      <c r="G420" t="s">
        <v>14</v>
      </c>
      <c r="H420" t="s">
        <v>15</v>
      </c>
      <c r="I420" t="s">
        <v>16</v>
      </c>
      <c r="J420" t="s">
        <v>88</v>
      </c>
      <c r="K420" t="s">
        <v>1264</v>
      </c>
      <c r="L420">
        <v>40.78</v>
      </c>
      <c r="M420">
        <v>1</v>
      </c>
      <c r="N420" t="str">
        <f>IF(Walmart[[#This Row],[Quantity]]&gt;=7,"Bulk",IF(Walmart[[#This Row],[Quantity]]&gt;=2,"Multi","Single"))</f>
        <v>Single</v>
      </c>
      <c r="O420">
        <v>4.59</v>
      </c>
      <c r="P420" t="str">
        <f>IF(Walmart[[#This Row],[Sales]]&gt;=1000,"High Value", IF(Walmart[[#This Row],[Sales]]&gt;=500,"Medium Value","Low Value"))</f>
        <v>Low Value</v>
      </c>
    </row>
    <row r="421" spans="1:16" x14ac:dyDescent="0.3">
      <c r="A421" t="s">
        <v>66</v>
      </c>
      <c r="B421" s="1">
        <v>41950</v>
      </c>
      <c r="C421" s="1" t="str">
        <f>TEXT(Walmart[[#This Row],[Order Date]],"mmmm")</f>
        <v>November</v>
      </c>
      <c r="D421" s="1">
        <v>41956</v>
      </c>
      <c r="E421" s="1" t="str">
        <f>IF(DATEDIF(Walmart[[#This Row],[Order Date]],Walmart[[#This Row],[Ship Date]],"D")&lt;7,"On time","Delayed")</f>
        <v>On time</v>
      </c>
      <c r="F421" t="s">
        <v>67</v>
      </c>
      <c r="G421" t="s">
        <v>14</v>
      </c>
      <c r="H421" t="s">
        <v>68</v>
      </c>
      <c r="I421" t="s">
        <v>69</v>
      </c>
      <c r="J421" t="s">
        <v>27</v>
      </c>
      <c r="K421" t="s">
        <v>70</v>
      </c>
      <c r="L421">
        <v>5.68</v>
      </c>
      <c r="M421">
        <v>1</v>
      </c>
      <c r="N421" t="str">
        <f>IF(Walmart[[#This Row],[Quantity]]&gt;=7,"Bulk",IF(Walmart[[#This Row],[Quantity]]&gt;=2,"Multi","Single"))</f>
        <v>Single</v>
      </c>
      <c r="O421">
        <v>-3.79</v>
      </c>
      <c r="P421" t="str">
        <f>IF(Walmart[[#This Row],[Sales]]&gt;=1000,"High Value", IF(Walmart[[#This Row],[Sales]]&gt;=500,"Medium Value","Low Value"))</f>
        <v>Low Value</v>
      </c>
    </row>
    <row r="422" spans="1:16" hidden="1" x14ac:dyDescent="0.3">
      <c r="A422" t="s">
        <v>1268</v>
      </c>
      <c r="B422" s="1">
        <v>40715</v>
      </c>
      <c r="C422" s="1" t="str">
        <f>TEXT(Walmart[[#This Row],[Order Date]],"mmmm")</f>
        <v>June</v>
      </c>
      <c r="D422" s="1">
        <v>40715</v>
      </c>
      <c r="E422" s="1" t="str">
        <f>IF(DATEDIF(Walmart[[#This Row],[Order Date]],Walmart[[#This Row],[Ship Date]],"D")&lt;7,"On time","Delayed")</f>
        <v>On time</v>
      </c>
      <c r="F422" t="s">
        <v>1269</v>
      </c>
      <c r="G422" t="s">
        <v>14</v>
      </c>
      <c r="H422" t="s">
        <v>631</v>
      </c>
      <c r="I422" t="s">
        <v>77</v>
      </c>
      <c r="J422" t="s">
        <v>27</v>
      </c>
      <c r="K422" t="s">
        <v>1270</v>
      </c>
      <c r="L422">
        <v>11.09</v>
      </c>
      <c r="M422">
        <v>7</v>
      </c>
      <c r="N422" t="str">
        <f>IF(Walmart[[#This Row],[Quantity]]&gt;=7,"Bulk",IF(Walmart[[#This Row],[Quantity]]&gt;=2,"Multi","Single"))</f>
        <v>Bulk</v>
      </c>
      <c r="O422">
        <v>-8.1300000000000008</v>
      </c>
      <c r="P422" t="str">
        <f>IF(Walmart[[#This Row],[Sales]]&gt;=1000,"High Value", IF(Walmart[[#This Row],[Sales]]&gt;=500,"Medium Value","Low Value"))</f>
        <v>Low Value</v>
      </c>
    </row>
    <row r="423" spans="1:16" x14ac:dyDescent="0.3">
      <c r="A423" t="s">
        <v>606</v>
      </c>
      <c r="B423" s="1">
        <v>41950</v>
      </c>
      <c r="C423" s="1" t="str">
        <f>TEXT(Walmart[[#This Row],[Order Date]],"mmmm")</f>
        <v>November</v>
      </c>
      <c r="D423" s="1">
        <v>41955</v>
      </c>
      <c r="E423" s="1" t="str">
        <f>IF(DATEDIF(Walmart[[#This Row],[Order Date]],Walmart[[#This Row],[Ship Date]],"D")&lt;7,"On time","Delayed")</f>
        <v>On time</v>
      </c>
      <c r="F423" t="s">
        <v>340</v>
      </c>
      <c r="G423" t="s">
        <v>14</v>
      </c>
      <c r="H423" t="s">
        <v>15</v>
      </c>
      <c r="I423" t="s">
        <v>16</v>
      </c>
      <c r="J423" t="s">
        <v>124</v>
      </c>
      <c r="K423" t="s">
        <v>607</v>
      </c>
      <c r="L423">
        <v>15.28</v>
      </c>
      <c r="M423">
        <v>2</v>
      </c>
      <c r="N423" t="str">
        <f>IF(Walmart[[#This Row],[Quantity]]&gt;=7,"Bulk",IF(Walmart[[#This Row],[Quantity]]&gt;=2,"Multi","Single"))</f>
        <v>Multi</v>
      </c>
      <c r="O423">
        <v>7.49</v>
      </c>
      <c r="P423" t="str">
        <f>IF(Walmart[[#This Row],[Sales]]&gt;=1000,"High Value", IF(Walmart[[#This Row],[Sales]]&gt;=500,"Medium Value","Low Value"))</f>
        <v>Low Value</v>
      </c>
    </row>
    <row r="424" spans="1:16" hidden="1" x14ac:dyDescent="0.3">
      <c r="A424" t="s">
        <v>1274</v>
      </c>
      <c r="B424" s="1">
        <v>41225</v>
      </c>
      <c r="C424" s="1" t="str">
        <f>TEXT(Walmart[[#This Row],[Order Date]],"mmmm")</f>
        <v>November</v>
      </c>
      <c r="D424" s="1">
        <v>41227</v>
      </c>
      <c r="E424" s="1" t="str">
        <f>IF(DATEDIF(Walmart[[#This Row],[Order Date]],Walmart[[#This Row],[Ship Date]],"D")&lt;7,"On time","Delayed")</f>
        <v>On time</v>
      </c>
      <c r="F424" t="s">
        <v>399</v>
      </c>
      <c r="G424" t="s">
        <v>14</v>
      </c>
      <c r="H424" t="s">
        <v>15</v>
      </c>
      <c r="I424" t="s">
        <v>16</v>
      </c>
      <c r="J424" t="s">
        <v>93</v>
      </c>
      <c r="K424" t="s">
        <v>1275</v>
      </c>
      <c r="L424">
        <v>15.7</v>
      </c>
      <c r="M424">
        <v>5</v>
      </c>
      <c r="N424" t="str">
        <f>IF(Walmart[[#This Row],[Quantity]]&gt;=7,"Bulk",IF(Walmart[[#This Row],[Quantity]]&gt;=2,"Multi","Single"))</f>
        <v>Multi</v>
      </c>
      <c r="O424">
        <v>7.07</v>
      </c>
      <c r="P424" t="str">
        <f>IF(Walmart[[#This Row],[Sales]]&gt;=1000,"High Value", IF(Walmart[[#This Row],[Sales]]&gt;=500,"Medium Value","Low Value"))</f>
        <v>Low Value</v>
      </c>
    </row>
    <row r="425" spans="1:16" hidden="1" x14ac:dyDescent="0.3">
      <c r="A425" t="s">
        <v>1276</v>
      </c>
      <c r="B425" s="1">
        <v>41515</v>
      </c>
      <c r="C425" s="1" t="str">
        <f>TEXT(Walmart[[#This Row],[Order Date]],"mmmm")</f>
        <v>August</v>
      </c>
      <c r="D425" s="1">
        <v>41520</v>
      </c>
      <c r="E425" s="1" t="str">
        <f>IF(DATEDIF(Walmart[[#This Row],[Order Date]],Walmart[[#This Row],[Ship Date]],"D")&lt;7,"On time","Delayed")</f>
        <v>On time</v>
      </c>
      <c r="F425" t="s">
        <v>130</v>
      </c>
      <c r="G425" t="s">
        <v>14</v>
      </c>
      <c r="H425" t="s">
        <v>1277</v>
      </c>
      <c r="I425" t="s">
        <v>77</v>
      </c>
      <c r="J425" t="s">
        <v>93</v>
      </c>
      <c r="K425" t="s">
        <v>1278</v>
      </c>
      <c r="L425">
        <v>15.48</v>
      </c>
      <c r="M425">
        <v>3</v>
      </c>
      <c r="N425" t="str">
        <f>IF(Walmart[[#This Row],[Quantity]]&gt;=7,"Bulk",IF(Walmart[[#This Row],[Quantity]]&gt;=2,"Multi","Single"))</f>
        <v>Multi</v>
      </c>
      <c r="O425">
        <v>5.61</v>
      </c>
      <c r="P425" t="str">
        <f>IF(Walmart[[#This Row],[Sales]]&gt;=1000,"High Value", IF(Walmart[[#This Row],[Sales]]&gt;=500,"Medium Value","Low Value"))</f>
        <v>Low Value</v>
      </c>
    </row>
    <row r="426" spans="1:16" hidden="1" x14ac:dyDescent="0.3">
      <c r="A426" t="s">
        <v>1279</v>
      </c>
      <c r="B426" s="1">
        <v>41296</v>
      </c>
      <c r="C426" s="1" t="str">
        <f>TEXT(Walmart[[#This Row],[Order Date]],"mmmm")</f>
        <v>January</v>
      </c>
      <c r="D426" s="1">
        <v>41302</v>
      </c>
      <c r="E426" s="1" t="str">
        <f>IF(DATEDIF(Walmart[[#This Row],[Order Date]],Walmart[[#This Row],[Ship Date]],"D")&lt;7,"On time","Delayed")</f>
        <v>On time</v>
      </c>
      <c r="F426" t="s">
        <v>1280</v>
      </c>
      <c r="G426" t="s">
        <v>14</v>
      </c>
      <c r="H426" t="s">
        <v>25</v>
      </c>
      <c r="I426" t="s">
        <v>26</v>
      </c>
      <c r="J426" t="s">
        <v>21</v>
      </c>
      <c r="K426" t="s">
        <v>1281</v>
      </c>
      <c r="L426">
        <v>109.9</v>
      </c>
      <c r="M426">
        <v>5</v>
      </c>
      <c r="N426" t="str">
        <f>IF(Walmart[[#This Row],[Quantity]]&gt;=7,"Bulk",IF(Walmart[[#This Row],[Quantity]]&gt;=2,"Multi","Single"))</f>
        <v>Multi</v>
      </c>
      <c r="O426">
        <v>37.369999999999997</v>
      </c>
      <c r="P426" t="str">
        <f>IF(Walmart[[#This Row],[Sales]]&gt;=1000,"High Value", IF(Walmart[[#This Row],[Sales]]&gt;=500,"Medium Value","Low Value"))</f>
        <v>Low Value</v>
      </c>
    </row>
    <row r="427" spans="1:16" x14ac:dyDescent="0.3">
      <c r="A427" t="s">
        <v>2388</v>
      </c>
      <c r="B427" s="1">
        <v>41950</v>
      </c>
      <c r="C427" s="1" t="str">
        <f>TEXT(Walmart[[#This Row],[Order Date]],"mmmm")</f>
        <v>November</v>
      </c>
      <c r="D427" s="1">
        <v>41950</v>
      </c>
      <c r="E427" s="1" t="str">
        <f>IF(DATEDIF(Walmart[[#This Row],[Order Date]],Walmart[[#This Row],[Ship Date]],"D")&lt;7,"On time","Delayed")</f>
        <v>On time</v>
      </c>
      <c r="F427" t="s">
        <v>133</v>
      </c>
      <c r="G427" t="s">
        <v>14</v>
      </c>
      <c r="H427" t="s">
        <v>37</v>
      </c>
      <c r="I427" t="s">
        <v>16</v>
      </c>
      <c r="J427" t="s">
        <v>93</v>
      </c>
      <c r="K427" t="s">
        <v>234</v>
      </c>
      <c r="L427">
        <v>59.94</v>
      </c>
      <c r="M427">
        <v>3</v>
      </c>
      <c r="N427" t="str">
        <f>IF(Walmart[[#This Row],[Quantity]]&gt;=7,"Bulk",IF(Walmart[[#This Row],[Quantity]]&gt;=2,"Multi","Single"))</f>
        <v>Multi</v>
      </c>
      <c r="O427">
        <v>28.17</v>
      </c>
      <c r="P427" t="str">
        <f>IF(Walmart[[#This Row],[Sales]]&gt;=1000,"High Value", IF(Walmart[[#This Row],[Sales]]&gt;=500,"Medium Value","Low Value"))</f>
        <v>Low Value</v>
      </c>
    </row>
    <row r="428" spans="1:16" hidden="1" x14ac:dyDescent="0.3">
      <c r="A428" t="s">
        <v>1285</v>
      </c>
      <c r="B428" s="1">
        <v>40938</v>
      </c>
      <c r="C428" s="1" t="str">
        <f>TEXT(Walmart[[#This Row],[Order Date]],"mmmm")</f>
        <v>January</v>
      </c>
      <c r="D428" s="1">
        <v>40945</v>
      </c>
      <c r="E428" s="1" t="str">
        <f>IF(DATEDIF(Walmart[[#This Row],[Order Date]],Walmart[[#This Row],[Ship Date]],"D")&lt;7,"On time","Delayed")</f>
        <v>Delayed</v>
      </c>
      <c r="F428" t="s">
        <v>333</v>
      </c>
      <c r="G428" t="s">
        <v>14</v>
      </c>
      <c r="H428" t="s">
        <v>15</v>
      </c>
      <c r="I428" t="s">
        <v>16</v>
      </c>
      <c r="J428" t="s">
        <v>21</v>
      </c>
      <c r="K428" t="s">
        <v>1286</v>
      </c>
      <c r="L428">
        <v>227.36</v>
      </c>
      <c r="M428">
        <v>7</v>
      </c>
      <c r="N428" t="str">
        <f>IF(Walmart[[#This Row],[Quantity]]&gt;=7,"Bulk",IF(Walmart[[#This Row],[Quantity]]&gt;=2,"Multi","Single"))</f>
        <v>Bulk</v>
      </c>
      <c r="O428">
        <v>81.849999999999994</v>
      </c>
      <c r="P428" t="str">
        <f>IF(Walmart[[#This Row],[Sales]]&gt;=1000,"High Value", IF(Walmart[[#This Row],[Sales]]&gt;=500,"Medium Value","Low Value"))</f>
        <v>Low Value</v>
      </c>
    </row>
    <row r="429" spans="1:16" hidden="1" x14ac:dyDescent="0.3">
      <c r="A429" t="s">
        <v>1287</v>
      </c>
      <c r="B429" s="1">
        <v>41244</v>
      </c>
      <c r="C429" s="1" t="str">
        <f>TEXT(Walmart[[#This Row],[Order Date]],"mmmm")</f>
        <v>December</v>
      </c>
      <c r="D429" s="1">
        <v>41249</v>
      </c>
      <c r="E429" s="1" t="str">
        <f>IF(DATEDIF(Walmart[[#This Row],[Order Date]],Walmart[[#This Row],[Ship Date]],"D")&lt;7,"On time","Delayed")</f>
        <v>On time</v>
      </c>
      <c r="F429" t="s">
        <v>686</v>
      </c>
      <c r="G429" t="s">
        <v>14</v>
      </c>
      <c r="H429" t="s">
        <v>25</v>
      </c>
      <c r="I429" t="s">
        <v>26</v>
      </c>
      <c r="J429" t="s">
        <v>38</v>
      </c>
      <c r="K429" t="s">
        <v>1288</v>
      </c>
      <c r="L429">
        <v>13.9</v>
      </c>
      <c r="M429">
        <v>5</v>
      </c>
      <c r="N429" t="str">
        <f>IF(Walmart[[#This Row],[Quantity]]&gt;=7,"Bulk",IF(Walmart[[#This Row],[Quantity]]&gt;=2,"Multi","Single"))</f>
        <v>Multi</v>
      </c>
      <c r="O429">
        <v>5.56</v>
      </c>
      <c r="P429" t="str">
        <f>IF(Walmart[[#This Row],[Sales]]&gt;=1000,"High Value", IF(Walmart[[#This Row],[Sales]]&gt;=500,"Medium Value","Low Value"))</f>
        <v>Low Value</v>
      </c>
    </row>
    <row r="430" spans="1:16" x14ac:dyDescent="0.3">
      <c r="A430" t="s">
        <v>3059</v>
      </c>
      <c r="B430" s="1">
        <v>41950</v>
      </c>
      <c r="C430" s="1" t="str">
        <f>TEXT(Walmart[[#This Row],[Order Date]],"mmmm")</f>
        <v>November</v>
      </c>
      <c r="D430" s="1">
        <v>41957</v>
      </c>
      <c r="E430" s="1" t="str">
        <f>IF(DATEDIF(Walmart[[#This Row],[Order Date]],Walmart[[#This Row],[Ship Date]],"D")&lt;7,"On time","Delayed")</f>
        <v>Delayed</v>
      </c>
      <c r="F430" t="s">
        <v>2048</v>
      </c>
      <c r="G430" t="s">
        <v>14</v>
      </c>
      <c r="H430" t="s">
        <v>25</v>
      </c>
      <c r="I430" t="s">
        <v>26</v>
      </c>
      <c r="J430" t="s">
        <v>43</v>
      </c>
      <c r="K430" t="s">
        <v>897</v>
      </c>
      <c r="L430">
        <v>2036.86</v>
      </c>
      <c r="M430">
        <v>7</v>
      </c>
      <c r="N430" t="str">
        <f>IF(Walmart[[#This Row],[Quantity]]&gt;=7,"Bulk",IF(Walmart[[#This Row],[Quantity]]&gt;=2,"Multi","Single"))</f>
        <v>Bulk</v>
      </c>
      <c r="O430">
        <v>366.63</v>
      </c>
      <c r="P430" t="str">
        <f>IF(Walmart[[#This Row],[Sales]]&gt;=1000,"High Value", IF(Walmart[[#This Row],[Sales]]&gt;=500,"Medium Value","Low Value"))</f>
        <v>High Value</v>
      </c>
    </row>
    <row r="431" spans="1:16" hidden="1" x14ac:dyDescent="0.3">
      <c r="A431" t="s">
        <v>1291</v>
      </c>
      <c r="B431" s="1">
        <v>40820</v>
      </c>
      <c r="C431" s="1" t="str">
        <f>TEXT(Walmart[[#This Row],[Order Date]],"mmmm")</f>
        <v>October</v>
      </c>
      <c r="D431" s="1">
        <v>40824</v>
      </c>
      <c r="E431" s="1" t="str">
        <f>IF(DATEDIF(Walmart[[#This Row],[Order Date]],Walmart[[#This Row],[Ship Date]],"D")&lt;7,"On time","Delayed")</f>
        <v>On time</v>
      </c>
      <c r="F431" t="s">
        <v>1292</v>
      </c>
      <c r="G431" t="s">
        <v>14</v>
      </c>
      <c r="H431" t="s">
        <v>360</v>
      </c>
      <c r="I431" t="s">
        <v>16</v>
      </c>
      <c r="J431" t="s">
        <v>17</v>
      </c>
      <c r="K431" t="s">
        <v>1293</v>
      </c>
      <c r="L431">
        <v>14.45</v>
      </c>
      <c r="M431">
        <v>5</v>
      </c>
      <c r="N431" t="str">
        <f>IF(Walmart[[#This Row],[Quantity]]&gt;=7,"Bulk",IF(Walmart[[#This Row],[Quantity]]&gt;=2,"Multi","Single"))</f>
        <v>Multi</v>
      </c>
      <c r="O431">
        <v>6.79</v>
      </c>
      <c r="P431" t="str">
        <f>IF(Walmart[[#This Row],[Sales]]&gt;=1000,"High Value", IF(Walmart[[#This Row],[Sales]]&gt;=500,"Medium Value","Low Value"))</f>
        <v>Low Value</v>
      </c>
    </row>
    <row r="432" spans="1:16" x14ac:dyDescent="0.3">
      <c r="A432" t="s">
        <v>82</v>
      </c>
      <c r="B432" s="1">
        <v>41949</v>
      </c>
      <c r="C432" s="1" t="str">
        <f>TEXT(Walmart[[#This Row],[Order Date]],"mmmm")</f>
        <v>November</v>
      </c>
      <c r="D432" s="1">
        <v>41956</v>
      </c>
      <c r="E432" s="1" t="str">
        <f>IF(DATEDIF(Walmart[[#This Row],[Order Date]],Walmart[[#This Row],[Ship Date]],"D")&lt;7,"On time","Delayed")</f>
        <v>Delayed</v>
      </c>
      <c r="F432" t="s">
        <v>83</v>
      </c>
      <c r="G432" t="s">
        <v>14</v>
      </c>
      <c r="H432" t="s">
        <v>84</v>
      </c>
      <c r="I432" t="s">
        <v>58</v>
      </c>
      <c r="J432" t="s">
        <v>27</v>
      </c>
      <c r="K432" t="s">
        <v>85</v>
      </c>
      <c r="L432">
        <v>2.39</v>
      </c>
      <c r="M432">
        <v>2</v>
      </c>
      <c r="N432" t="str">
        <f>IF(Walmart[[#This Row],[Quantity]]&gt;=7,"Bulk",IF(Walmart[[#This Row],[Quantity]]&gt;=2,"Multi","Single"))</f>
        <v>Multi</v>
      </c>
      <c r="O432">
        <v>-1.83</v>
      </c>
      <c r="P432" t="str">
        <f>IF(Walmart[[#This Row],[Sales]]&gt;=1000,"High Value", IF(Walmart[[#This Row],[Sales]]&gt;=500,"Medium Value","Low Value"))</f>
        <v>Low Value</v>
      </c>
    </row>
    <row r="433" spans="1:16" hidden="1" x14ac:dyDescent="0.3">
      <c r="A433" t="s">
        <v>1296</v>
      </c>
      <c r="B433" s="1">
        <v>40960</v>
      </c>
      <c r="C433" s="1" t="str">
        <f>TEXT(Walmart[[#This Row],[Order Date]],"mmmm")</f>
        <v>February</v>
      </c>
      <c r="D433" s="1">
        <v>40962</v>
      </c>
      <c r="E433" s="1" t="str">
        <f>IF(DATEDIF(Walmart[[#This Row],[Order Date]],Walmart[[#This Row],[Ship Date]],"D")&lt;7,"On time","Delayed")</f>
        <v>On time</v>
      </c>
      <c r="F433" t="s">
        <v>954</v>
      </c>
      <c r="G433" t="s">
        <v>14</v>
      </c>
      <c r="H433" t="s">
        <v>1297</v>
      </c>
      <c r="I433" t="s">
        <v>123</v>
      </c>
      <c r="J433" t="s">
        <v>93</v>
      </c>
      <c r="K433" t="s">
        <v>125</v>
      </c>
      <c r="L433">
        <v>49.12</v>
      </c>
      <c r="M433">
        <v>4</v>
      </c>
      <c r="N433" t="str">
        <f>IF(Walmart[[#This Row],[Quantity]]&gt;=7,"Bulk",IF(Walmart[[#This Row],[Quantity]]&gt;=2,"Multi","Single"))</f>
        <v>Multi</v>
      </c>
      <c r="O433">
        <v>23.09</v>
      </c>
      <c r="P433" t="str">
        <f>IF(Walmart[[#This Row],[Sales]]&gt;=1000,"High Value", IF(Walmart[[#This Row],[Sales]]&gt;=500,"Medium Value","Low Value"))</f>
        <v>Low Value</v>
      </c>
    </row>
    <row r="434" spans="1:16" hidden="1" x14ac:dyDescent="0.3">
      <c r="A434" t="s">
        <v>1298</v>
      </c>
      <c r="B434" s="1">
        <v>40851</v>
      </c>
      <c r="C434" s="1" t="str">
        <f>TEXT(Walmart[[#This Row],[Order Date]],"mmmm")</f>
        <v>November</v>
      </c>
      <c r="D434" s="1">
        <v>40855</v>
      </c>
      <c r="E434" s="1" t="str">
        <f>IF(DATEDIF(Walmart[[#This Row],[Order Date]],Walmart[[#This Row],[Ship Date]],"D")&lt;7,"On time","Delayed")</f>
        <v>On time</v>
      </c>
      <c r="F434" t="s">
        <v>1299</v>
      </c>
      <c r="G434" t="s">
        <v>14</v>
      </c>
      <c r="H434" t="s">
        <v>160</v>
      </c>
      <c r="I434" t="s">
        <v>16</v>
      </c>
      <c r="J434" t="s">
        <v>21</v>
      </c>
      <c r="K434" t="s">
        <v>1300</v>
      </c>
      <c r="L434">
        <v>35.340000000000003</v>
      </c>
      <c r="M434">
        <v>2</v>
      </c>
      <c r="N434" t="str">
        <f>IF(Walmart[[#This Row],[Quantity]]&gt;=7,"Bulk",IF(Walmart[[#This Row],[Quantity]]&gt;=2,"Multi","Single"))</f>
        <v>Multi</v>
      </c>
      <c r="O434">
        <v>13.43</v>
      </c>
      <c r="P434" t="str">
        <f>IF(Walmart[[#This Row],[Sales]]&gt;=1000,"High Value", IF(Walmart[[#This Row],[Sales]]&gt;=500,"Medium Value","Low Value"))</f>
        <v>Low Value</v>
      </c>
    </row>
    <row r="435" spans="1:16" hidden="1" x14ac:dyDescent="0.3">
      <c r="A435" t="s">
        <v>1301</v>
      </c>
      <c r="B435" s="1">
        <v>41080</v>
      </c>
      <c r="C435" s="1" t="str">
        <f>TEXT(Walmart[[#This Row],[Order Date]],"mmmm")</f>
        <v>June</v>
      </c>
      <c r="D435" s="1">
        <v>41085</v>
      </c>
      <c r="E435" s="1" t="str">
        <f>IF(DATEDIF(Walmart[[#This Row],[Order Date]],Walmart[[#This Row],[Ship Date]],"D")&lt;7,"On time","Delayed")</f>
        <v>On time</v>
      </c>
      <c r="F435" t="s">
        <v>931</v>
      </c>
      <c r="G435" t="s">
        <v>14</v>
      </c>
      <c r="H435" t="s">
        <v>37</v>
      </c>
      <c r="I435" t="s">
        <v>16</v>
      </c>
      <c r="J435" t="s">
        <v>21</v>
      </c>
      <c r="K435" t="s">
        <v>755</v>
      </c>
      <c r="L435">
        <v>257.64</v>
      </c>
      <c r="M435">
        <v>6</v>
      </c>
      <c r="N435" t="str">
        <f>IF(Walmart[[#This Row],[Quantity]]&gt;=7,"Bulk",IF(Walmart[[#This Row],[Quantity]]&gt;=2,"Multi","Single"))</f>
        <v>Multi</v>
      </c>
      <c r="O435">
        <v>100.48</v>
      </c>
      <c r="P435" t="str">
        <f>IF(Walmart[[#This Row],[Sales]]&gt;=1000,"High Value", IF(Walmart[[#This Row],[Sales]]&gt;=500,"Medium Value","Low Value"))</f>
        <v>Low Value</v>
      </c>
    </row>
    <row r="436" spans="1:16" hidden="1" x14ac:dyDescent="0.3">
      <c r="A436" t="s">
        <v>1302</v>
      </c>
      <c r="B436" s="1">
        <v>40702</v>
      </c>
      <c r="C436" s="1" t="str">
        <f>TEXT(Walmart[[#This Row],[Order Date]],"mmmm")</f>
        <v>June</v>
      </c>
      <c r="D436" s="1">
        <v>40708</v>
      </c>
      <c r="E436" s="1" t="str">
        <f>IF(DATEDIF(Walmart[[#This Row],[Order Date]],Walmart[[#This Row],[Ship Date]],"D")&lt;7,"On time","Delayed")</f>
        <v>On time</v>
      </c>
      <c r="F436" t="s">
        <v>1303</v>
      </c>
      <c r="G436" t="s">
        <v>14</v>
      </c>
      <c r="H436" t="s">
        <v>25</v>
      </c>
      <c r="I436" t="s">
        <v>26</v>
      </c>
      <c r="J436" t="s">
        <v>88</v>
      </c>
      <c r="K436" t="s">
        <v>1304</v>
      </c>
      <c r="L436">
        <v>585.54999999999995</v>
      </c>
      <c r="M436">
        <v>3</v>
      </c>
      <c r="N436" t="str">
        <f>IF(Walmart[[#This Row],[Quantity]]&gt;=7,"Bulk",IF(Walmart[[#This Row],[Quantity]]&gt;=2,"Multi","Single"))</f>
        <v>Multi</v>
      </c>
      <c r="O436">
        <v>73.19</v>
      </c>
      <c r="P436" t="str">
        <f>IF(Walmart[[#This Row],[Sales]]&gt;=1000,"High Value", IF(Walmart[[#This Row],[Sales]]&gt;=500,"Medium Value","Low Value"))</f>
        <v>Medium Value</v>
      </c>
    </row>
    <row r="437" spans="1:16" hidden="1" x14ac:dyDescent="0.3">
      <c r="A437" t="s">
        <v>1305</v>
      </c>
      <c r="B437" s="1">
        <v>40763</v>
      </c>
      <c r="C437" s="1" t="str">
        <f>TEXT(Walmart[[#This Row],[Order Date]],"mmmm")</f>
        <v>August</v>
      </c>
      <c r="D437" s="1">
        <v>40766</v>
      </c>
      <c r="E437" s="1" t="str">
        <f>IF(DATEDIF(Walmart[[#This Row],[Order Date]],Walmart[[#This Row],[Ship Date]],"D")&lt;7,"On time","Delayed")</f>
        <v>On time</v>
      </c>
      <c r="F437" t="s">
        <v>1153</v>
      </c>
      <c r="G437" t="s">
        <v>14</v>
      </c>
      <c r="H437" t="s">
        <v>1306</v>
      </c>
      <c r="I437" t="s">
        <v>16</v>
      </c>
      <c r="J437" t="s">
        <v>33</v>
      </c>
      <c r="K437" t="s">
        <v>1307</v>
      </c>
      <c r="L437">
        <v>423.28</v>
      </c>
      <c r="M437">
        <v>11</v>
      </c>
      <c r="N437" t="str">
        <f>IF(Walmart[[#This Row],[Quantity]]&gt;=7,"Bulk",IF(Walmart[[#This Row],[Quantity]]&gt;=2,"Multi","Single"))</f>
        <v>Bulk</v>
      </c>
      <c r="O437">
        <v>110.05</v>
      </c>
      <c r="P437" t="str">
        <f>IF(Walmart[[#This Row],[Sales]]&gt;=1000,"High Value", IF(Walmart[[#This Row],[Sales]]&gt;=500,"Medium Value","Low Value"))</f>
        <v>Low Value</v>
      </c>
    </row>
    <row r="438" spans="1:16" hidden="1" x14ac:dyDescent="0.3">
      <c r="A438" t="s">
        <v>1308</v>
      </c>
      <c r="B438" s="1">
        <v>40689</v>
      </c>
      <c r="C438" s="1" t="str">
        <f>TEXT(Walmart[[#This Row],[Order Date]],"mmmm")</f>
        <v>May</v>
      </c>
      <c r="D438" s="1">
        <v>40693</v>
      </c>
      <c r="E438" s="1" t="str">
        <f>IF(DATEDIF(Walmart[[#This Row],[Order Date]],Walmart[[#This Row],[Ship Date]],"D")&lt;7,"On time","Delayed")</f>
        <v>On time</v>
      </c>
      <c r="F438" t="s">
        <v>1309</v>
      </c>
      <c r="G438" t="s">
        <v>14</v>
      </c>
      <c r="H438" t="s">
        <v>15</v>
      </c>
      <c r="I438" t="s">
        <v>16</v>
      </c>
      <c r="J438" t="s">
        <v>88</v>
      </c>
      <c r="K438" t="s">
        <v>1310</v>
      </c>
      <c r="L438">
        <v>225.3</v>
      </c>
      <c r="M438">
        <v>2</v>
      </c>
      <c r="N438" t="str">
        <f>IF(Walmart[[#This Row],[Quantity]]&gt;=7,"Bulk",IF(Walmart[[#This Row],[Quantity]]&gt;=2,"Multi","Single"))</f>
        <v>Multi</v>
      </c>
      <c r="O438">
        <v>22.53</v>
      </c>
      <c r="P438" t="str">
        <f>IF(Walmart[[#This Row],[Sales]]&gt;=1000,"High Value", IF(Walmart[[#This Row],[Sales]]&gt;=500,"Medium Value","Low Value"))</f>
        <v>Low Value</v>
      </c>
    </row>
    <row r="439" spans="1:16" hidden="1" x14ac:dyDescent="0.3">
      <c r="A439" t="s">
        <v>1311</v>
      </c>
      <c r="B439" s="1">
        <v>41016</v>
      </c>
      <c r="C439" s="1" t="str">
        <f>TEXT(Walmart[[#This Row],[Order Date]],"mmmm")</f>
        <v>April</v>
      </c>
      <c r="D439" s="1">
        <v>41020</v>
      </c>
      <c r="E439" s="1" t="str">
        <f>IF(DATEDIF(Walmart[[#This Row],[Order Date]],Walmart[[#This Row],[Ship Date]],"D")&lt;7,"On time","Delayed")</f>
        <v>On time</v>
      </c>
      <c r="F439" t="s">
        <v>1312</v>
      </c>
      <c r="G439" t="s">
        <v>14</v>
      </c>
      <c r="H439" t="s">
        <v>37</v>
      </c>
      <c r="I439" t="s">
        <v>16</v>
      </c>
      <c r="J439" t="s">
        <v>38</v>
      </c>
      <c r="K439" t="s">
        <v>1288</v>
      </c>
      <c r="L439">
        <v>5.56</v>
      </c>
      <c r="M439">
        <v>2</v>
      </c>
      <c r="N439" t="str">
        <f>IF(Walmart[[#This Row],[Quantity]]&gt;=7,"Bulk",IF(Walmart[[#This Row],[Quantity]]&gt;=2,"Multi","Single"))</f>
        <v>Multi</v>
      </c>
      <c r="O439">
        <v>2.2200000000000002</v>
      </c>
      <c r="P439" t="str">
        <f>IF(Walmart[[#This Row],[Sales]]&gt;=1000,"High Value", IF(Walmart[[#This Row],[Sales]]&gt;=500,"Medium Value","Low Value"))</f>
        <v>Low Value</v>
      </c>
    </row>
    <row r="440" spans="1:16" hidden="1" x14ac:dyDescent="0.3">
      <c r="A440" t="s">
        <v>1313</v>
      </c>
      <c r="B440" s="1">
        <v>40689</v>
      </c>
      <c r="C440" s="1" t="str">
        <f>TEXT(Walmart[[#This Row],[Order Date]],"mmmm")</f>
        <v>May</v>
      </c>
      <c r="D440" s="1">
        <v>40692</v>
      </c>
      <c r="E440" s="1" t="str">
        <f>IF(DATEDIF(Walmart[[#This Row],[Order Date]],Walmart[[#This Row],[Ship Date]],"D")&lt;7,"On time","Delayed")</f>
        <v>On time</v>
      </c>
      <c r="F440" t="s">
        <v>1314</v>
      </c>
      <c r="G440" t="s">
        <v>14</v>
      </c>
      <c r="H440" t="s">
        <v>1315</v>
      </c>
      <c r="I440" t="s">
        <v>32</v>
      </c>
      <c r="J440" t="s">
        <v>93</v>
      </c>
      <c r="K440" t="s">
        <v>983</v>
      </c>
      <c r="L440">
        <v>48.4</v>
      </c>
      <c r="M440">
        <v>5</v>
      </c>
      <c r="N440" t="str">
        <f>IF(Walmart[[#This Row],[Quantity]]&gt;=7,"Bulk",IF(Walmart[[#This Row],[Quantity]]&gt;=2,"Multi","Single"))</f>
        <v>Multi</v>
      </c>
      <c r="O440">
        <v>23.23</v>
      </c>
      <c r="P440" t="str">
        <f>IF(Walmart[[#This Row],[Sales]]&gt;=1000,"High Value", IF(Walmart[[#This Row],[Sales]]&gt;=500,"Medium Value","Low Value"))</f>
        <v>Low Value</v>
      </c>
    </row>
    <row r="441" spans="1:16" x14ac:dyDescent="0.3">
      <c r="A441" t="s">
        <v>466</v>
      </c>
      <c r="B441" s="1">
        <v>41949</v>
      </c>
      <c r="C441" s="1" t="str">
        <f>TEXT(Walmart[[#This Row],[Order Date]],"mmmm")</f>
        <v>November</v>
      </c>
      <c r="D441" s="1">
        <v>41950</v>
      </c>
      <c r="E441" s="1" t="str">
        <f>IF(DATEDIF(Walmart[[#This Row],[Order Date]],Walmart[[#This Row],[Ship Date]],"D")&lt;7,"On time","Delayed")</f>
        <v>On time</v>
      </c>
      <c r="F441" t="s">
        <v>49</v>
      </c>
      <c r="G441" t="s">
        <v>14</v>
      </c>
      <c r="H441" t="s">
        <v>467</v>
      </c>
      <c r="I441" t="s">
        <v>123</v>
      </c>
      <c r="J441" t="s">
        <v>53</v>
      </c>
      <c r="K441" t="s">
        <v>468</v>
      </c>
      <c r="L441">
        <v>159.99</v>
      </c>
      <c r="M441">
        <v>1</v>
      </c>
      <c r="N441" t="str">
        <f>IF(Walmart[[#This Row],[Quantity]]&gt;=7,"Bulk",IF(Walmart[[#This Row],[Quantity]]&gt;=2,"Multi","Single"))</f>
        <v>Single</v>
      </c>
      <c r="O441">
        <v>54.4</v>
      </c>
      <c r="P441" t="str">
        <f>IF(Walmart[[#This Row],[Sales]]&gt;=1000,"High Value", IF(Walmart[[#This Row],[Sales]]&gt;=500,"Medium Value","Low Value"))</f>
        <v>Low Value</v>
      </c>
    </row>
    <row r="442" spans="1:16" hidden="1" x14ac:dyDescent="0.3">
      <c r="A442" t="s">
        <v>1318</v>
      </c>
      <c r="B442" s="1">
        <v>41569</v>
      </c>
      <c r="C442" s="1" t="str">
        <f>TEXT(Walmart[[#This Row],[Order Date]],"mmmm")</f>
        <v>October</v>
      </c>
      <c r="D442" s="1">
        <v>41573</v>
      </c>
      <c r="E442" s="1" t="str">
        <f>IF(DATEDIF(Walmart[[#This Row],[Order Date]],Walmart[[#This Row],[Ship Date]],"D")&lt;7,"On time","Delayed")</f>
        <v>On time</v>
      </c>
      <c r="F442" t="s">
        <v>246</v>
      </c>
      <c r="G442" t="s">
        <v>14</v>
      </c>
      <c r="H442" t="s">
        <v>160</v>
      </c>
      <c r="I442" t="s">
        <v>16</v>
      </c>
      <c r="J442" t="s">
        <v>33</v>
      </c>
      <c r="K442" t="s">
        <v>1223</v>
      </c>
      <c r="L442">
        <v>154.44</v>
      </c>
      <c r="M442">
        <v>3</v>
      </c>
      <c r="N442" t="str">
        <f>IF(Walmart[[#This Row],[Quantity]]&gt;=7,"Bulk",IF(Walmart[[#This Row],[Quantity]]&gt;=2,"Multi","Single"))</f>
        <v>Multi</v>
      </c>
      <c r="O442">
        <v>1.54</v>
      </c>
      <c r="P442" t="str">
        <f>IF(Walmart[[#This Row],[Sales]]&gt;=1000,"High Value", IF(Walmart[[#This Row],[Sales]]&gt;=500,"Medium Value","Low Value"))</f>
        <v>Low Value</v>
      </c>
    </row>
    <row r="443" spans="1:16" hidden="1" x14ac:dyDescent="0.3">
      <c r="A443" t="s">
        <v>1319</v>
      </c>
      <c r="B443" s="1">
        <v>41264</v>
      </c>
      <c r="C443" s="1" t="str">
        <f>TEXT(Walmart[[#This Row],[Order Date]],"mmmm")</f>
        <v>December</v>
      </c>
      <c r="D443" s="1">
        <v>41268</v>
      </c>
      <c r="E443" s="1" t="str">
        <f>IF(DATEDIF(Walmart[[#This Row],[Order Date]],Walmart[[#This Row],[Ship Date]],"D")&lt;7,"On time","Delayed")</f>
        <v>On time</v>
      </c>
      <c r="F443" t="s">
        <v>1320</v>
      </c>
      <c r="G443" t="s">
        <v>14</v>
      </c>
      <c r="H443" t="s">
        <v>182</v>
      </c>
      <c r="I443" t="s">
        <v>77</v>
      </c>
      <c r="J443" t="s">
        <v>105</v>
      </c>
      <c r="K443" t="s">
        <v>1321</v>
      </c>
      <c r="L443">
        <v>60.98</v>
      </c>
      <c r="M443">
        <v>7</v>
      </c>
      <c r="N443" t="str">
        <f>IF(Walmart[[#This Row],[Quantity]]&gt;=7,"Bulk",IF(Walmart[[#This Row],[Quantity]]&gt;=2,"Multi","Single"))</f>
        <v>Bulk</v>
      </c>
      <c r="O443">
        <v>4.57</v>
      </c>
      <c r="P443" t="str">
        <f>IF(Walmart[[#This Row],[Sales]]&gt;=1000,"High Value", IF(Walmart[[#This Row],[Sales]]&gt;=500,"Medium Value","Low Value"))</f>
        <v>Low Value</v>
      </c>
    </row>
    <row r="444" spans="1:16" hidden="1" x14ac:dyDescent="0.3">
      <c r="A444" t="s">
        <v>1322</v>
      </c>
      <c r="B444" s="1">
        <v>41107</v>
      </c>
      <c r="C444" s="1" t="str">
        <f>TEXT(Walmart[[#This Row],[Order Date]],"mmmm")</f>
        <v>July</v>
      </c>
      <c r="D444" s="1">
        <v>41109</v>
      </c>
      <c r="E444" s="1" t="str">
        <f>IF(DATEDIF(Walmart[[#This Row],[Order Date]],Walmart[[#This Row],[Ship Date]],"D")&lt;7,"On time","Delayed")</f>
        <v>On time</v>
      </c>
      <c r="F444" t="s">
        <v>739</v>
      </c>
      <c r="G444" t="s">
        <v>14</v>
      </c>
      <c r="H444" t="s">
        <v>1323</v>
      </c>
      <c r="I444" t="s">
        <v>16</v>
      </c>
      <c r="J444" t="s">
        <v>671</v>
      </c>
      <c r="K444" t="s">
        <v>1324</v>
      </c>
      <c r="L444">
        <v>195.47</v>
      </c>
      <c r="M444">
        <v>2</v>
      </c>
      <c r="N444" t="str">
        <f>IF(Walmart[[#This Row],[Quantity]]&gt;=7,"Bulk",IF(Walmart[[#This Row],[Quantity]]&gt;=2,"Multi","Single"))</f>
        <v>Multi</v>
      </c>
      <c r="O444">
        <v>-13.8</v>
      </c>
      <c r="P444" t="str">
        <f>IF(Walmart[[#This Row],[Sales]]&gt;=1000,"High Value", IF(Walmart[[#This Row],[Sales]]&gt;=500,"Medium Value","Low Value"))</f>
        <v>Low Value</v>
      </c>
    </row>
    <row r="445" spans="1:16" hidden="1" x14ac:dyDescent="0.3">
      <c r="A445" t="s">
        <v>1325</v>
      </c>
      <c r="B445" s="1">
        <v>41173</v>
      </c>
      <c r="C445" s="1" t="str">
        <f>TEXT(Walmart[[#This Row],[Order Date]],"mmmm")</f>
        <v>September</v>
      </c>
      <c r="D445" s="1">
        <v>41175</v>
      </c>
      <c r="E445" s="1" t="str">
        <f>IF(DATEDIF(Walmart[[#This Row],[Order Date]],Walmart[[#This Row],[Ship Date]],"D")&lt;7,"On time","Delayed")</f>
        <v>On time</v>
      </c>
      <c r="F445" t="s">
        <v>845</v>
      </c>
      <c r="G445" t="s">
        <v>14</v>
      </c>
      <c r="H445" t="s">
        <v>15</v>
      </c>
      <c r="I445" t="s">
        <v>16</v>
      </c>
      <c r="J445" t="s">
        <v>88</v>
      </c>
      <c r="K445" t="s">
        <v>1326</v>
      </c>
      <c r="L445">
        <v>601.54</v>
      </c>
      <c r="M445">
        <v>4</v>
      </c>
      <c r="N445" t="str">
        <f>IF(Walmart[[#This Row],[Quantity]]&gt;=7,"Bulk",IF(Walmart[[#This Row],[Quantity]]&gt;=2,"Multi","Single"))</f>
        <v>Multi</v>
      </c>
      <c r="O445">
        <v>0</v>
      </c>
      <c r="P445" t="str">
        <f>IF(Walmart[[#This Row],[Sales]]&gt;=1000,"High Value", IF(Walmart[[#This Row],[Sales]]&gt;=500,"Medium Value","Low Value"))</f>
        <v>Medium Value</v>
      </c>
    </row>
    <row r="446" spans="1:16" hidden="1" x14ac:dyDescent="0.3">
      <c r="A446" t="s">
        <v>1327</v>
      </c>
      <c r="B446" s="1">
        <v>40645</v>
      </c>
      <c r="C446" s="1" t="str">
        <f>TEXT(Walmart[[#This Row],[Order Date]],"mmmm")</f>
        <v>April</v>
      </c>
      <c r="D446" s="1">
        <v>40650</v>
      </c>
      <c r="E446" s="1" t="str">
        <f>IF(DATEDIF(Walmart[[#This Row],[Order Date]],Walmart[[#This Row],[Ship Date]],"D")&lt;7,"On time","Delayed")</f>
        <v>On time</v>
      </c>
      <c r="F446" t="s">
        <v>1328</v>
      </c>
      <c r="G446" t="s">
        <v>14</v>
      </c>
      <c r="H446" t="s">
        <v>1329</v>
      </c>
      <c r="I446" t="s">
        <v>16</v>
      </c>
      <c r="J446" t="s">
        <v>146</v>
      </c>
      <c r="K446" t="s">
        <v>1330</v>
      </c>
      <c r="L446">
        <v>1075.0899999999999</v>
      </c>
      <c r="M446">
        <v>14</v>
      </c>
      <c r="N446" t="str">
        <f>IF(Walmart[[#This Row],[Quantity]]&gt;=7,"Bulk",IF(Walmart[[#This Row],[Quantity]]&gt;=2,"Multi","Single"))</f>
        <v>Bulk</v>
      </c>
      <c r="O446">
        <v>94.07</v>
      </c>
      <c r="P446" t="str">
        <f>IF(Walmart[[#This Row],[Sales]]&gt;=1000,"High Value", IF(Walmart[[#This Row],[Sales]]&gt;=500,"Medium Value","Low Value"))</f>
        <v>High Value</v>
      </c>
    </row>
    <row r="447" spans="1:16" hidden="1" x14ac:dyDescent="0.3">
      <c r="A447" t="s">
        <v>1331</v>
      </c>
      <c r="B447" s="1">
        <v>41214</v>
      </c>
      <c r="C447" s="1" t="str">
        <f>TEXT(Walmart[[#This Row],[Order Date]],"mmmm")</f>
        <v>November</v>
      </c>
      <c r="D447" s="1">
        <v>41217</v>
      </c>
      <c r="E447" s="1" t="str">
        <f>IF(DATEDIF(Walmart[[#This Row],[Order Date]],Walmart[[#This Row],[Ship Date]],"D")&lt;7,"On time","Delayed")</f>
        <v>On time</v>
      </c>
      <c r="F447" t="s">
        <v>1332</v>
      </c>
      <c r="G447" t="s">
        <v>14</v>
      </c>
      <c r="H447" t="s">
        <v>341</v>
      </c>
      <c r="I447" t="s">
        <v>69</v>
      </c>
      <c r="J447" t="s">
        <v>38</v>
      </c>
      <c r="K447" t="s">
        <v>1333</v>
      </c>
      <c r="L447">
        <v>7.88</v>
      </c>
      <c r="M447">
        <v>1</v>
      </c>
      <c r="N447" t="str">
        <f>IF(Walmart[[#This Row],[Quantity]]&gt;=7,"Bulk",IF(Walmart[[#This Row],[Quantity]]&gt;=2,"Multi","Single"))</f>
        <v>Single</v>
      </c>
      <c r="O447">
        <v>1.77</v>
      </c>
      <c r="P447" t="str">
        <f>IF(Walmart[[#This Row],[Sales]]&gt;=1000,"High Value", IF(Walmart[[#This Row],[Sales]]&gt;=500,"Medium Value","Low Value"))</f>
        <v>Low Value</v>
      </c>
    </row>
    <row r="448" spans="1:16" x14ac:dyDescent="0.3">
      <c r="A448" t="s">
        <v>2874</v>
      </c>
      <c r="B448" s="1">
        <v>41949</v>
      </c>
      <c r="C448" s="1" t="str">
        <f>TEXT(Walmart[[#This Row],[Order Date]],"mmmm")</f>
        <v>November</v>
      </c>
      <c r="D448" s="1">
        <v>41953</v>
      </c>
      <c r="E448" s="1" t="str">
        <f>IF(DATEDIF(Walmart[[#This Row],[Order Date]],Walmart[[#This Row],[Ship Date]],"D")&lt;7,"On time","Delayed")</f>
        <v>On time</v>
      </c>
      <c r="F448" t="s">
        <v>1848</v>
      </c>
      <c r="G448" t="s">
        <v>14</v>
      </c>
      <c r="H448" t="s">
        <v>160</v>
      </c>
      <c r="I448" t="s">
        <v>16</v>
      </c>
      <c r="J448" t="s">
        <v>93</v>
      </c>
      <c r="K448" t="s">
        <v>1433</v>
      </c>
      <c r="L448">
        <v>12.96</v>
      </c>
      <c r="M448">
        <v>2</v>
      </c>
      <c r="N448" t="str">
        <f>IF(Walmart[[#This Row],[Quantity]]&gt;=7,"Bulk",IF(Walmart[[#This Row],[Quantity]]&gt;=2,"Multi","Single"))</f>
        <v>Multi</v>
      </c>
      <c r="O448">
        <v>6.22</v>
      </c>
      <c r="P448" t="str">
        <f>IF(Walmart[[#This Row],[Sales]]&gt;=1000,"High Value", IF(Walmart[[#This Row],[Sales]]&gt;=500,"Medium Value","Low Value"))</f>
        <v>Low Value</v>
      </c>
    </row>
    <row r="449" spans="1:16" hidden="1" x14ac:dyDescent="0.3">
      <c r="A449" t="s">
        <v>1337</v>
      </c>
      <c r="B449" s="1">
        <v>41041</v>
      </c>
      <c r="C449" s="1" t="str">
        <f>TEXT(Walmart[[#This Row],[Order Date]],"mmmm")</f>
        <v>May</v>
      </c>
      <c r="D449" s="1">
        <v>41045</v>
      </c>
      <c r="E449" s="1" t="str">
        <f>IF(DATEDIF(Walmart[[#This Row],[Order Date]],Walmart[[#This Row],[Ship Date]],"D")&lt;7,"On time","Delayed")</f>
        <v>On time</v>
      </c>
      <c r="F449" t="s">
        <v>1338</v>
      </c>
      <c r="G449" t="s">
        <v>14</v>
      </c>
      <c r="H449" t="s">
        <v>37</v>
      </c>
      <c r="I449" t="s">
        <v>16</v>
      </c>
      <c r="J449" t="s">
        <v>93</v>
      </c>
      <c r="K449" t="s">
        <v>1339</v>
      </c>
      <c r="L449">
        <v>12.84</v>
      </c>
      <c r="M449">
        <v>3</v>
      </c>
      <c r="N449" t="str">
        <f>IF(Walmart[[#This Row],[Quantity]]&gt;=7,"Bulk",IF(Walmart[[#This Row],[Quantity]]&gt;=2,"Multi","Single"))</f>
        <v>Multi</v>
      </c>
      <c r="O449">
        <v>5.78</v>
      </c>
      <c r="P449" t="str">
        <f>IF(Walmart[[#This Row],[Sales]]&gt;=1000,"High Value", IF(Walmart[[#This Row],[Sales]]&gt;=500,"Medium Value","Low Value"))</f>
        <v>Low Value</v>
      </c>
    </row>
    <row r="450" spans="1:16" hidden="1" x14ac:dyDescent="0.3">
      <c r="A450" t="s">
        <v>1340</v>
      </c>
      <c r="B450" s="1">
        <v>41115</v>
      </c>
      <c r="C450" s="1" t="str">
        <f>TEXT(Walmart[[#This Row],[Order Date]],"mmmm")</f>
        <v>July</v>
      </c>
      <c r="D450" s="1">
        <v>41117</v>
      </c>
      <c r="E450" s="1" t="str">
        <f>IF(DATEDIF(Walmart[[#This Row],[Order Date]],Walmart[[#This Row],[Ship Date]],"D")&lt;7,"On time","Delayed")</f>
        <v>On time</v>
      </c>
      <c r="F450" t="s">
        <v>1341</v>
      </c>
      <c r="G450" t="s">
        <v>14</v>
      </c>
      <c r="H450" t="s">
        <v>25</v>
      </c>
      <c r="I450" t="s">
        <v>26</v>
      </c>
      <c r="J450" t="s">
        <v>191</v>
      </c>
      <c r="K450" t="s">
        <v>1342</v>
      </c>
      <c r="L450">
        <v>9.42</v>
      </c>
      <c r="M450">
        <v>2</v>
      </c>
      <c r="N450" t="str">
        <f>IF(Walmart[[#This Row],[Quantity]]&gt;=7,"Bulk",IF(Walmart[[#This Row],[Quantity]]&gt;=2,"Multi","Single"))</f>
        <v>Multi</v>
      </c>
      <c r="O450">
        <v>0.47</v>
      </c>
      <c r="P450" t="str">
        <f>IF(Walmart[[#This Row],[Sales]]&gt;=1000,"High Value", IF(Walmart[[#This Row],[Sales]]&gt;=500,"Medium Value","Low Value"))</f>
        <v>Low Value</v>
      </c>
    </row>
    <row r="451" spans="1:16" hidden="1" x14ac:dyDescent="0.3">
      <c r="A451" t="s">
        <v>1343</v>
      </c>
      <c r="B451" s="1">
        <v>41400</v>
      </c>
      <c r="C451" s="1" t="str">
        <f>TEXT(Walmart[[#This Row],[Order Date]],"mmmm")</f>
        <v>May</v>
      </c>
      <c r="D451" s="1">
        <v>41403</v>
      </c>
      <c r="E451" s="1" t="str">
        <f>IF(DATEDIF(Walmart[[#This Row],[Order Date]],Walmart[[#This Row],[Ship Date]],"D")&lt;7,"On time","Delayed")</f>
        <v>On time</v>
      </c>
      <c r="F451" t="s">
        <v>1344</v>
      </c>
      <c r="G451" t="s">
        <v>14</v>
      </c>
      <c r="H451" t="s">
        <v>571</v>
      </c>
      <c r="I451" t="s">
        <v>16</v>
      </c>
      <c r="J451" t="s">
        <v>27</v>
      </c>
      <c r="K451" t="s">
        <v>1345</v>
      </c>
      <c r="L451">
        <v>6.72</v>
      </c>
      <c r="M451">
        <v>5</v>
      </c>
      <c r="N451" t="str">
        <f>IF(Walmart[[#This Row],[Quantity]]&gt;=7,"Bulk",IF(Walmart[[#This Row],[Quantity]]&gt;=2,"Multi","Single"))</f>
        <v>Multi</v>
      </c>
      <c r="O451">
        <v>2.35</v>
      </c>
      <c r="P451" t="str">
        <f>IF(Walmart[[#This Row],[Sales]]&gt;=1000,"High Value", IF(Walmart[[#This Row],[Sales]]&gt;=500,"Medium Value","Low Value"))</f>
        <v>Low Value</v>
      </c>
    </row>
    <row r="452" spans="1:16" x14ac:dyDescent="0.3">
      <c r="A452" t="s">
        <v>232</v>
      </c>
      <c r="B452" s="1">
        <v>41947</v>
      </c>
      <c r="C452" s="1" t="str">
        <f>TEXT(Walmart[[#This Row],[Order Date]],"mmmm")</f>
        <v>November</v>
      </c>
      <c r="D452" s="1">
        <v>41951</v>
      </c>
      <c r="E452" s="1" t="str">
        <f>IF(DATEDIF(Walmart[[#This Row],[Order Date]],Walmart[[#This Row],[Ship Date]],"D")&lt;7,"On time","Delayed")</f>
        <v>On time</v>
      </c>
      <c r="F452" t="s">
        <v>233</v>
      </c>
      <c r="G452" t="s">
        <v>14</v>
      </c>
      <c r="H452" t="s">
        <v>25</v>
      </c>
      <c r="I452" t="s">
        <v>26</v>
      </c>
      <c r="J452" t="s">
        <v>93</v>
      </c>
      <c r="K452" t="s">
        <v>234</v>
      </c>
      <c r="L452">
        <v>139.86000000000001</v>
      </c>
      <c r="M452">
        <v>7</v>
      </c>
      <c r="N452" t="str">
        <f>IF(Walmart[[#This Row],[Quantity]]&gt;=7,"Bulk",IF(Walmart[[#This Row],[Quantity]]&gt;=2,"Multi","Single"))</f>
        <v>Bulk</v>
      </c>
      <c r="O452">
        <v>65.73</v>
      </c>
      <c r="P452" t="str">
        <f>IF(Walmart[[#This Row],[Sales]]&gt;=1000,"High Value", IF(Walmart[[#This Row],[Sales]]&gt;=500,"Medium Value","Low Value"))</f>
        <v>Low Value</v>
      </c>
    </row>
    <row r="453" spans="1:16" hidden="1" x14ac:dyDescent="0.3">
      <c r="A453" t="s">
        <v>1348</v>
      </c>
      <c r="B453" s="1">
        <v>40848</v>
      </c>
      <c r="C453" s="1" t="str">
        <f>TEXT(Walmart[[#This Row],[Order Date]],"mmmm")</f>
        <v>November</v>
      </c>
      <c r="D453" s="1">
        <v>40852</v>
      </c>
      <c r="E453" s="1" t="str">
        <f>IF(DATEDIF(Walmart[[#This Row],[Order Date]],Walmart[[#This Row],[Ship Date]],"D")&lt;7,"On time","Delayed")</f>
        <v>On time</v>
      </c>
      <c r="F453" t="s">
        <v>1349</v>
      </c>
      <c r="G453" t="s">
        <v>14</v>
      </c>
      <c r="H453" t="s">
        <v>68</v>
      </c>
      <c r="I453" t="s">
        <v>69</v>
      </c>
      <c r="J453" t="s">
        <v>33</v>
      </c>
      <c r="K453" t="s">
        <v>1350</v>
      </c>
      <c r="L453">
        <v>443.92</v>
      </c>
      <c r="M453">
        <v>5</v>
      </c>
      <c r="N453" t="str">
        <f>IF(Walmart[[#This Row],[Quantity]]&gt;=7,"Bulk",IF(Walmart[[#This Row],[Quantity]]&gt;=2,"Multi","Single"))</f>
        <v>Multi</v>
      </c>
      <c r="O453">
        <v>-94.33</v>
      </c>
      <c r="P453" t="str">
        <f>IF(Walmart[[#This Row],[Sales]]&gt;=1000,"High Value", IF(Walmart[[#This Row],[Sales]]&gt;=500,"Medium Value","Low Value"))</f>
        <v>Low Value</v>
      </c>
    </row>
    <row r="454" spans="1:16" x14ac:dyDescent="0.3">
      <c r="A454" t="s">
        <v>1334</v>
      </c>
      <c r="B454" s="1">
        <v>41947</v>
      </c>
      <c r="C454" s="1" t="str">
        <f>TEXT(Walmart[[#This Row],[Order Date]],"mmmm")</f>
        <v>November</v>
      </c>
      <c r="D454" s="1">
        <v>41952</v>
      </c>
      <c r="E454" s="1" t="str">
        <f>IF(DATEDIF(Walmart[[#This Row],[Order Date]],Walmart[[#This Row],[Ship Date]],"D")&lt;7,"On time","Delayed")</f>
        <v>On time</v>
      </c>
      <c r="F454" t="s">
        <v>1335</v>
      </c>
      <c r="G454" t="s">
        <v>14</v>
      </c>
      <c r="H454" t="s">
        <v>1297</v>
      </c>
      <c r="I454" t="s">
        <v>123</v>
      </c>
      <c r="J454" t="s">
        <v>21</v>
      </c>
      <c r="K454" t="s">
        <v>1336</v>
      </c>
      <c r="L454">
        <v>41.37</v>
      </c>
      <c r="M454">
        <v>3</v>
      </c>
      <c r="N454" t="str">
        <f>IF(Walmart[[#This Row],[Quantity]]&gt;=7,"Bulk",IF(Walmart[[#This Row],[Quantity]]&gt;=2,"Multi","Single"))</f>
        <v>Multi</v>
      </c>
      <c r="O454">
        <v>17.38</v>
      </c>
      <c r="P454" t="str">
        <f>IF(Walmart[[#This Row],[Sales]]&gt;=1000,"High Value", IF(Walmart[[#This Row],[Sales]]&gt;=500,"Medium Value","Low Value"))</f>
        <v>Low Value</v>
      </c>
    </row>
    <row r="455" spans="1:16" hidden="1" x14ac:dyDescent="0.3">
      <c r="A455" t="s">
        <v>1352</v>
      </c>
      <c r="B455" s="1">
        <v>41513</v>
      </c>
      <c r="C455" s="1" t="str">
        <f>TEXT(Walmart[[#This Row],[Order Date]],"mmmm")</f>
        <v>August</v>
      </c>
      <c r="D455" s="1">
        <v>41516</v>
      </c>
      <c r="E455" s="1" t="str">
        <f>IF(DATEDIF(Walmart[[#This Row],[Order Date]],Walmart[[#This Row],[Ship Date]],"D")&lt;7,"On time","Delayed")</f>
        <v>On time</v>
      </c>
      <c r="F455" t="s">
        <v>1353</v>
      </c>
      <c r="G455" t="s">
        <v>14</v>
      </c>
      <c r="H455" t="s">
        <v>160</v>
      </c>
      <c r="I455" t="s">
        <v>16</v>
      </c>
      <c r="J455" t="s">
        <v>88</v>
      </c>
      <c r="K455" t="s">
        <v>1354</v>
      </c>
      <c r="L455">
        <v>1603.14</v>
      </c>
      <c r="M455">
        <v>4</v>
      </c>
      <c r="N455" t="str">
        <f>IF(Walmart[[#This Row],[Quantity]]&gt;=7,"Bulk",IF(Walmart[[#This Row],[Quantity]]&gt;=2,"Multi","Single"))</f>
        <v>Multi</v>
      </c>
      <c r="O455">
        <v>100.2</v>
      </c>
      <c r="P455" t="str">
        <f>IF(Walmart[[#This Row],[Sales]]&gt;=1000,"High Value", IF(Walmart[[#This Row],[Sales]]&gt;=500,"Medium Value","Low Value"))</f>
        <v>High Value</v>
      </c>
    </row>
    <row r="456" spans="1:16" x14ac:dyDescent="0.3">
      <c r="A456" t="s">
        <v>2143</v>
      </c>
      <c r="B456" s="1">
        <v>41947</v>
      </c>
      <c r="C456" s="1" t="str">
        <f>TEXT(Walmart[[#This Row],[Order Date]],"mmmm")</f>
        <v>November</v>
      </c>
      <c r="D456" s="1">
        <v>41949</v>
      </c>
      <c r="E456" s="1" t="str">
        <f>IF(DATEDIF(Walmart[[#This Row],[Order Date]],Walmart[[#This Row],[Ship Date]],"D")&lt;7,"On time","Delayed")</f>
        <v>On time</v>
      </c>
      <c r="F456" t="s">
        <v>2144</v>
      </c>
      <c r="G456" t="s">
        <v>14</v>
      </c>
      <c r="H456" t="s">
        <v>25</v>
      </c>
      <c r="I456" t="s">
        <v>26</v>
      </c>
      <c r="J456" t="s">
        <v>53</v>
      </c>
      <c r="K456" t="s">
        <v>1577</v>
      </c>
      <c r="L456">
        <v>43.5</v>
      </c>
      <c r="M456">
        <v>3</v>
      </c>
      <c r="N456" t="str">
        <f>IF(Walmart[[#This Row],[Quantity]]&gt;=7,"Bulk",IF(Walmart[[#This Row],[Quantity]]&gt;=2,"Multi","Single"))</f>
        <v>Multi</v>
      </c>
      <c r="O456">
        <v>10.88</v>
      </c>
      <c r="P456" t="str">
        <f>IF(Walmart[[#This Row],[Sales]]&gt;=1000,"High Value", IF(Walmart[[#This Row],[Sales]]&gt;=500,"Medium Value","Low Value"))</f>
        <v>Low Value</v>
      </c>
    </row>
    <row r="457" spans="1:16" hidden="1" x14ac:dyDescent="0.3">
      <c r="A457" t="s">
        <v>1356</v>
      </c>
      <c r="B457" s="1">
        <v>40624</v>
      </c>
      <c r="C457" s="1" t="str">
        <f>TEXT(Walmart[[#This Row],[Order Date]],"mmmm")</f>
        <v>March</v>
      </c>
      <c r="D457" s="1">
        <v>40628</v>
      </c>
      <c r="E457" s="1" t="str">
        <f>IF(DATEDIF(Walmart[[#This Row],[Order Date]],Walmart[[#This Row],[Ship Date]],"D")&lt;7,"On time","Delayed")</f>
        <v>On time</v>
      </c>
      <c r="F457" t="s">
        <v>1357</v>
      </c>
      <c r="G457" t="s">
        <v>14</v>
      </c>
      <c r="H457" t="s">
        <v>215</v>
      </c>
      <c r="I457" t="s">
        <v>58</v>
      </c>
      <c r="J457" t="s">
        <v>93</v>
      </c>
      <c r="K457" t="s">
        <v>1358</v>
      </c>
      <c r="L457">
        <v>74.349999999999994</v>
      </c>
      <c r="M457">
        <v>3</v>
      </c>
      <c r="N457" t="str">
        <f>IF(Walmart[[#This Row],[Quantity]]&gt;=7,"Bulk",IF(Walmart[[#This Row],[Quantity]]&gt;=2,"Multi","Single"))</f>
        <v>Multi</v>
      </c>
      <c r="O457">
        <v>23.24</v>
      </c>
      <c r="P457" t="str">
        <f>IF(Walmart[[#This Row],[Sales]]&gt;=1000,"High Value", IF(Walmart[[#This Row],[Sales]]&gt;=500,"Medium Value","Low Value"))</f>
        <v>Low Value</v>
      </c>
    </row>
    <row r="458" spans="1:16" x14ac:dyDescent="0.3">
      <c r="A458" t="s">
        <v>2311</v>
      </c>
      <c r="B458" s="1">
        <v>41947</v>
      </c>
      <c r="C458" s="1" t="str">
        <f>TEXT(Walmart[[#This Row],[Order Date]],"mmmm")</f>
        <v>November</v>
      </c>
      <c r="D458" s="1">
        <v>41952</v>
      </c>
      <c r="E458" s="1" t="str">
        <f>IF(DATEDIF(Walmart[[#This Row],[Order Date]],Walmart[[#This Row],[Ship Date]],"D")&lt;7,"On time","Delayed")</f>
        <v>On time</v>
      </c>
      <c r="F458" t="s">
        <v>914</v>
      </c>
      <c r="G458" t="s">
        <v>14</v>
      </c>
      <c r="H458" t="s">
        <v>37</v>
      </c>
      <c r="I458" t="s">
        <v>16</v>
      </c>
      <c r="J458" t="s">
        <v>93</v>
      </c>
      <c r="K458" t="s">
        <v>2312</v>
      </c>
      <c r="L458">
        <v>35.880000000000003</v>
      </c>
      <c r="M458">
        <v>6</v>
      </c>
      <c r="N458" t="str">
        <f>IF(Walmart[[#This Row],[Quantity]]&gt;=7,"Bulk",IF(Walmart[[#This Row],[Quantity]]&gt;=2,"Multi","Single"))</f>
        <v>Multi</v>
      </c>
      <c r="O458">
        <v>17.579999999999998</v>
      </c>
      <c r="P458" t="str">
        <f>IF(Walmart[[#This Row],[Sales]]&gt;=1000,"High Value", IF(Walmart[[#This Row],[Sales]]&gt;=500,"Medium Value","Low Value"))</f>
        <v>Low Value</v>
      </c>
    </row>
    <row r="459" spans="1:16" x14ac:dyDescent="0.3">
      <c r="A459" t="s">
        <v>3009</v>
      </c>
      <c r="B459" s="1">
        <v>41947</v>
      </c>
      <c r="C459" s="1" t="str">
        <f>TEXT(Walmart[[#This Row],[Order Date]],"mmmm")</f>
        <v>November</v>
      </c>
      <c r="D459" s="1">
        <v>41949</v>
      </c>
      <c r="E459" s="1" t="str">
        <f>IF(DATEDIF(Walmart[[#This Row],[Order Date]],Walmart[[#This Row],[Ship Date]],"D")&lt;7,"On time","Delayed")</f>
        <v>On time</v>
      </c>
      <c r="F459" t="s">
        <v>2500</v>
      </c>
      <c r="G459" t="s">
        <v>14</v>
      </c>
      <c r="H459" t="s">
        <v>160</v>
      </c>
      <c r="I459" t="s">
        <v>16</v>
      </c>
      <c r="J459" t="s">
        <v>53</v>
      </c>
      <c r="K459" t="s">
        <v>165</v>
      </c>
      <c r="L459">
        <v>199.75</v>
      </c>
      <c r="M459">
        <v>5</v>
      </c>
      <c r="N459" t="str">
        <f>IF(Walmart[[#This Row],[Quantity]]&gt;=7,"Bulk",IF(Walmart[[#This Row],[Quantity]]&gt;=2,"Multi","Single"))</f>
        <v>Multi</v>
      </c>
      <c r="O459">
        <v>87.89</v>
      </c>
      <c r="P459" t="str">
        <f>IF(Walmart[[#This Row],[Sales]]&gt;=1000,"High Value", IF(Walmart[[#This Row],[Sales]]&gt;=500,"Medium Value","Low Value"))</f>
        <v>Low Value</v>
      </c>
    </row>
    <row r="460" spans="1:16" hidden="1" x14ac:dyDescent="0.3">
      <c r="A460" t="s">
        <v>1364</v>
      </c>
      <c r="B460" s="1">
        <v>41295</v>
      </c>
      <c r="C460" s="1" t="str">
        <f>TEXT(Walmart[[#This Row],[Order Date]],"mmmm")</f>
        <v>January</v>
      </c>
      <c r="D460" s="1">
        <v>41297</v>
      </c>
      <c r="E460" s="1" t="str">
        <f>IF(DATEDIF(Walmart[[#This Row],[Order Date]],Walmart[[#This Row],[Ship Date]],"D")&lt;7,"On time","Delayed")</f>
        <v>On time</v>
      </c>
      <c r="F460" t="s">
        <v>499</v>
      </c>
      <c r="G460" t="s">
        <v>14</v>
      </c>
      <c r="H460" t="s">
        <v>160</v>
      </c>
      <c r="I460" t="s">
        <v>16</v>
      </c>
      <c r="J460" t="s">
        <v>88</v>
      </c>
      <c r="K460" t="s">
        <v>1365</v>
      </c>
      <c r="L460">
        <v>153.57</v>
      </c>
      <c r="M460">
        <v>2</v>
      </c>
      <c r="N460" t="str">
        <f>IF(Walmart[[#This Row],[Quantity]]&gt;=7,"Bulk",IF(Walmart[[#This Row],[Quantity]]&gt;=2,"Multi","Single"))</f>
        <v>Multi</v>
      </c>
      <c r="O460">
        <v>-5.76</v>
      </c>
      <c r="P460" t="str">
        <f>IF(Walmart[[#This Row],[Sales]]&gt;=1000,"High Value", IF(Walmart[[#This Row],[Sales]]&gt;=500,"Medium Value","Low Value"))</f>
        <v>Low Value</v>
      </c>
    </row>
    <row r="461" spans="1:16" hidden="1" x14ac:dyDescent="0.3">
      <c r="A461" t="s">
        <v>1366</v>
      </c>
      <c r="B461" s="1">
        <v>41590</v>
      </c>
      <c r="C461" s="1" t="str">
        <f>TEXT(Walmart[[#This Row],[Order Date]],"mmmm")</f>
        <v>November</v>
      </c>
      <c r="D461" s="1">
        <v>41595</v>
      </c>
      <c r="E461" s="1" t="str">
        <f>IF(DATEDIF(Walmart[[#This Row],[Order Date]],Walmart[[#This Row],[Ship Date]],"D")&lt;7,"On time","Delayed")</f>
        <v>On time</v>
      </c>
      <c r="F461" t="s">
        <v>969</v>
      </c>
      <c r="G461" t="s">
        <v>14</v>
      </c>
      <c r="H461" t="s">
        <v>37</v>
      </c>
      <c r="I461" t="s">
        <v>16</v>
      </c>
      <c r="J461" t="s">
        <v>21</v>
      </c>
      <c r="K461" t="s">
        <v>1367</v>
      </c>
      <c r="L461">
        <v>6.96</v>
      </c>
      <c r="M461">
        <v>4</v>
      </c>
      <c r="N461" t="str">
        <f>IF(Walmart[[#This Row],[Quantity]]&gt;=7,"Bulk",IF(Walmart[[#This Row],[Quantity]]&gt;=2,"Multi","Single"))</f>
        <v>Multi</v>
      </c>
      <c r="O461">
        <v>2.23</v>
      </c>
      <c r="P461" t="str">
        <f>IF(Walmart[[#This Row],[Sales]]&gt;=1000,"High Value", IF(Walmart[[#This Row],[Sales]]&gt;=500,"Medium Value","Low Value"))</f>
        <v>Low Value</v>
      </c>
    </row>
    <row r="462" spans="1:16" hidden="1" x14ac:dyDescent="0.3">
      <c r="A462" t="s">
        <v>1368</v>
      </c>
      <c r="B462" s="1">
        <v>41304</v>
      </c>
      <c r="C462" s="1" t="str">
        <f>TEXT(Walmart[[#This Row],[Order Date]],"mmmm")</f>
        <v>January</v>
      </c>
      <c r="D462" s="1">
        <v>41308</v>
      </c>
      <c r="E462" s="1" t="str">
        <f>IF(DATEDIF(Walmart[[#This Row],[Order Date]],Walmart[[#This Row],[Ship Date]],"D")&lt;7,"On time","Delayed")</f>
        <v>On time</v>
      </c>
      <c r="F462" t="s">
        <v>318</v>
      </c>
      <c r="G462" t="s">
        <v>14</v>
      </c>
      <c r="H462" t="s">
        <v>37</v>
      </c>
      <c r="I462" t="s">
        <v>16</v>
      </c>
      <c r="J462" t="s">
        <v>27</v>
      </c>
      <c r="K462" t="s">
        <v>413</v>
      </c>
      <c r="L462">
        <v>17.46</v>
      </c>
      <c r="M462">
        <v>2</v>
      </c>
      <c r="N462" t="str">
        <f>IF(Walmart[[#This Row],[Quantity]]&gt;=7,"Bulk",IF(Walmart[[#This Row],[Quantity]]&gt;=2,"Multi","Single"))</f>
        <v>Multi</v>
      </c>
      <c r="O462">
        <v>5.89</v>
      </c>
      <c r="P462" t="str">
        <f>IF(Walmart[[#This Row],[Sales]]&gt;=1000,"High Value", IF(Walmart[[#This Row],[Sales]]&gt;=500,"Medium Value","Low Value"))</f>
        <v>Low Value</v>
      </c>
    </row>
    <row r="463" spans="1:16" hidden="1" x14ac:dyDescent="0.3">
      <c r="A463" t="s">
        <v>1369</v>
      </c>
      <c r="B463" s="1">
        <v>41566</v>
      </c>
      <c r="C463" s="1" t="str">
        <f>TEXT(Walmart[[#This Row],[Order Date]],"mmmm")</f>
        <v>October</v>
      </c>
      <c r="D463" s="1">
        <v>41570</v>
      </c>
      <c r="E463" s="1" t="str">
        <f>IF(DATEDIF(Walmart[[#This Row],[Order Date]],Walmart[[#This Row],[Ship Date]],"D")&lt;7,"On time","Delayed")</f>
        <v>On time</v>
      </c>
      <c r="F463" t="s">
        <v>1370</v>
      </c>
      <c r="G463" t="s">
        <v>14</v>
      </c>
      <c r="H463" t="s">
        <v>757</v>
      </c>
      <c r="I463" t="s">
        <v>58</v>
      </c>
      <c r="J463" t="s">
        <v>88</v>
      </c>
      <c r="K463" t="s">
        <v>1371</v>
      </c>
      <c r="L463">
        <v>307.92</v>
      </c>
      <c r="M463">
        <v>5</v>
      </c>
      <c r="N463" t="str">
        <f>IF(Walmart[[#This Row],[Quantity]]&gt;=7,"Bulk",IF(Walmart[[#This Row],[Quantity]]&gt;=2,"Multi","Single"))</f>
        <v>Multi</v>
      </c>
      <c r="O463">
        <v>-34.64</v>
      </c>
      <c r="P463" t="str">
        <f>IF(Walmart[[#This Row],[Sales]]&gt;=1000,"High Value", IF(Walmart[[#This Row],[Sales]]&gt;=500,"Medium Value","Low Value"))</f>
        <v>Low Value</v>
      </c>
    </row>
    <row r="464" spans="1:16" x14ac:dyDescent="0.3">
      <c r="A464" t="s">
        <v>3076</v>
      </c>
      <c r="B464" s="1">
        <v>41947</v>
      </c>
      <c r="C464" s="1" t="str">
        <f>TEXT(Walmart[[#This Row],[Order Date]],"mmmm")</f>
        <v>November</v>
      </c>
      <c r="D464" s="1">
        <v>41951</v>
      </c>
      <c r="E464" s="1" t="str">
        <f>IF(DATEDIF(Walmart[[#This Row],[Order Date]],Walmart[[#This Row],[Ship Date]],"D")&lt;7,"On time","Delayed")</f>
        <v>On time</v>
      </c>
      <c r="F464" t="s">
        <v>1711</v>
      </c>
      <c r="G464" t="s">
        <v>14</v>
      </c>
      <c r="H464" t="s">
        <v>25</v>
      </c>
      <c r="I464" t="s">
        <v>26</v>
      </c>
      <c r="J464" t="s">
        <v>27</v>
      </c>
      <c r="K464" t="s">
        <v>3077</v>
      </c>
      <c r="L464">
        <v>18.37</v>
      </c>
      <c r="M464">
        <v>4</v>
      </c>
      <c r="N464" t="str">
        <f>IF(Walmart[[#This Row],[Quantity]]&gt;=7,"Bulk",IF(Walmart[[#This Row],[Quantity]]&gt;=2,"Multi","Single"))</f>
        <v>Multi</v>
      </c>
      <c r="O464">
        <v>5.97</v>
      </c>
      <c r="P464" t="str">
        <f>IF(Walmart[[#This Row],[Sales]]&gt;=1000,"High Value", IF(Walmart[[#This Row],[Sales]]&gt;=500,"Medium Value","Low Value"))</f>
        <v>Low Value</v>
      </c>
    </row>
    <row r="465" spans="1:16" x14ac:dyDescent="0.3">
      <c r="A465" t="s">
        <v>3081</v>
      </c>
      <c r="B465" s="1">
        <v>41947</v>
      </c>
      <c r="C465" s="1" t="str">
        <f>TEXT(Walmart[[#This Row],[Order Date]],"mmmm")</f>
        <v>November</v>
      </c>
      <c r="D465" s="1">
        <v>41953</v>
      </c>
      <c r="E465" s="1" t="str">
        <f>IF(DATEDIF(Walmart[[#This Row],[Order Date]],Walmart[[#This Row],[Ship Date]],"D")&lt;7,"On time","Delayed")</f>
        <v>On time</v>
      </c>
      <c r="F465" t="s">
        <v>1764</v>
      </c>
      <c r="G465" t="s">
        <v>14</v>
      </c>
      <c r="H465" t="s">
        <v>1323</v>
      </c>
      <c r="I465" t="s">
        <v>16</v>
      </c>
      <c r="J465" t="s">
        <v>43</v>
      </c>
      <c r="K465" t="s">
        <v>2257</v>
      </c>
      <c r="L465">
        <v>486.37</v>
      </c>
      <c r="M465">
        <v>4</v>
      </c>
      <c r="N465" t="str">
        <f>IF(Walmart[[#This Row],[Quantity]]&gt;=7,"Bulk",IF(Walmart[[#This Row],[Quantity]]&gt;=2,"Multi","Single"))</f>
        <v>Multi</v>
      </c>
      <c r="O465">
        <v>36.479999999999997</v>
      </c>
      <c r="P465" t="str">
        <f>IF(Walmart[[#This Row],[Sales]]&gt;=1000,"High Value", IF(Walmart[[#This Row],[Sales]]&gt;=500,"Medium Value","Low Value"))</f>
        <v>Low Value</v>
      </c>
    </row>
    <row r="466" spans="1:16" hidden="1" x14ac:dyDescent="0.3">
      <c r="A466" t="s">
        <v>1376</v>
      </c>
      <c r="B466" s="1">
        <v>40812</v>
      </c>
      <c r="C466" s="1" t="str">
        <f>TEXT(Walmart[[#This Row],[Order Date]],"mmmm")</f>
        <v>September</v>
      </c>
      <c r="D466" s="1">
        <v>40816</v>
      </c>
      <c r="E466" s="1" t="str">
        <f>IF(DATEDIF(Walmart[[#This Row],[Order Date]],Walmart[[#This Row],[Ship Date]],"D")&lt;7,"On time","Delayed")</f>
        <v>On time</v>
      </c>
      <c r="F466" t="s">
        <v>782</v>
      </c>
      <c r="G466" t="s">
        <v>14</v>
      </c>
      <c r="H466" t="s">
        <v>25</v>
      </c>
      <c r="I466" t="s">
        <v>26</v>
      </c>
      <c r="J466" t="s">
        <v>33</v>
      </c>
      <c r="K466" t="s">
        <v>1377</v>
      </c>
      <c r="L466">
        <v>310.12</v>
      </c>
      <c r="M466">
        <v>2</v>
      </c>
      <c r="N466" t="str">
        <f>IF(Walmart[[#This Row],[Quantity]]&gt;=7,"Bulk",IF(Walmart[[#This Row],[Quantity]]&gt;=2,"Multi","Single"))</f>
        <v>Multi</v>
      </c>
      <c r="O466">
        <v>80.63</v>
      </c>
      <c r="P466" t="str">
        <f>IF(Walmart[[#This Row],[Sales]]&gt;=1000,"High Value", IF(Walmart[[#This Row],[Sales]]&gt;=500,"Medium Value","Low Value"))</f>
        <v>Low Value</v>
      </c>
    </row>
    <row r="467" spans="1:16" x14ac:dyDescent="0.3">
      <c r="A467" t="s">
        <v>1373</v>
      </c>
      <c r="B467" s="1">
        <v>41946</v>
      </c>
      <c r="C467" s="1" t="str">
        <f>TEXT(Walmart[[#This Row],[Order Date]],"mmmm")</f>
        <v>November</v>
      </c>
      <c r="D467" s="1">
        <v>41950</v>
      </c>
      <c r="E467" s="1" t="str">
        <f>IF(DATEDIF(Walmart[[#This Row],[Order Date]],Walmart[[#This Row],[Ship Date]],"D")&lt;7,"On time","Delayed")</f>
        <v>On time</v>
      </c>
      <c r="F467" t="s">
        <v>1374</v>
      </c>
      <c r="G467" t="s">
        <v>14</v>
      </c>
      <c r="H467" t="s">
        <v>25</v>
      </c>
      <c r="I467" t="s">
        <v>26</v>
      </c>
      <c r="J467" t="s">
        <v>93</v>
      </c>
      <c r="K467" t="s">
        <v>1375</v>
      </c>
      <c r="L467">
        <v>23.85</v>
      </c>
      <c r="M467">
        <v>5</v>
      </c>
      <c r="N467" t="str">
        <f>IF(Walmart[[#This Row],[Quantity]]&gt;=7,"Bulk",IF(Walmart[[#This Row],[Quantity]]&gt;=2,"Multi","Single"))</f>
        <v>Multi</v>
      </c>
      <c r="O467">
        <v>10.73</v>
      </c>
      <c r="P467" t="str">
        <f>IF(Walmart[[#This Row],[Sales]]&gt;=1000,"High Value", IF(Walmart[[#This Row],[Sales]]&gt;=500,"Medium Value","Low Value"))</f>
        <v>Low Value</v>
      </c>
    </row>
    <row r="468" spans="1:16" x14ac:dyDescent="0.3">
      <c r="A468" t="s">
        <v>1906</v>
      </c>
      <c r="B468" s="1">
        <v>41946</v>
      </c>
      <c r="C468" s="1" t="str">
        <f>TEXT(Walmart[[#This Row],[Order Date]],"mmmm")</f>
        <v>November</v>
      </c>
      <c r="D468" s="1">
        <v>41948</v>
      </c>
      <c r="E468" s="1" t="str">
        <f>IF(DATEDIF(Walmart[[#This Row],[Order Date]],Walmart[[#This Row],[Ship Date]],"D")&lt;7,"On time","Delayed")</f>
        <v>On time</v>
      </c>
      <c r="F468" t="s">
        <v>1263</v>
      </c>
      <c r="G468" t="s">
        <v>14</v>
      </c>
      <c r="H468" t="s">
        <v>1907</v>
      </c>
      <c r="I468" t="s">
        <v>16</v>
      </c>
      <c r="J468" t="s">
        <v>124</v>
      </c>
      <c r="K468" t="s">
        <v>497</v>
      </c>
      <c r="L468">
        <v>76.58</v>
      </c>
      <c r="M468">
        <v>7</v>
      </c>
      <c r="N468" t="str">
        <f>IF(Walmart[[#This Row],[Quantity]]&gt;=7,"Bulk",IF(Walmart[[#This Row],[Quantity]]&gt;=2,"Multi","Single"))</f>
        <v>Bulk</v>
      </c>
      <c r="O468">
        <v>38.29</v>
      </c>
      <c r="P468" t="str">
        <f>IF(Walmart[[#This Row],[Sales]]&gt;=1000,"High Value", IF(Walmart[[#This Row],[Sales]]&gt;=500,"Medium Value","Low Value"))</f>
        <v>Low Value</v>
      </c>
    </row>
    <row r="469" spans="1:16" hidden="1" x14ac:dyDescent="0.3">
      <c r="A469" t="s">
        <v>1382</v>
      </c>
      <c r="B469" s="1">
        <v>41129</v>
      </c>
      <c r="C469" s="1" t="str">
        <f>TEXT(Walmart[[#This Row],[Order Date]],"mmmm")</f>
        <v>August</v>
      </c>
      <c r="D469" s="1">
        <v>41129</v>
      </c>
      <c r="E469" s="1" t="str">
        <f>IF(DATEDIF(Walmart[[#This Row],[Order Date]],Walmart[[#This Row],[Ship Date]],"D")&lt;7,"On time","Delayed")</f>
        <v>On time</v>
      </c>
      <c r="F469" t="s">
        <v>1383</v>
      </c>
      <c r="G469" t="s">
        <v>14</v>
      </c>
      <c r="H469" t="s">
        <v>37</v>
      </c>
      <c r="I469" t="s">
        <v>16</v>
      </c>
      <c r="J469" t="s">
        <v>27</v>
      </c>
      <c r="K469" t="s">
        <v>626</v>
      </c>
      <c r="L469">
        <v>6.61</v>
      </c>
      <c r="M469">
        <v>2</v>
      </c>
      <c r="N469" t="str">
        <f>IF(Walmart[[#This Row],[Quantity]]&gt;=7,"Bulk",IF(Walmart[[#This Row],[Quantity]]&gt;=2,"Multi","Single"))</f>
        <v>Multi</v>
      </c>
      <c r="O469">
        <v>2.23</v>
      </c>
      <c r="P469" t="str">
        <f>IF(Walmart[[#This Row],[Sales]]&gt;=1000,"High Value", IF(Walmart[[#This Row],[Sales]]&gt;=500,"Medium Value","Low Value"))</f>
        <v>Low Value</v>
      </c>
    </row>
    <row r="470" spans="1:16" hidden="1" x14ac:dyDescent="0.3">
      <c r="A470" t="s">
        <v>1384</v>
      </c>
      <c r="B470" s="1">
        <v>41615</v>
      </c>
      <c r="C470" s="1" t="str">
        <f>TEXT(Walmart[[#This Row],[Order Date]],"mmmm")</f>
        <v>December</v>
      </c>
      <c r="D470" s="1">
        <v>41621</v>
      </c>
      <c r="E470" s="1" t="str">
        <f>IF(DATEDIF(Walmart[[#This Row],[Order Date]],Walmart[[#This Row],[Ship Date]],"D")&lt;7,"On time","Delayed")</f>
        <v>On time</v>
      </c>
      <c r="F470" t="s">
        <v>1385</v>
      </c>
      <c r="G470" t="s">
        <v>14</v>
      </c>
      <c r="H470" t="s">
        <v>25</v>
      </c>
      <c r="I470" t="s">
        <v>26</v>
      </c>
      <c r="J470" t="s">
        <v>146</v>
      </c>
      <c r="K470" t="s">
        <v>1386</v>
      </c>
      <c r="L470">
        <v>156.79</v>
      </c>
      <c r="M470">
        <v>1</v>
      </c>
      <c r="N470" t="str">
        <f>IF(Walmart[[#This Row],[Quantity]]&gt;=7,"Bulk",IF(Walmart[[#This Row],[Quantity]]&gt;=2,"Multi","Single"))</f>
        <v>Single</v>
      </c>
      <c r="O470">
        <v>13.72</v>
      </c>
      <c r="P470" t="str">
        <f>IF(Walmart[[#This Row],[Sales]]&gt;=1000,"High Value", IF(Walmart[[#This Row],[Sales]]&gt;=500,"Medium Value","Low Value"))</f>
        <v>Low Value</v>
      </c>
    </row>
    <row r="471" spans="1:16" x14ac:dyDescent="0.3">
      <c r="A471" t="s">
        <v>2289</v>
      </c>
      <c r="B471" s="1">
        <v>41946</v>
      </c>
      <c r="C471" s="1" t="str">
        <f>TEXT(Walmart[[#This Row],[Order Date]],"mmmm")</f>
        <v>November</v>
      </c>
      <c r="D471" s="1">
        <v>41951</v>
      </c>
      <c r="E471" s="1" t="str">
        <f>IF(DATEDIF(Walmart[[#This Row],[Order Date]],Walmart[[#This Row],[Ship Date]],"D")&lt;7,"On time","Delayed")</f>
        <v>On time</v>
      </c>
      <c r="F471" t="s">
        <v>2290</v>
      </c>
      <c r="G471" t="s">
        <v>14</v>
      </c>
      <c r="H471" t="s">
        <v>1051</v>
      </c>
      <c r="I471" t="s">
        <v>32</v>
      </c>
      <c r="J471" t="s">
        <v>93</v>
      </c>
      <c r="K471" t="s">
        <v>1453</v>
      </c>
      <c r="L471">
        <v>19.440000000000001</v>
      </c>
      <c r="M471">
        <v>3</v>
      </c>
      <c r="N471" t="str">
        <f>IF(Walmart[[#This Row],[Quantity]]&gt;=7,"Bulk",IF(Walmart[[#This Row],[Quantity]]&gt;=2,"Multi","Single"))</f>
        <v>Multi</v>
      </c>
      <c r="O471">
        <v>9.33</v>
      </c>
      <c r="P471" t="str">
        <f>IF(Walmart[[#This Row],[Sales]]&gt;=1000,"High Value", IF(Walmart[[#This Row],[Sales]]&gt;=500,"Medium Value","Low Value"))</f>
        <v>Low Value</v>
      </c>
    </row>
    <row r="472" spans="1:16" hidden="1" x14ac:dyDescent="0.3">
      <c r="A472" t="s">
        <v>1390</v>
      </c>
      <c r="B472" s="1">
        <v>41583</v>
      </c>
      <c r="C472" s="1" t="str">
        <f>TEXT(Walmart[[#This Row],[Order Date]],"mmmm")</f>
        <v>November</v>
      </c>
      <c r="D472" s="1">
        <v>41584</v>
      </c>
      <c r="E472" s="1" t="str">
        <f>IF(DATEDIF(Walmart[[#This Row],[Order Date]],Walmart[[#This Row],[Ship Date]],"D")&lt;7,"On time","Delayed")</f>
        <v>On time</v>
      </c>
      <c r="F472" t="s">
        <v>1391</v>
      </c>
      <c r="G472" t="s">
        <v>14</v>
      </c>
      <c r="H472" t="s">
        <v>37</v>
      </c>
      <c r="I472" t="s">
        <v>16</v>
      </c>
      <c r="J472" t="s">
        <v>21</v>
      </c>
      <c r="K472" t="s">
        <v>1392</v>
      </c>
      <c r="L472">
        <v>38.29</v>
      </c>
      <c r="M472">
        <v>7</v>
      </c>
      <c r="N472" t="str">
        <f>IF(Walmart[[#This Row],[Quantity]]&gt;=7,"Bulk",IF(Walmart[[#This Row],[Quantity]]&gt;=2,"Multi","Single"))</f>
        <v>Bulk</v>
      </c>
      <c r="O472">
        <v>16.46</v>
      </c>
      <c r="P472" t="str">
        <f>IF(Walmart[[#This Row],[Sales]]&gt;=1000,"High Value", IF(Walmart[[#This Row],[Sales]]&gt;=500,"Medium Value","Low Value"))</f>
        <v>Low Value</v>
      </c>
    </row>
    <row r="473" spans="1:16" x14ac:dyDescent="0.3">
      <c r="A473" t="s">
        <v>2646</v>
      </c>
      <c r="B473" s="1">
        <v>41946</v>
      </c>
      <c r="C473" s="1" t="str">
        <f>TEXT(Walmart[[#This Row],[Order Date]],"mmmm")</f>
        <v>November</v>
      </c>
      <c r="D473" s="1">
        <v>41951</v>
      </c>
      <c r="E473" s="1" t="str">
        <f>IF(DATEDIF(Walmart[[#This Row],[Order Date]],Walmart[[#This Row],[Ship Date]],"D")&lt;7,"On time","Delayed")</f>
        <v>On time</v>
      </c>
      <c r="F473" t="s">
        <v>1338</v>
      </c>
      <c r="G473" t="s">
        <v>14</v>
      </c>
      <c r="H473" t="s">
        <v>15</v>
      </c>
      <c r="I473" t="s">
        <v>16</v>
      </c>
      <c r="J473" t="s">
        <v>105</v>
      </c>
      <c r="K473" t="s">
        <v>2647</v>
      </c>
      <c r="L473">
        <v>168.1</v>
      </c>
      <c r="M473">
        <v>5</v>
      </c>
      <c r="N473" t="str">
        <f>IF(Walmart[[#This Row],[Quantity]]&gt;=7,"Bulk",IF(Walmart[[#This Row],[Quantity]]&gt;=2,"Multi","Single"))</f>
        <v>Multi</v>
      </c>
      <c r="O473">
        <v>43.71</v>
      </c>
      <c r="P473" t="str">
        <f>IF(Walmart[[#This Row],[Sales]]&gt;=1000,"High Value", IF(Walmart[[#This Row],[Sales]]&gt;=500,"Medium Value","Low Value"))</f>
        <v>Low Value</v>
      </c>
    </row>
    <row r="474" spans="1:16" x14ac:dyDescent="0.3">
      <c r="A474" t="s">
        <v>1229</v>
      </c>
      <c r="B474" s="1">
        <v>41945</v>
      </c>
      <c r="C474" s="1" t="str">
        <f>TEXT(Walmart[[#This Row],[Order Date]],"mmmm")</f>
        <v>November</v>
      </c>
      <c r="D474" s="1">
        <v>41947</v>
      </c>
      <c r="E474" s="1" t="str">
        <f>IF(DATEDIF(Walmart[[#This Row],[Order Date]],Walmart[[#This Row],[Ship Date]],"D")&lt;7,"On time","Delayed")</f>
        <v>On time</v>
      </c>
      <c r="F474" t="s">
        <v>327</v>
      </c>
      <c r="G474" t="s">
        <v>14</v>
      </c>
      <c r="H474" t="s">
        <v>1230</v>
      </c>
      <c r="I474" t="s">
        <v>26</v>
      </c>
      <c r="J474" t="s">
        <v>27</v>
      </c>
      <c r="K474" t="s">
        <v>1231</v>
      </c>
      <c r="L474">
        <v>25.12</v>
      </c>
      <c r="M474">
        <v>5</v>
      </c>
      <c r="N474" t="str">
        <f>IF(Walmart[[#This Row],[Quantity]]&gt;=7,"Bulk",IF(Walmart[[#This Row],[Quantity]]&gt;=2,"Multi","Single"))</f>
        <v>Multi</v>
      </c>
      <c r="O474">
        <v>7.85</v>
      </c>
      <c r="P474" t="str">
        <f>IF(Walmart[[#This Row],[Sales]]&gt;=1000,"High Value", IF(Walmart[[#This Row],[Sales]]&gt;=500,"Medium Value","Low Value"))</f>
        <v>Low Value</v>
      </c>
    </row>
    <row r="475" spans="1:16" hidden="1" x14ac:dyDescent="0.3">
      <c r="A475" t="s">
        <v>1398</v>
      </c>
      <c r="B475" s="1">
        <v>41267</v>
      </c>
      <c r="C475" s="1" t="str">
        <f>TEXT(Walmart[[#This Row],[Order Date]],"mmmm")</f>
        <v>December</v>
      </c>
      <c r="D475" s="1">
        <v>41272</v>
      </c>
      <c r="E475" s="1" t="str">
        <f>IF(DATEDIF(Walmart[[#This Row],[Order Date]],Walmart[[#This Row],[Ship Date]],"D")&lt;7,"On time","Delayed")</f>
        <v>On time</v>
      </c>
      <c r="F475" t="s">
        <v>660</v>
      </c>
      <c r="G475" t="s">
        <v>14</v>
      </c>
      <c r="H475" t="s">
        <v>15</v>
      </c>
      <c r="I475" t="s">
        <v>16</v>
      </c>
      <c r="J475" t="s">
        <v>27</v>
      </c>
      <c r="K475" t="s">
        <v>538</v>
      </c>
      <c r="L475">
        <v>19.940000000000001</v>
      </c>
      <c r="M475">
        <v>4</v>
      </c>
      <c r="N475" t="str">
        <f>IF(Walmart[[#This Row],[Quantity]]&gt;=7,"Bulk",IF(Walmart[[#This Row],[Quantity]]&gt;=2,"Multi","Single"))</f>
        <v>Multi</v>
      </c>
      <c r="O475">
        <v>7.23</v>
      </c>
      <c r="P475" t="str">
        <f>IF(Walmart[[#This Row],[Sales]]&gt;=1000,"High Value", IF(Walmart[[#This Row],[Sales]]&gt;=500,"Medium Value","Low Value"))</f>
        <v>Low Value</v>
      </c>
    </row>
    <row r="476" spans="1:16" x14ac:dyDescent="0.3">
      <c r="A476" t="s">
        <v>728</v>
      </c>
      <c r="B476" s="1">
        <v>41943</v>
      </c>
      <c r="C476" s="1" t="str">
        <f>TEXT(Walmart[[#This Row],[Order Date]],"mmmm")</f>
        <v>October</v>
      </c>
      <c r="D476" s="1">
        <v>41947</v>
      </c>
      <c r="E476" s="1" t="str">
        <f>IF(DATEDIF(Walmart[[#This Row],[Order Date]],Walmart[[#This Row],[Ship Date]],"D")&lt;7,"On time","Delayed")</f>
        <v>On time</v>
      </c>
      <c r="F476" t="s">
        <v>729</v>
      </c>
      <c r="G476" t="s">
        <v>14</v>
      </c>
      <c r="H476" t="s">
        <v>370</v>
      </c>
      <c r="I476" t="s">
        <v>26</v>
      </c>
      <c r="J476" t="s">
        <v>21</v>
      </c>
      <c r="K476" t="s">
        <v>730</v>
      </c>
      <c r="L476">
        <v>9.64</v>
      </c>
      <c r="M476">
        <v>2</v>
      </c>
      <c r="N476" t="str">
        <f>IF(Walmart[[#This Row],[Quantity]]&gt;=7,"Bulk",IF(Walmart[[#This Row],[Quantity]]&gt;=2,"Multi","Single"))</f>
        <v>Multi</v>
      </c>
      <c r="O476">
        <v>3.66</v>
      </c>
      <c r="P476" t="str">
        <f>IF(Walmart[[#This Row],[Sales]]&gt;=1000,"High Value", IF(Walmart[[#This Row],[Sales]]&gt;=500,"Medium Value","Low Value"))</f>
        <v>Low Value</v>
      </c>
    </row>
    <row r="477" spans="1:16" x14ac:dyDescent="0.3">
      <c r="A477" t="s">
        <v>825</v>
      </c>
      <c r="B477" s="1">
        <v>41943</v>
      </c>
      <c r="C477" s="1" t="str">
        <f>TEXT(Walmart[[#This Row],[Order Date]],"mmmm")</f>
        <v>October</v>
      </c>
      <c r="D477" s="1">
        <v>41950</v>
      </c>
      <c r="E477" s="1" t="str">
        <f>IF(DATEDIF(Walmart[[#This Row],[Order Date]],Walmart[[#This Row],[Ship Date]],"D")&lt;7,"On time","Delayed")</f>
        <v>Delayed</v>
      </c>
      <c r="F477" t="s">
        <v>826</v>
      </c>
      <c r="G477" t="s">
        <v>14</v>
      </c>
      <c r="H477" t="s">
        <v>25</v>
      </c>
      <c r="I477" t="s">
        <v>26</v>
      </c>
      <c r="J477" t="s">
        <v>27</v>
      </c>
      <c r="K477" t="s">
        <v>827</v>
      </c>
      <c r="L477">
        <v>88.75</v>
      </c>
      <c r="M477">
        <v>3</v>
      </c>
      <c r="N477" t="str">
        <f>IF(Walmart[[#This Row],[Quantity]]&gt;=7,"Bulk",IF(Walmart[[#This Row],[Quantity]]&gt;=2,"Multi","Single"))</f>
        <v>Multi</v>
      </c>
      <c r="O477">
        <v>27.74</v>
      </c>
      <c r="P477" t="str">
        <f>IF(Walmart[[#This Row],[Sales]]&gt;=1000,"High Value", IF(Walmart[[#This Row],[Sales]]&gt;=500,"Medium Value","Low Value"))</f>
        <v>Low Value</v>
      </c>
    </row>
    <row r="478" spans="1:16" hidden="1" x14ac:dyDescent="0.3">
      <c r="A478" t="s">
        <v>1403</v>
      </c>
      <c r="B478" s="1">
        <v>40736</v>
      </c>
      <c r="C478" s="1" t="str">
        <f>TEXT(Walmart[[#This Row],[Order Date]],"mmmm")</f>
        <v>July</v>
      </c>
      <c r="D478" s="1">
        <v>40742</v>
      </c>
      <c r="E478" s="1" t="str">
        <f>IF(DATEDIF(Walmart[[#This Row],[Order Date]],Walmart[[#This Row],[Ship Date]],"D")&lt;7,"On time","Delayed")</f>
        <v>On time</v>
      </c>
      <c r="F478" t="s">
        <v>411</v>
      </c>
      <c r="G478" t="s">
        <v>14</v>
      </c>
      <c r="H478" t="s">
        <v>25</v>
      </c>
      <c r="I478" t="s">
        <v>26</v>
      </c>
      <c r="J478" t="s">
        <v>88</v>
      </c>
      <c r="K478" t="s">
        <v>1404</v>
      </c>
      <c r="L478">
        <v>123.14</v>
      </c>
      <c r="M478">
        <v>4</v>
      </c>
      <c r="N478" t="str">
        <f>IF(Walmart[[#This Row],[Quantity]]&gt;=7,"Bulk",IF(Walmart[[#This Row],[Quantity]]&gt;=2,"Multi","Single"))</f>
        <v>Multi</v>
      </c>
      <c r="O478">
        <v>13.85</v>
      </c>
      <c r="P478" t="str">
        <f>IF(Walmart[[#This Row],[Sales]]&gt;=1000,"High Value", IF(Walmart[[#This Row],[Sales]]&gt;=500,"Medium Value","Low Value"))</f>
        <v>Low Value</v>
      </c>
    </row>
    <row r="479" spans="1:16" hidden="1" x14ac:dyDescent="0.3">
      <c r="A479" t="s">
        <v>1405</v>
      </c>
      <c r="B479" s="1">
        <v>40883</v>
      </c>
      <c r="C479" s="1" t="str">
        <f>TEXT(Walmart[[#This Row],[Order Date]],"mmmm")</f>
        <v>December</v>
      </c>
      <c r="D479" s="1">
        <v>40888</v>
      </c>
      <c r="E479" s="1" t="str">
        <f>IF(DATEDIF(Walmart[[#This Row],[Order Date]],Walmart[[#This Row],[Ship Date]],"D")&lt;7,"On time","Delayed")</f>
        <v>On time</v>
      </c>
      <c r="F479" t="s">
        <v>1406</v>
      </c>
      <c r="G479" t="s">
        <v>14</v>
      </c>
      <c r="H479" t="s">
        <v>926</v>
      </c>
      <c r="I479" t="s">
        <v>69</v>
      </c>
      <c r="J479" t="s">
        <v>33</v>
      </c>
      <c r="K479" t="s">
        <v>463</v>
      </c>
      <c r="L479">
        <v>53.42</v>
      </c>
      <c r="M479">
        <v>3</v>
      </c>
      <c r="N479" t="str">
        <f>IF(Walmart[[#This Row],[Quantity]]&gt;=7,"Bulk",IF(Walmart[[#This Row],[Quantity]]&gt;=2,"Multi","Single"))</f>
        <v>Multi</v>
      </c>
      <c r="O479">
        <v>4.67</v>
      </c>
      <c r="P479" t="str">
        <f>IF(Walmart[[#This Row],[Sales]]&gt;=1000,"High Value", IF(Walmart[[#This Row],[Sales]]&gt;=500,"Medium Value","Low Value"))</f>
        <v>Low Value</v>
      </c>
    </row>
    <row r="480" spans="1:16" hidden="1" x14ac:dyDescent="0.3">
      <c r="A480" t="s">
        <v>1407</v>
      </c>
      <c r="B480" s="1">
        <v>41326</v>
      </c>
      <c r="C480" s="1" t="str">
        <f>TEXT(Walmart[[#This Row],[Order Date]],"mmmm")</f>
        <v>February</v>
      </c>
      <c r="D480" s="1">
        <v>41331</v>
      </c>
      <c r="E480" s="1" t="str">
        <f>IF(DATEDIF(Walmart[[#This Row],[Order Date]],Walmart[[#This Row],[Ship Date]],"D")&lt;7,"On time","Delayed")</f>
        <v>On time</v>
      </c>
      <c r="F480" t="s">
        <v>1408</v>
      </c>
      <c r="G480" t="s">
        <v>14</v>
      </c>
      <c r="H480" t="s">
        <v>15</v>
      </c>
      <c r="I480" t="s">
        <v>16</v>
      </c>
      <c r="J480" t="s">
        <v>53</v>
      </c>
      <c r="K480" t="s">
        <v>1409</v>
      </c>
      <c r="L480">
        <v>12.99</v>
      </c>
      <c r="M480">
        <v>1</v>
      </c>
      <c r="N480" t="str">
        <f>IF(Walmart[[#This Row],[Quantity]]&gt;=7,"Bulk",IF(Walmart[[#This Row],[Quantity]]&gt;=2,"Multi","Single"))</f>
        <v>Single</v>
      </c>
      <c r="O480">
        <v>0.78</v>
      </c>
      <c r="P480" t="str">
        <f>IF(Walmart[[#This Row],[Sales]]&gt;=1000,"High Value", IF(Walmart[[#This Row],[Sales]]&gt;=500,"Medium Value","Low Value"))</f>
        <v>Low Value</v>
      </c>
    </row>
    <row r="481" spans="1:16" hidden="1" x14ac:dyDescent="0.3">
      <c r="A481" t="s">
        <v>1410</v>
      </c>
      <c r="B481" s="1">
        <v>41527</v>
      </c>
      <c r="C481" s="1" t="str">
        <f>TEXT(Walmart[[#This Row],[Order Date]],"mmmm")</f>
        <v>September</v>
      </c>
      <c r="D481" s="1">
        <v>41531</v>
      </c>
      <c r="E481" s="1" t="str">
        <f>IF(DATEDIF(Walmart[[#This Row],[Order Date]],Walmart[[#This Row],[Ship Date]],"D")&lt;7,"On time","Delayed")</f>
        <v>On time</v>
      </c>
      <c r="F481" t="s">
        <v>347</v>
      </c>
      <c r="G481" t="s">
        <v>14</v>
      </c>
      <c r="H481" t="s">
        <v>1028</v>
      </c>
      <c r="I481" t="s">
        <v>16</v>
      </c>
      <c r="J481" t="s">
        <v>27</v>
      </c>
      <c r="K481" t="s">
        <v>1411</v>
      </c>
      <c r="L481">
        <v>55.36</v>
      </c>
      <c r="M481">
        <v>4</v>
      </c>
      <c r="N481" t="str">
        <f>IF(Walmart[[#This Row],[Quantity]]&gt;=7,"Bulk",IF(Walmart[[#This Row],[Quantity]]&gt;=2,"Multi","Single"))</f>
        <v>Multi</v>
      </c>
      <c r="O481">
        <v>18.68</v>
      </c>
      <c r="P481" t="str">
        <f>IF(Walmart[[#This Row],[Sales]]&gt;=1000,"High Value", IF(Walmart[[#This Row],[Sales]]&gt;=500,"Medium Value","Low Value"))</f>
        <v>Low Value</v>
      </c>
    </row>
    <row r="482" spans="1:16" hidden="1" x14ac:dyDescent="0.3">
      <c r="A482" t="s">
        <v>1412</v>
      </c>
      <c r="B482" s="1">
        <v>40738</v>
      </c>
      <c r="C482" s="1" t="str">
        <f>TEXT(Walmart[[#This Row],[Order Date]],"mmmm")</f>
        <v>July</v>
      </c>
      <c r="D482" s="1">
        <v>40745</v>
      </c>
      <c r="E482" s="1" t="str">
        <f>IF(DATEDIF(Walmart[[#This Row],[Order Date]],Walmart[[#This Row],[Ship Date]],"D")&lt;7,"On time","Delayed")</f>
        <v>Delayed</v>
      </c>
      <c r="F482" t="s">
        <v>240</v>
      </c>
      <c r="G482" t="s">
        <v>14</v>
      </c>
      <c r="H482" t="s">
        <v>84</v>
      </c>
      <c r="I482" t="s">
        <v>58</v>
      </c>
      <c r="J482" t="s">
        <v>33</v>
      </c>
      <c r="K482" t="s">
        <v>1413</v>
      </c>
      <c r="L482">
        <v>55.92</v>
      </c>
      <c r="M482">
        <v>5</v>
      </c>
      <c r="N482" t="str">
        <f>IF(Walmart[[#This Row],[Quantity]]&gt;=7,"Bulk",IF(Walmart[[#This Row],[Quantity]]&gt;=2,"Multi","Single"))</f>
        <v>Multi</v>
      </c>
      <c r="O482">
        <v>6.29</v>
      </c>
      <c r="P482" t="str">
        <f>IF(Walmart[[#This Row],[Sales]]&gt;=1000,"High Value", IF(Walmart[[#This Row],[Sales]]&gt;=500,"Medium Value","Low Value"))</f>
        <v>Low Value</v>
      </c>
    </row>
    <row r="483" spans="1:16" hidden="1" x14ac:dyDescent="0.3">
      <c r="A483" t="s">
        <v>1414</v>
      </c>
      <c r="B483" s="1">
        <v>40840</v>
      </c>
      <c r="C483" s="1" t="str">
        <f>TEXT(Walmart[[#This Row],[Order Date]],"mmmm")</f>
        <v>October</v>
      </c>
      <c r="D483" s="1">
        <v>40845</v>
      </c>
      <c r="E483" s="1" t="str">
        <f>IF(DATEDIF(Walmart[[#This Row],[Order Date]],Walmart[[#This Row],[Ship Date]],"D")&lt;7,"On time","Delayed")</f>
        <v>On time</v>
      </c>
      <c r="F483" t="s">
        <v>298</v>
      </c>
      <c r="G483" t="s">
        <v>14</v>
      </c>
      <c r="H483" t="s">
        <v>1012</v>
      </c>
      <c r="I483" t="s">
        <v>16</v>
      </c>
      <c r="J483" t="s">
        <v>27</v>
      </c>
      <c r="K483" t="s">
        <v>1415</v>
      </c>
      <c r="L483">
        <v>34.270000000000003</v>
      </c>
      <c r="M483">
        <v>3</v>
      </c>
      <c r="N483" t="str">
        <f>IF(Walmart[[#This Row],[Quantity]]&gt;=7,"Bulk",IF(Walmart[[#This Row],[Quantity]]&gt;=2,"Multi","Single"))</f>
        <v>Multi</v>
      </c>
      <c r="O483">
        <v>11.14</v>
      </c>
      <c r="P483" t="str">
        <f>IF(Walmart[[#This Row],[Sales]]&gt;=1000,"High Value", IF(Walmart[[#This Row],[Sales]]&gt;=500,"Medium Value","Low Value"))</f>
        <v>Low Value</v>
      </c>
    </row>
    <row r="484" spans="1:16" x14ac:dyDescent="0.3">
      <c r="A484" t="s">
        <v>848</v>
      </c>
      <c r="B484" s="1">
        <v>41943</v>
      </c>
      <c r="C484" s="1" t="str">
        <f>TEXT(Walmart[[#This Row],[Order Date]],"mmmm")</f>
        <v>October</v>
      </c>
      <c r="D484" s="1">
        <v>41949</v>
      </c>
      <c r="E484" s="1" t="str">
        <f>IF(DATEDIF(Walmart[[#This Row],[Order Date]],Walmart[[#This Row],[Ship Date]],"D")&lt;7,"On time","Delayed")</f>
        <v>On time</v>
      </c>
      <c r="F484" t="s">
        <v>849</v>
      </c>
      <c r="G484" t="s">
        <v>14</v>
      </c>
      <c r="H484" t="s">
        <v>37</v>
      </c>
      <c r="I484" t="s">
        <v>16</v>
      </c>
      <c r="J484" t="s">
        <v>17</v>
      </c>
      <c r="K484" t="s">
        <v>850</v>
      </c>
      <c r="L484">
        <v>43.86</v>
      </c>
      <c r="M484">
        <v>6</v>
      </c>
      <c r="N484" t="str">
        <f>IF(Walmart[[#This Row],[Quantity]]&gt;=7,"Bulk",IF(Walmart[[#This Row],[Quantity]]&gt;=2,"Multi","Single"))</f>
        <v>Multi</v>
      </c>
      <c r="O484">
        <v>20.61</v>
      </c>
      <c r="P484" t="str">
        <f>IF(Walmart[[#This Row],[Sales]]&gt;=1000,"High Value", IF(Walmart[[#This Row],[Sales]]&gt;=500,"Medium Value","Low Value"))</f>
        <v>Low Value</v>
      </c>
    </row>
    <row r="485" spans="1:16" hidden="1" x14ac:dyDescent="0.3">
      <c r="A485" t="s">
        <v>1419</v>
      </c>
      <c r="B485" s="1">
        <v>41221</v>
      </c>
      <c r="C485" s="1" t="str">
        <f>TEXT(Walmart[[#This Row],[Order Date]],"mmmm")</f>
        <v>November</v>
      </c>
      <c r="D485" s="1">
        <v>41227</v>
      </c>
      <c r="E485" s="1" t="str">
        <f>IF(DATEDIF(Walmart[[#This Row],[Order Date]],Walmart[[#This Row],[Ship Date]],"D")&lt;7,"On time","Delayed")</f>
        <v>On time</v>
      </c>
      <c r="F485" t="s">
        <v>250</v>
      </c>
      <c r="G485" t="s">
        <v>14</v>
      </c>
      <c r="H485" t="s">
        <v>31</v>
      </c>
      <c r="I485" t="s">
        <v>32</v>
      </c>
      <c r="J485" t="s">
        <v>191</v>
      </c>
      <c r="K485" t="s">
        <v>1420</v>
      </c>
      <c r="L485">
        <v>5.04</v>
      </c>
      <c r="M485">
        <v>3</v>
      </c>
      <c r="N485" t="str">
        <f>IF(Walmart[[#This Row],[Quantity]]&gt;=7,"Bulk",IF(Walmart[[#This Row],[Quantity]]&gt;=2,"Multi","Single"))</f>
        <v>Multi</v>
      </c>
      <c r="O485">
        <v>0.2</v>
      </c>
      <c r="P485" t="str">
        <f>IF(Walmart[[#This Row],[Sales]]&gt;=1000,"High Value", IF(Walmart[[#This Row],[Sales]]&gt;=500,"Medium Value","Low Value"))</f>
        <v>Low Value</v>
      </c>
    </row>
    <row r="486" spans="1:16" hidden="1" x14ac:dyDescent="0.3">
      <c r="A486" t="s">
        <v>1421</v>
      </c>
      <c r="B486" s="1">
        <v>40779</v>
      </c>
      <c r="C486" s="1" t="str">
        <f>TEXT(Walmart[[#This Row],[Order Date]],"mmmm")</f>
        <v>August</v>
      </c>
      <c r="D486" s="1">
        <v>40779</v>
      </c>
      <c r="E486" s="1" t="str">
        <f>IF(DATEDIF(Walmart[[#This Row],[Order Date]],Walmart[[#This Row],[Ship Date]],"D")&lt;7,"On time","Delayed")</f>
        <v>On time</v>
      </c>
      <c r="F486" t="s">
        <v>829</v>
      </c>
      <c r="G486" t="s">
        <v>14</v>
      </c>
      <c r="H486" t="s">
        <v>1422</v>
      </c>
      <c r="I486" t="s">
        <v>286</v>
      </c>
      <c r="J486" t="s">
        <v>27</v>
      </c>
      <c r="K486" t="s">
        <v>1423</v>
      </c>
      <c r="L486">
        <v>8.2899999999999991</v>
      </c>
      <c r="M486">
        <v>2</v>
      </c>
      <c r="N486" t="str">
        <f>IF(Walmart[[#This Row],[Quantity]]&gt;=7,"Bulk",IF(Walmart[[#This Row],[Quantity]]&gt;=2,"Multi","Single"))</f>
        <v>Multi</v>
      </c>
      <c r="O486">
        <v>2.69</v>
      </c>
      <c r="P486" t="str">
        <f>IF(Walmart[[#This Row],[Sales]]&gt;=1000,"High Value", IF(Walmart[[#This Row],[Sales]]&gt;=500,"Medium Value","Low Value"))</f>
        <v>Low Value</v>
      </c>
    </row>
    <row r="487" spans="1:16" hidden="1" x14ac:dyDescent="0.3">
      <c r="A487" t="s">
        <v>1424</v>
      </c>
      <c r="B487" s="1">
        <v>41358</v>
      </c>
      <c r="C487" s="1" t="str">
        <f>TEXT(Walmart[[#This Row],[Order Date]],"mmmm")</f>
        <v>March</v>
      </c>
      <c r="D487" s="1">
        <v>41362</v>
      </c>
      <c r="E487" s="1" t="str">
        <f>IF(DATEDIF(Walmart[[#This Row],[Order Date]],Walmart[[#This Row],[Ship Date]],"D")&lt;7,"On time","Delayed")</f>
        <v>On time</v>
      </c>
      <c r="F487" t="s">
        <v>1425</v>
      </c>
      <c r="G487" t="s">
        <v>14</v>
      </c>
      <c r="H487" t="s">
        <v>1426</v>
      </c>
      <c r="I487" t="s">
        <v>69</v>
      </c>
      <c r="J487" t="s">
        <v>146</v>
      </c>
      <c r="K487" t="s">
        <v>1427</v>
      </c>
      <c r="L487">
        <v>403.17</v>
      </c>
      <c r="M487">
        <v>4</v>
      </c>
      <c r="N487" t="str">
        <f>IF(Walmart[[#This Row],[Quantity]]&gt;=7,"Bulk",IF(Walmart[[#This Row],[Quantity]]&gt;=2,"Multi","Single"))</f>
        <v>Multi</v>
      </c>
      <c r="O487">
        <v>25.2</v>
      </c>
      <c r="P487" t="str">
        <f>IF(Walmart[[#This Row],[Sales]]&gt;=1000,"High Value", IF(Walmart[[#This Row],[Sales]]&gt;=500,"Medium Value","Low Value"))</f>
        <v>Low Value</v>
      </c>
    </row>
    <row r="488" spans="1:16" hidden="1" x14ac:dyDescent="0.3">
      <c r="A488" t="s">
        <v>1428</v>
      </c>
      <c r="B488" s="1">
        <v>41600</v>
      </c>
      <c r="C488" s="1" t="str">
        <f>TEXT(Walmart[[#This Row],[Order Date]],"mmmm")</f>
        <v>November</v>
      </c>
      <c r="D488" s="1">
        <v>41605</v>
      </c>
      <c r="E488" s="1" t="str">
        <f>IF(DATEDIF(Walmart[[#This Row],[Order Date]],Walmart[[#This Row],[Ship Date]],"D")&lt;7,"On time","Delayed")</f>
        <v>On time</v>
      </c>
      <c r="F488" t="s">
        <v>630</v>
      </c>
      <c r="G488" t="s">
        <v>14</v>
      </c>
      <c r="H488" t="s">
        <v>1426</v>
      </c>
      <c r="I488" t="s">
        <v>69</v>
      </c>
      <c r="J488" t="s">
        <v>88</v>
      </c>
      <c r="K488" t="s">
        <v>1110</v>
      </c>
      <c r="L488">
        <v>195.14</v>
      </c>
      <c r="M488">
        <v>4</v>
      </c>
      <c r="N488" t="str">
        <f>IF(Walmart[[#This Row],[Quantity]]&gt;=7,"Bulk",IF(Walmart[[#This Row],[Quantity]]&gt;=2,"Multi","Single"))</f>
        <v>Multi</v>
      </c>
      <c r="O488">
        <v>-12.2</v>
      </c>
      <c r="P488" t="str">
        <f>IF(Walmart[[#This Row],[Sales]]&gt;=1000,"High Value", IF(Walmart[[#This Row],[Sales]]&gt;=500,"Medium Value","Low Value"))</f>
        <v>Low Value</v>
      </c>
    </row>
    <row r="489" spans="1:16" x14ac:dyDescent="0.3">
      <c r="A489" t="s">
        <v>1108</v>
      </c>
      <c r="B489" s="1">
        <v>41943</v>
      </c>
      <c r="C489" s="1" t="str">
        <f>TEXT(Walmart[[#This Row],[Order Date]],"mmmm")</f>
        <v>October</v>
      </c>
      <c r="D489" s="1">
        <v>41946</v>
      </c>
      <c r="E489" s="1" t="str">
        <f>IF(DATEDIF(Walmart[[#This Row],[Order Date]],Walmart[[#This Row],[Ship Date]],"D")&lt;7,"On time","Delayed")</f>
        <v>On time</v>
      </c>
      <c r="F489" t="s">
        <v>1109</v>
      </c>
      <c r="G489" t="s">
        <v>14</v>
      </c>
      <c r="H489" t="s">
        <v>25</v>
      </c>
      <c r="I489" t="s">
        <v>26</v>
      </c>
      <c r="J489" t="s">
        <v>88</v>
      </c>
      <c r="K489" t="s">
        <v>1110</v>
      </c>
      <c r="L489">
        <v>97.57</v>
      </c>
      <c r="M489">
        <v>2</v>
      </c>
      <c r="N489" t="str">
        <f>IF(Walmart[[#This Row],[Quantity]]&gt;=7,"Bulk",IF(Walmart[[#This Row],[Quantity]]&gt;=2,"Multi","Single"))</f>
        <v>Multi</v>
      </c>
      <c r="O489">
        <v>-6.1</v>
      </c>
      <c r="P489" t="str">
        <f>IF(Walmart[[#This Row],[Sales]]&gt;=1000,"High Value", IF(Walmart[[#This Row],[Sales]]&gt;=500,"Medium Value","Low Value"))</f>
        <v>Low Value</v>
      </c>
    </row>
    <row r="490" spans="1:16" x14ac:dyDescent="0.3">
      <c r="A490" t="s">
        <v>1710</v>
      </c>
      <c r="B490" s="1">
        <v>41940</v>
      </c>
      <c r="C490" s="1" t="str">
        <f>TEXT(Walmart[[#This Row],[Order Date]],"mmmm")</f>
        <v>October</v>
      </c>
      <c r="D490" s="1">
        <v>41941</v>
      </c>
      <c r="E490" s="1" t="str">
        <f>IF(DATEDIF(Walmart[[#This Row],[Order Date]],Walmart[[#This Row],[Ship Date]],"D")&lt;7,"On time","Delayed")</f>
        <v>On time</v>
      </c>
      <c r="F490" t="s">
        <v>1711</v>
      </c>
      <c r="G490" t="s">
        <v>14</v>
      </c>
      <c r="H490" t="s">
        <v>37</v>
      </c>
      <c r="I490" t="s">
        <v>16</v>
      </c>
      <c r="J490" t="s">
        <v>671</v>
      </c>
      <c r="K490" t="s">
        <v>1712</v>
      </c>
      <c r="L490">
        <v>556.66999999999996</v>
      </c>
      <c r="M490">
        <v>5</v>
      </c>
      <c r="N490" t="str">
        <f>IF(Walmart[[#This Row],[Quantity]]&gt;=7,"Bulk",IF(Walmart[[#This Row],[Quantity]]&gt;=2,"Multi","Single"))</f>
        <v>Multi</v>
      </c>
      <c r="O490">
        <v>6.55</v>
      </c>
      <c r="P490" t="str">
        <f>IF(Walmart[[#This Row],[Sales]]&gt;=1000,"High Value", IF(Walmart[[#This Row],[Sales]]&gt;=500,"Medium Value","Low Value"))</f>
        <v>Medium Value</v>
      </c>
    </row>
    <row r="491" spans="1:16" hidden="1" x14ac:dyDescent="0.3">
      <c r="A491" t="s">
        <v>1434</v>
      </c>
      <c r="B491" s="1">
        <v>40816</v>
      </c>
      <c r="C491" s="1" t="str">
        <f>TEXT(Walmart[[#This Row],[Order Date]],"mmmm")</f>
        <v>September</v>
      </c>
      <c r="D491" s="1">
        <v>40820</v>
      </c>
      <c r="E491" s="1" t="str">
        <f>IF(DATEDIF(Walmart[[#This Row],[Order Date]],Walmart[[#This Row],[Ship Date]],"D")&lt;7,"On time","Delayed")</f>
        <v>On time</v>
      </c>
      <c r="F491" t="s">
        <v>198</v>
      </c>
      <c r="G491" t="s">
        <v>14</v>
      </c>
      <c r="H491" t="s">
        <v>25</v>
      </c>
      <c r="I491" t="s">
        <v>26</v>
      </c>
      <c r="J491" t="s">
        <v>27</v>
      </c>
      <c r="K491" t="s">
        <v>1435</v>
      </c>
      <c r="L491">
        <v>43.18</v>
      </c>
      <c r="M491">
        <v>7</v>
      </c>
      <c r="N491" t="str">
        <f>IF(Walmart[[#This Row],[Quantity]]&gt;=7,"Bulk",IF(Walmart[[#This Row],[Quantity]]&gt;=2,"Multi","Single"))</f>
        <v>Bulk</v>
      </c>
      <c r="O491">
        <v>13.49</v>
      </c>
      <c r="P491" t="str">
        <f>IF(Walmart[[#This Row],[Sales]]&gt;=1000,"High Value", IF(Walmart[[#This Row],[Sales]]&gt;=500,"Medium Value","Low Value"))</f>
        <v>Low Value</v>
      </c>
    </row>
    <row r="492" spans="1:16" x14ac:dyDescent="0.3">
      <c r="A492" t="s">
        <v>2904</v>
      </c>
      <c r="B492" s="1">
        <v>41940</v>
      </c>
      <c r="C492" s="1" t="str">
        <f>TEXT(Walmart[[#This Row],[Order Date]],"mmmm")</f>
        <v>October</v>
      </c>
      <c r="D492" s="1">
        <v>41942</v>
      </c>
      <c r="E492" s="1" t="str">
        <f>IF(DATEDIF(Walmart[[#This Row],[Order Date]],Walmart[[#This Row],[Ship Date]],"D")&lt;7,"On time","Delayed")</f>
        <v>On time</v>
      </c>
      <c r="F492" t="s">
        <v>1245</v>
      </c>
      <c r="G492" t="s">
        <v>14</v>
      </c>
      <c r="H492" t="s">
        <v>15</v>
      </c>
      <c r="I492" t="s">
        <v>16</v>
      </c>
      <c r="J492" t="s">
        <v>43</v>
      </c>
      <c r="K492" t="s">
        <v>2905</v>
      </c>
      <c r="L492">
        <v>189.58</v>
      </c>
      <c r="M492">
        <v>1</v>
      </c>
      <c r="N492" t="str">
        <f>IF(Walmart[[#This Row],[Quantity]]&gt;=7,"Bulk",IF(Walmart[[#This Row],[Quantity]]&gt;=2,"Multi","Single"))</f>
        <v>Single</v>
      </c>
      <c r="O492">
        <v>9.48</v>
      </c>
      <c r="P492" t="str">
        <f>IF(Walmart[[#This Row],[Sales]]&gt;=1000,"High Value", IF(Walmart[[#This Row],[Sales]]&gt;=500,"Medium Value","Low Value"))</f>
        <v>Low Value</v>
      </c>
    </row>
    <row r="493" spans="1:16" x14ac:dyDescent="0.3">
      <c r="A493" t="s">
        <v>3125</v>
      </c>
      <c r="B493" s="1">
        <v>41940</v>
      </c>
      <c r="C493" s="1" t="str">
        <f>TEXT(Walmart[[#This Row],[Order Date]],"mmmm")</f>
        <v>October</v>
      </c>
      <c r="D493" s="1">
        <v>41945</v>
      </c>
      <c r="E493" s="1" t="str">
        <f>IF(DATEDIF(Walmart[[#This Row],[Order Date]],Walmart[[#This Row],[Ship Date]],"D")&lt;7,"On time","Delayed")</f>
        <v>On time</v>
      </c>
      <c r="F493" t="s">
        <v>103</v>
      </c>
      <c r="G493" t="s">
        <v>14</v>
      </c>
      <c r="H493" t="s">
        <v>299</v>
      </c>
      <c r="I493" t="s">
        <v>58</v>
      </c>
      <c r="J493" t="s">
        <v>93</v>
      </c>
      <c r="K493" t="s">
        <v>3126</v>
      </c>
      <c r="L493">
        <v>44.78</v>
      </c>
      <c r="M493">
        <v>1</v>
      </c>
      <c r="N493" t="str">
        <f>IF(Walmart[[#This Row],[Quantity]]&gt;=7,"Bulk",IF(Walmart[[#This Row],[Quantity]]&gt;=2,"Multi","Single"))</f>
        <v>Single</v>
      </c>
      <c r="O493">
        <v>16.23</v>
      </c>
      <c r="P493" t="str">
        <f>IF(Walmart[[#This Row],[Sales]]&gt;=1000,"High Value", IF(Walmart[[#This Row],[Sales]]&gt;=500,"Medium Value","Low Value"))</f>
        <v>Low Value</v>
      </c>
    </row>
    <row r="494" spans="1:16" x14ac:dyDescent="0.3">
      <c r="A494" t="s">
        <v>1796</v>
      </c>
      <c r="B494" s="1">
        <v>41935</v>
      </c>
      <c r="C494" s="1" t="str">
        <f>TEXT(Walmart[[#This Row],[Order Date]],"mmmm")</f>
        <v>October</v>
      </c>
      <c r="D494" s="1">
        <v>41940</v>
      </c>
      <c r="E494" s="1" t="str">
        <f>IF(DATEDIF(Walmart[[#This Row],[Order Date]],Walmart[[#This Row],[Ship Date]],"D")&lt;7,"On time","Delayed")</f>
        <v>On time</v>
      </c>
      <c r="F494" t="s">
        <v>1797</v>
      </c>
      <c r="G494" t="s">
        <v>14</v>
      </c>
      <c r="H494" t="s">
        <v>885</v>
      </c>
      <c r="I494" t="s">
        <v>69</v>
      </c>
      <c r="J494" t="s">
        <v>43</v>
      </c>
      <c r="K494" t="s">
        <v>397</v>
      </c>
      <c r="L494">
        <v>177.23</v>
      </c>
      <c r="M494">
        <v>5</v>
      </c>
      <c r="N494" t="str">
        <f>IF(Walmart[[#This Row],[Quantity]]&gt;=7,"Bulk",IF(Walmart[[#This Row],[Quantity]]&gt;=2,"Multi","Single"))</f>
        <v>Multi</v>
      </c>
      <c r="O494">
        <v>-120.51</v>
      </c>
      <c r="P494" t="str">
        <f>IF(Walmart[[#This Row],[Sales]]&gt;=1000,"High Value", IF(Walmart[[#This Row],[Sales]]&gt;=500,"Medium Value","Low Value"))</f>
        <v>Low Value</v>
      </c>
    </row>
    <row r="495" spans="1:16" hidden="1" x14ac:dyDescent="0.3">
      <c r="A495" t="s">
        <v>1445</v>
      </c>
      <c r="B495" s="1">
        <v>41277</v>
      </c>
      <c r="C495" s="1" t="str">
        <f>TEXT(Walmart[[#This Row],[Order Date]],"mmmm")</f>
        <v>January</v>
      </c>
      <c r="D495" s="1">
        <v>41279</v>
      </c>
      <c r="E495" s="1" t="str">
        <f>IF(DATEDIF(Walmart[[#This Row],[Order Date]],Walmart[[#This Row],[Ship Date]],"D")&lt;7,"On time","Delayed")</f>
        <v>On time</v>
      </c>
      <c r="F495" t="s">
        <v>344</v>
      </c>
      <c r="G495" t="s">
        <v>14</v>
      </c>
      <c r="H495" t="s">
        <v>15</v>
      </c>
      <c r="I495" t="s">
        <v>16</v>
      </c>
      <c r="J495" t="s">
        <v>33</v>
      </c>
      <c r="K495" t="s">
        <v>1446</v>
      </c>
      <c r="L495">
        <v>114.46</v>
      </c>
      <c r="M495">
        <v>2</v>
      </c>
      <c r="N495" t="str">
        <f>IF(Walmart[[#This Row],[Quantity]]&gt;=7,"Bulk",IF(Walmart[[#This Row],[Quantity]]&gt;=2,"Multi","Single"))</f>
        <v>Multi</v>
      </c>
      <c r="O495">
        <v>28.62</v>
      </c>
      <c r="P495" t="str">
        <f>IF(Walmart[[#This Row],[Sales]]&gt;=1000,"High Value", IF(Walmart[[#This Row],[Sales]]&gt;=500,"Medium Value","Low Value"))</f>
        <v>Low Value</v>
      </c>
    </row>
    <row r="496" spans="1:16" hidden="1" x14ac:dyDescent="0.3">
      <c r="A496" t="s">
        <v>1447</v>
      </c>
      <c r="B496" s="1">
        <v>41185</v>
      </c>
      <c r="C496" s="1" t="str">
        <f>TEXT(Walmart[[#This Row],[Order Date]],"mmmm")</f>
        <v>October</v>
      </c>
      <c r="D496" s="1">
        <v>41190</v>
      </c>
      <c r="E496" s="1" t="str">
        <f>IF(DATEDIF(Walmart[[#This Row],[Order Date]],Walmart[[#This Row],[Ship Date]],"D")&lt;7,"On time","Delayed")</f>
        <v>On time</v>
      </c>
      <c r="F496" t="s">
        <v>140</v>
      </c>
      <c r="G496" t="s">
        <v>14</v>
      </c>
      <c r="H496" t="s">
        <v>15</v>
      </c>
      <c r="I496" t="s">
        <v>16</v>
      </c>
      <c r="J496" t="s">
        <v>671</v>
      </c>
      <c r="K496" t="s">
        <v>977</v>
      </c>
      <c r="L496">
        <v>120.67</v>
      </c>
      <c r="M496">
        <v>2</v>
      </c>
      <c r="N496" t="str">
        <f>IF(Walmart[[#This Row],[Quantity]]&gt;=7,"Bulk",IF(Walmart[[#This Row],[Quantity]]&gt;=2,"Multi","Single"))</f>
        <v>Multi</v>
      </c>
      <c r="O496">
        <v>18.45</v>
      </c>
      <c r="P496" t="str">
        <f>IF(Walmart[[#This Row],[Sales]]&gt;=1000,"High Value", IF(Walmart[[#This Row],[Sales]]&gt;=500,"Medium Value","Low Value"))</f>
        <v>Low Value</v>
      </c>
    </row>
    <row r="497" spans="1:16" hidden="1" x14ac:dyDescent="0.3">
      <c r="A497" t="s">
        <v>1448</v>
      </c>
      <c r="B497" s="1">
        <v>40684</v>
      </c>
      <c r="C497" s="1" t="str">
        <f>TEXT(Walmart[[#This Row],[Order Date]],"mmmm")</f>
        <v>May</v>
      </c>
      <c r="D497" s="1">
        <v>40688</v>
      </c>
      <c r="E497" s="1" t="str">
        <f>IF(DATEDIF(Walmart[[#This Row],[Order Date]],Walmart[[#This Row],[Ship Date]],"D")&lt;7,"On time","Delayed")</f>
        <v>On time</v>
      </c>
      <c r="F497" t="s">
        <v>600</v>
      </c>
      <c r="G497" t="s">
        <v>14</v>
      </c>
      <c r="H497" t="s">
        <v>160</v>
      </c>
      <c r="I497" t="s">
        <v>16</v>
      </c>
      <c r="J497" t="s">
        <v>38</v>
      </c>
      <c r="K497" t="s">
        <v>1449</v>
      </c>
      <c r="L497">
        <v>31.84</v>
      </c>
      <c r="M497">
        <v>8</v>
      </c>
      <c r="N497" t="str">
        <f>IF(Walmart[[#This Row],[Quantity]]&gt;=7,"Bulk",IF(Walmart[[#This Row],[Quantity]]&gt;=2,"Multi","Single"))</f>
        <v>Bulk</v>
      </c>
      <c r="O497">
        <v>10.51</v>
      </c>
      <c r="P497" t="str">
        <f>IF(Walmart[[#This Row],[Sales]]&gt;=1000,"High Value", IF(Walmart[[#This Row],[Sales]]&gt;=500,"Medium Value","Low Value"))</f>
        <v>Low Value</v>
      </c>
    </row>
    <row r="498" spans="1:16" x14ac:dyDescent="0.3">
      <c r="A498" t="s">
        <v>1922</v>
      </c>
      <c r="B498" s="1">
        <v>41935</v>
      </c>
      <c r="C498" s="1" t="str">
        <f>TEXT(Walmart[[#This Row],[Order Date]],"mmmm")</f>
        <v>October</v>
      </c>
      <c r="D498" s="1">
        <v>41937</v>
      </c>
      <c r="E498" s="1" t="str">
        <f>IF(DATEDIF(Walmart[[#This Row],[Order Date]],Walmart[[#This Row],[Ship Date]],"D")&lt;7,"On time","Delayed")</f>
        <v>On time</v>
      </c>
      <c r="F498" t="s">
        <v>1923</v>
      </c>
      <c r="G498" t="s">
        <v>14</v>
      </c>
      <c r="H498" t="s">
        <v>1124</v>
      </c>
      <c r="I498" t="s">
        <v>77</v>
      </c>
      <c r="J498" t="s">
        <v>27</v>
      </c>
      <c r="K498" t="s">
        <v>1924</v>
      </c>
      <c r="L498">
        <v>3.17</v>
      </c>
      <c r="M498">
        <v>4</v>
      </c>
      <c r="N498" t="str">
        <f>IF(Walmart[[#This Row],[Quantity]]&gt;=7,"Bulk",IF(Walmart[[#This Row],[Quantity]]&gt;=2,"Multi","Single"))</f>
        <v>Multi</v>
      </c>
      <c r="O498">
        <v>-2.5299999999999998</v>
      </c>
      <c r="P498" t="str">
        <f>IF(Walmart[[#This Row],[Sales]]&gt;=1000,"High Value", IF(Walmart[[#This Row],[Sales]]&gt;=500,"Medium Value","Low Value"))</f>
        <v>Low Value</v>
      </c>
    </row>
    <row r="499" spans="1:16" hidden="1" x14ac:dyDescent="0.3">
      <c r="A499" t="s">
        <v>1454</v>
      </c>
      <c r="B499" s="1">
        <v>41510</v>
      </c>
      <c r="C499" s="1" t="str">
        <f>TEXT(Walmart[[#This Row],[Order Date]],"mmmm")</f>
        <v>August</v>
      </c>
      <c r="D499" s="1">
        <v>41517</v>
      </c>
      <c r="E499" s="1" t="str">
        <f>IF(DATEDIF(Walmart[[#This Row],[Order Date]],Walmart[[#This Row],[Ship Date]],"D")&lt;7,"On time","Delayed")</f>
        <v>Delayed</v>
      </c>
      <c r="F499" t="s">
        <v>1455</v>
      </c>
      <c r="G499" t="s">
        <v>14</v>
      </c>
      <c r="H499" t="s">
        <v>25</v>
      </c>
      <c r="I499" t="s">
        <v>26</v>
      </c>
      <c r="J499" t="s">
        <v>1168</v>
      </c>
      <c r="K499" t="s">
        <v>1456</v>
      </c>
      <c r="L499">
        <v>837.6</v>
      </c>
      <c r="M499">
        <v>3</v>
      </c>
      <c r="N499" t="str">
        <f>IF(Walmart[[#This Row],[Quantity]]&gt;=7,"Bulk",IF(Walmart[[#This Row],[Quantity]]&gt;=2,"Multi","Single"))</f>
        <v>Multi</v>
      </c>
      <c r="O499">
        <v>62.82</v>
      </c>
      <c r="P499" t="str">
        <f>IF(Walmart[[#This Row],[Sales]]&gt;=1000,"High Value", IF(Walmart[[#This Row],[Sales]]&gt;=500,"Medium Value","Low Value"))</f>
        <v>Medium Value</v>
      </c>
    </row>
    <row r="500" spans="1:16" hidden="1" x14ac:dyDescent="0.3">
      <c r="A500" t="s">
        <v>1457</v>
      </c>
      <c r="B500" s="1">
        <v>40893</v>
      </c>
      <c r="C500" s="1" t="str">
        <f>TEXT(Walmart[[#This Row],[Order Date]],"mmmm")</f>
        <v>December</v>
      </c>
      <c r="D500" s="1">
        <v>40894</v>
      </c>
      <c r="E500" s="1" t="str">
        <f>IF(DATEDIF(Walmart[[#This Row],[Order Date]],Walmart[[#This Row],[Ship Date]],"D")&lt;7,"On time","Delayed")</f>
        <v>On time</v>
      </c>
      <c r="F500" t="s">
        <v>1458</v>
      </c>
      <c r="G500" t="s">
        <v>14</v>
      </c>
      <c r="H500" t="s">
        <v>15</v>
      </c>
      <c r="I500" t="s">
        <v>16</v>
      </c>
      <c r="J500" t="s">
        <v>21</v>
      </c>
      <c r="K500" t="s">
        <v>426</v>
      </c>
      <c r="L500">
        <v>44.46</v>
      </c>
      <c r="M500">
        <v>2</v>
      </c>
      <c r="N500" t="str">
        <f>IF(Walmart[[#This Row],[Quantity]]&gt;=7,"Bulk",IF(Walmart[[#This Row],[Quantity]]&gt;=2,"Multi","Single"))</f>
        <v>Multi</v>
      </c>
      <c r="O500">
        <v>14.67</v>
      </c>
      <c r="P500" t="str">
        <f>IF(Walmart[[#This Row],[Sales]]&gt;=1000,"High Value", IF(Walmart[[#This Row],[Sales]]&gt;=500,"Medium Value","Low Value"))</f>
        <v>Low Value</v>
      </c>
    </row>
    <row r="501" spans="1:16" x14ac:dyDescent="0.3">
      <c r="A501" t="s">
        <v>925</v>
      </c>
      <c r="B501" s="1">
        <v>41934</v>
      </c>
      <c r="C501" s="1" t="str">
        <f>TEXT(Walmart[[#This Row],[Order Date]],"mmmm")</f>
        <v>October</v>
      </c>
      <c r="D501" s="1">
        <v>41935</v>
      </c>
      <c r="E501" s="1" t="str">
        <f>IF(DATEDIF(Walmart[[#This Row],[Order Date]],Walmart[[#This Row],[Ship Date]],"D")&lt;7,"On time","Delayed")</f>
        <v>On time</v>
      </c>
      <c r="F501" t="s">
        <v>692</v>
      </c>
      <c r="G501" t="s">
        <v>14</v>
      </c>
      <c r="H501" t="s">
        <v>926</v>
      </c>
      <c r="I501" t="s">
        <v>69</v>
      </c>
      <c r="J501" t="s">
        <v>93</v>
      </c>
      <c r="K501" t="s">
        <v>927</v>
      </c>
      <c r="L501">
        <v>5.18</v>
      </c>
      <c r="M501">
        <v>1</v>
      </c>
      <c r="N501" t="str">
        <f>IF(Walmart[[#This Row],[Quantity]]&gt;=7,"Bulk",IF(Walmart[[#This Row],[Quantity]]&gt;=2,"Multi","Single"))</f>
        <v>Single</v>
      </c>
      <c r="O501">
        <v>1.81</v>
      </c>
      <c r="P501" t="str">
        <f>IF(Walmart[[#This Row],[Sales]]&gt;=1000,"High Value", IF(Walmart[[#This Row],[Sales]]&gt;=500,"Medium Value","Low Value"))</f>
        <v>Low Value</v>
      </c>
    </row>
    <row r="502" spans="1:16" hidden="1" x14ac:dyDescent="0.3">
      <c r="A502" t="s">
        <v>1462</v>
      </c>
      <c r="B502" s="1">
        <v>40724</v>
      </c>
      <c r="C502" s="1" t="str">
        <f>TEXT(Walmart[[#This Row],[Order Date]],"mmmm")</f>
        <v>June</v>
      </c>
      <c r="D502" s="1">
        <v>40727</v>
      </c>
      <c r="E502" s="1" t="str">
        <f>IF(DATEDIF(Walmart[[#This Row],[Order Date]],Walmart[[#This Row],[Ship Date]],"D")&lt;7,"On time","Delayed")</f>
        <v>On time</v>
      </c>
      <c r="F502" t="s">
        <v>369</v>
      </c>
      <c r="G502" t="s">
        <v>14</v>
      </c>
      <c r="H502" t="s">
        <v>15</v>
      </c>
      <c r="I502" t="s">
        <v>16</v>
      </c>
      <c r="J502" t="s">
        <v>38</v>
      </c>
      <c r="K502" t="s">
        <v>1463</v>
      </c>
      <c r="L502">
        <v>32.4</v>
      </c>
      <c r="M502">
        <v>5</v>
      </c>
      <c r="N502" t="str">
        <f>IF(Walmart[[#This Row],[Quantity]]&gt;=7,"Bulk",IF(Walmart[[#This Row],[Quantity]]&gt;=2,"Multi","Single"))</f>
        <v>Multi</v>
      </c>
      <c r="O502">
        <v>10.37</v>
      </c>
      <c r="P502" t="str">
        <f>IF(Walmart[[#This Row],[Sales]]&gt;=1000,"High Value", IF(Walmart[[#This Row],[Sales]]&gt;=500,"Medium Value","Low Value"))</f>
        <v>Low Value</v>
      </c>
    </row>
    <row r="503" spans="1:16" hidden="1" x14ac:dyDescent="0.3">
      <c r="A503" t="s">
        <v>1464</v>
      </c>
      <c r="B503" s="1">
        <v>40897</v>
      </c>
      <c r="C503" s="1" t="str">
        <f>TEXT(Walmart[[#This Row],[Order Date]],"mmmm")</f>
        <v>December</v>
      </c>
      <c r="D503" s="1">
        <v>40902</v>
      </c>
      <c r="E503" s="1" t="str">
        <f>IF(DATEDIF(Walmart[[#This Row],[Order Date]],Walmart[[#This Row],[Ship Date]],"D")&lt;7,"On time","Delayed")</f>
        <v>On time</v>
      </c>
      <c r="F503" t="s">
        <v>230</v>
      </c>
      <c r="G503" t="s">
        <v>14</v>
      </c>
      <c r="H503" t="s">
        <v>25</v>
      </c>
      <c r="I503" t="s">
        <v>26</v>
      </c>
      <c r="J503" t="s">
        <v>17</v>
      </c>
      <c r="K503" t="s">
        <v>1465</v>
      </c>
      <c r="L503">
        <v>31.05</v>
      </c>
      <c r="M503">
        <v>3</v>
      </c>
      <c r="N503" t="str">
        <f>IF(Walmart[[#This Row],[Quantity]]&gt;=7,"Bulk",IF(Walmart[[#This Row],[Quantity]]&gt;=2,"Multi","Single"))</f>
        <v>Multi</v>
      </c>
      <c r="O503">
        <v>14.9</v>
      </c>
      <c r="P503" t="str">
        <f>IF(Walmart[[#This Row],[Sales]]&gt;=1000,"High Value", IF(Walmart[[#This Row],[Sales]]&gt;=500,"Medium Value","Low Value"))</f>
        <v>Low Value</v>
      </c>
    </row>
    <row r="504" spans="1:16" hidden="1" x14ac:dyDescent="0.3">
      <c r="A504" t="s">
        <v>1466</v>
      </c>
      <c r="B504" s="1">
        <v>40758</v>
      </c>
      <c r="C504" s="1" t="str">
        <f>TEXT(Walmart[[#This Row],[Order Date]],"mmmm")</f>
        <v>August</v>
      </c>
      <c r="D504" s="1">
        <v>40760</v>
      </c>
      <c r="E504" s="1" t="str">
        <f>IF(DATEDIF(Walmart[[#This Row],[Order Date]],Walmart[[#This Row],[Ship Date]],"D")&lt;7,"On time","Delayed")</f>
        <v>On time</v>
      </c>
      <c r="F504" t="s">
        <v>1467</v>
      </c>
      <c r="G504" t="s">
        <v>14</v>
      </c>
      <c r="H504" t="s">
        <v>712</v>
      </c>
      <c r="I504" t="s">
        <v>58</v>
      </c>
      <c r="J504" t="s">
        <v>93</v>
      </c>
      <c r="K504" t="s">
        <v>1468</v>
      </c>
      <c r="L504">
        <v>93.02</v>
      </c>
      <c r="M504">
        <v>3</v>
      </c>
      <c r="N504" t="str">
        <f>IF(Walmart[[#This Row],[Quantity]]&gt;=7,"Bulk",IF(Walmart[[#This Row],[Quantity]]&gt;=2,"Multi","Single"))</f>
        <v>Multi</v>
      </c>
      <c r="O504">
        <v>33.72</v>
      </c>
      <c r="P504" t="str">
        <f>IF(Walmart[[#This Row],[Sales]]&gt;=1000,"High Value", IF(Walmart[[#This Row],[Sales]]&gt;=500,"Medium Value","Low Value"))</f>
        <v>Low Value</v>
      </c>
    </row>
    <row r="505" spans="1:16" hidden="1" x14ac:dyDescent="0.3">
      <c r="A505" t="s">
        <v>1469</v>
      </c>
      <c r="B505" s="1">
        <v>40807</v>
      </c>
      <c r="C505" s="1" t="str">
        <f>TEXT(Walmart[[#This Row],[Order Date]],"mmmm")</f>
        <v>September</v>
      </c>
      <c r="D505" s="1">
        <v>40811</v>
      </c>
      <c r="E505" s="1" t="str">
        <f>IF(DATEDIF(Walmart[[#This Row],[Order Date]],Walmart[[#This Row],[Ship Date]],"D")&lt;7,"On time","Delayed")</f>
        <v>On time</v>
      </c>
      <c r="F505" t="s">
        <v>1309</v>
      </c>
      <c r="G505" t="s">
        <v>14</v>
      </c>
      <c r="H505" t="s">
        <v>37</v>
      </c>
      <c r="I505" t="s">
        <v>16</v>
      </c>
      <c r="J505" t="s">
        <v>124</v>
      </c>
      <c r="K505" t="s">
        <v>125</v>
      </c>
      <c r="L505">
        <v>15.56</v>
      </c>
      <c r="M505">
        <v>2</v>
      </c>
      <c r="N505" t="str">
        <f>IF(Walmart[[#This Row],[Quantity]]&gt;=7,"Bulk",IF(Walmart[[#This Row],[Quantity]]&gt;=2,"Multi","Single"))</f>
        <v>Multi</v>
      </c>
      <c r="O505">
        <v>7.31</v>
      </c>
      <c r="P505" t="str">
        <f>IF(Walmart[[#This Row],[Sales]]&gt;=1000,"High Value", IF(Walmart[[#This Row],[Sales]]&gt;=500,"Medium Value","Low Value"))</f>
        <v>Low Value</v>
      </c>
    </row>
    <row r="506" spans="1:16" x14ac:dyDescent="0.3">
      <c r="A506" t="s">
        <v>1891</v>
      </c>
      <c r="B506" s="1">
        <v>41934</v>
      </c>
      <c r="C506" s="1" t="str">
        <f>TEXT(Walmart[[#This Row],[Order Date]],"mmmm")</f>
        <v>October</v>
      </c>
      <c r="D506" s="1">
        <v>41941</v>
      </c>
      <c r="E506" s="1" t="str">
        <f>IF(DATEDIF(Walmart[[#This Row],[Order Date]],Walmart[[#This Row],[Ship Date]],"D")&lt;7,"On time","Delayed")</f>
        <v>Delayed</v>
      </c>
      <c r="F506" t="s">
        <v>1349</v>
      </c>
      <c r="G506" t="s">
        <v>14</v>
      </c>
      <c r="H506" t="s">
        <v>712</v>
      </c>
      <c r="I506" t="s">
        <v>58</v>
      </c>
      <c r="J506" t="s">
        <v>27</v>
      </c>
      <c r="K506" t="s">
        <v>1892</v>
      </c>
      <c r="L506">
        <v>8.56</v>
      </c>
      <c r="M506">
        <v>1</v>
      </c>
      <c r="N506" t="str">
        <f>IF(Walmart[[#This Row],[Quantity]]&gt;=7,"Bulk",IF(Walmart[[#This Row],[Quantity]]&gt;=2,"Multi","Single"))</f>
        <v>Single</v>
      </c>
      <c r="O506">
        <v>-6.56</v>
      </c>
      <c r="P506" t="str">
        <f>IF(Walmart[[#This Row],[Sales]]&gt;=1000,"High Value", IF(Walmart[[#This Row],[Sales]]&gt;=500,"Medium Value","Low Value"))</f>
        <v>Low Value</v>
      </c>
    </row>
    <row r="507" spans="1:16" x14ac:dyDescent="0.3">
      <c r="A507" t="s">
        <v>1472</v>
      </c>
      <c r="B507" s="1">
        <v>41933</v>
      </c>
      <c r="C507" s="1" t="str">
        <f>TEXT(Walmart[[#This Row],[Order Date]],"mmmm")</f>
        <v>October</v>
      </c>
      <c r="D507" s="1">
        <v>41935</v>
      </c>
      <c r="E507" s="1" t="str">
        <f>IF(DATEDIF(Walmart[[#This Row],[Order Date]],Walmart[[#This Row],[Ship Date]],"D")&lt;7,"On time","Delayed")</f>
        <v>On time</v>
      </c>
      <c r="F507" t="s">
        <v>1473</v>
      </c>
      <c r="G507" t="s">
        <v>14</v>
      </c>
      <c r="H507" t="s">
        <v>1474</v>
      </c>
      <c r="I507" t="s">
        <v>16</v>
      </c>
      <c r="J507" t="s">
        <v>17</v>
      </c>
      <c r="K507" t="s">
        <v>1475</v>
      </c>
      <c r="L507">
        <v>3.75</v>
      </c>
      <c r="M507">
        <v>1</v>
      </c>
      <c r="N507" t="str">
        <f>IF(Walmart[[#This Row],[Quantity]]&gt;=7,"Bulk",IF(Walmart[[#This Row],[Quantity]]&gt;=2,"Multi","Single"))</f>
        <v>Single</v>
      </c>
      <c r="O507">
        <v>1.8</v>
      </c>
      <c r="P507" t="str">
        <f>IF(Walmart[[#This Row],[Sales]]&gt;=1000,"High Value", IF(Walmart[[#This Row],[Sales]]&gt;=500,"Medium Value","Low Value"))</f>
        <v>Low Value</v>
      </c>
    </row>
    <row r="508" spans="1:16" hidden="1" x14ac:dyDescent="0.3">
      <c r="A508" t="s">
        <v>1476</v>
      </c>
      <c r="B508" s="1">
        <v>41100</v>
      </c>
      <c r="C508" s="1" t="str">
        <f>TEXT(Walmart[[#This Row],[Order Date]],"mmmm")</f>
        <v>July</v>
      </c>
      <c r="D508" s="1">
        <v>41100</v>
      </c>
      <c r="E508" s="1" t="str">
        <f>IF(DATEDIF(Walmart[[#This Row],[Order Date]],Walmart[[#This Row],[Ship Date]],"D")&lt;7,"On time","Delayed")</f>
        <v>On time</v>
      </c>
      <c r="F508" t="s">
        <v>46</v>
      </c>
      <c r="G508" t="s">
        <v>14</v>
      </c>
      <c r="H508" t="s">
        <v>757</v>
      </c>
      <c r="I508" t="s">
        <v>58</v>
      </c>
      <c r="J508" t="s">
        <v>27</v>
      </c>
      <c r="K508" t="s">
        <v>1477</v>
      </c>
      <c r="L508">
        <v>3.37</v>
      </c>
      <c r="M508">
        <v>3</v>
      </c>
      <c r="N508" t="str">
        <f>IF(Walmart[[#This Row],[Quantity]]&gt;=7,"Bulk",IF(Walmart[[#This Row],[Quantity]]&gt;=2,"Multi","Single"))</f>
        <v>Multi</v>
      </c>
      <c r="O508">
        <v>-2.2400000000000002</v>
      </c>
      <c r="P508" t="str">
        <f>IF(Walmart[[#This Row],[Sales]]&gt;=1000,"High Value", IF(Walmart[[#This Row],[Sales]]&gt;=500,"Medium Value","Low Value"))</f>
        <v>Low Value</v>
      </c>
    </row>
    <row r="509" spans="1:16" hidden="1" x14ac:dyDescent="0.3">
      <c r="A509" t="s">
        <v>1478</v>
      </c>
      <c r="B509" s="1">
        <v>40857</v>
      </c>
      <c r="C509" s="1" t="str">
        <f>TEXT(Walmart[[#This Row],[Order Date]],"mmmm")</f>
        <v>November</v>
      </c>
      <c r="D509" s="1">
        <v>40863</v>
      </c>
      <c r="E509" s="1" t="str">
        <f>IF(DATEDIF(Walmart[[#This Row],[Order Date]],Walmart[[#This Row],[Ship Date]],"D")&lt;7,"On time","Delayed")</f>
        <v>On time</v>
      </c>
      <c r="F509" t="s">
        <v>121</v>
      </c>
      <c r="G509" t="s">
        <v>14</v>
      </c>
      <c r="H509" t="s">
        <v>160</v>
      </c>
      <c r="I509" t="s">
        <v>16</v>
      </c>
      <c r="J509" t="s">
        <v>146</v>
      </c>
      <c r="K509" t="s">
        <v>1479</v>
      </c>
      <c r="L509">
        <v>601.54</v>
      </c>
      <c r="M509">
        <v>8</v>
      </c>
      <c r="N509" t="str">
        <f>IF(Walmart[[#This Row],[Quantity]]&gt;=7,"Bulk",IF(Walmart[[#This Row],[Quantity]]&gt;=2,"Multi","Single"))</f>
        <v>Bulk</v>
      </c>
      <c r="O509">
        <v>60.15</v>
      </c>
      <c r="P509" t="str">
        <f>IF(Walmart[[#This Row],[Sales]]&gt;=1000,"High Value", IF(Walmart[[#This Row],[Sales]]&gt;=500,"Medium Value","Low Value"))</f>
        <v>Medium Value</v>
      </c>
    </row>
    <row r="510" spans="1:16" hidden="1" x14ac:dyDescent="0.3">
      <c r="A510" t="s">
        <v>1480</v>
      </c>
      <c r="B510" s="1">
        <v>41283</v>
      </c>
      <c r="C510" s="1" t="str">
        <f>TEXT(Walmart[[#This Row],[Order Date]],"mmmm")</f>
        <v>January</v>
      </c>
      <c r="D510" s="1">
        <v>41289</v>
      </c>
      <c r="E510" s="1" t="str">
        <f>IF(DATEDIF(Walmart[[#This Row],[Order Date]],Walmart[[#This Row],[Ship Date]],"D")&lt;7,"On time","Delayed")</f>
        <v>On time</v>
      </c>
      <c r="F510" t="s">
        <v>1127</v>
      </c>
      <c r="G510" t="s">
        <v>14</v>
      </c>
      <c r="H510" t="s">
        <v>613</v>
      </c>
      <c r="I510" t="s">
        <v>16</v>
      </c>
      <c r="J510" t="s">
        <v>53</v>
      </c>
      <c r="K510" t="s">
        <v>1481</v>
      </c>
      <c r="L510">
        <v>349.95</v>
      </c>
      <c r="M510">
        <v>5</v>
      </c>
      <c r="N510" t="str">
        <f>IF(Walmart[[#This Row],[Quantity]]&gt;=7,"Bulk",IF(Walmart[[#This Row],[Quantity]]&gt;=2,"Multi","Single"))</f>
        <v>Multi</v>
      </c>
      <c r="O510">
        <v>118.98</v>
      </c>
      <c r="P510" t="str">
        <f>IF(Walmart[[#This Row],[Sales]]&gt;=1000,"High Value", IF(Walmart[[#This Row],[Sales]]&gt;=500,"Medium Value","Low Value"))</f>
        <v>Low Value</v>
      </c>
    </row>
    <row r="511" spans="1:16" x14ac:dyDescent="0.3">
      <c r="A511" t="s">
        <v>1440</v>
      </c>
      <c r="B511" s="1">
        <v>41932</v>
      </c>
      <c r="C511" s="1" t="str">
        <f>TEXT(Walmart[[#This Row],[Order Date]],"mmmm")</f>
        <v>October</v>
      </c>
      <c r="D511" s="1">
        <v>41937</v>
      </c>
      <c r="E511" s="1" t="str">
        <f>IF(DATEDIF(Walmart[[#This Row],[Order Date]],Walmart[[#This Row],[Ship Date]],"D")&lt;7,"On time","Delayed")</f>
        <v>On time</v>
      </c>
      <c r="F511" t="s">
        <v>817</v>
      </c>
      <c r="G511" t="s">
        <v>14</v>
      </c>
      <c r="H511" t="s">
        <v>37</v>
      </c>
      <c r="I511" t="s">
        <v>16</v>
      </c>
      <c r="J511" t="s">
        <v>124</v>
      </c>
      <c r="K511" t="s">
        <v>1441</v>
      </c>
      <c r="L511">
        <v>8.9600000000000009</v>
      </c>
      <c r="M511">
        <v>2</v>
      </c>
      <c r="N511" t="str">
        <f>IF(Walmart[[#This Row],[Quantity]]&gt;=7,"Bulk",IF(Walmart[[#This Row],[Quantity]]&gt;=2,"Multi","Single"))</f>
        <v>Multi</v>
      </c>
      <c r="O511">
        <v>4.3</v>
      </c>
      <c r="P511" t="str">
        <f>IF(Walmart[[#This Row],[Sales]]&gt;=1000,"High Value", IF(Walmart[[#This Row],[Sales]]&gt;=500,"Medium Value","Low Value"))</f>
        <v>Low Value</v>
      </c>
    </row>
    <row r="512" spans="1:16" hidden="1" x14ac:dyDescent="0.3">
      <c r="A512" t="s">
        <v>1485</v>
      </c>
      <c r="B512" s="1">
        <v>40676</v>
      </c>
      <c r="C512" s="1" t="str">
        <f>TEXT(Walmart[[#This Row],[Order Date]],"mmmm")</f>
        <v>May</v>
      </c>
      <c r="D512" s="1">
        <v>40680</v>
      </c>
      <c r="E512" s="1" t="str">
        <f>IF(DATEDIF(Walmart[[#This Row],[Order Date]],Walmart[[#This Row],[Ship Date]],"D")&lt;7,"On time","Delayed")</f>
        <v>On time</v>
      </c>
      <c r="F512" t="s">
        <v>559</v>
      </c>
      <c r="G512" t="s">
        <v>14</v>
      </c>
      <c r="H512" t="s">
        <v>556</v>
      </c>
      <c r="I512" t="s">
        <v>16</v>
      </c>
      <c r="J512" t="s">
        <v>53</v>
      </c>
      <c r="K512" t="s">
        <v>992</v>
      </c>
      <c r="L512">
        <v>149.97</v>
      </c>
      <c r="M512">
        <v>3</v>
      </c>
      <c r="N512" t="str">
        <f>IF(Walmart[[#This Row],[Quantity]]&gt;=7,"Bulk",IF(Walmart[[#This Row],[Quantity]]&gt;=2,"Multi","Single"))</f>
        <v>Multi</v>
      </c>
      <c r="O512">
        <v>52.49</v>
      </c>
      <c r="P512" t="str">
        <f>IF(Walmart[[#This Row],[Sales]]&gt;=1000,"High Value", IF(Walmart[[#This Row],[Sales]]&gt;=500,"Medium Value","Low Value"))</f>
        <v>Low Value</v>
      </c>
    </row>
    <row r="513" spans="1:16" hidden="1" x14ac:dyDescent="0.3">
      <c r="A513" t="s">
        <v>1486</v>
      </c>
      <c r="B513" s="1">
        <v>40818</v>
      </c>
      <c r="C513" s="1" t="str">
        <f>TEXT(Walmart[[#This Row],[Order Date]],"mmmm")</f>
        <v>October</v>
      </c>
      <c r="D513" s="1">
        <v>40821</v>
      </c>
      <c r="E513" s="1" t="str">
        <f>IF(DATEDIF(Walmart[[#This Row],[Order Date]],Walmart[[#This Row],[Ship Date]],"D")&lt;7,"On time","Delayed")</f>
        <v>On time</v>
      </c>
      <c r="F513" t="s">
        <v>302</v>
      </c>
      <c r="G513" t="s">
        <v>14</v>
      </c>
      <c r="H513" t="s">
        <v>757</v>
      </c>
      <c r="I513" t="s">
        <v>58</v>
      </c>
      <c r="J513" t="s">
        <v>93</v>
      </c>
      <c r="K513" t="s">
        <v>1487</v>
      </c>
      <c r="L513">
        <v>9.41</v>
      </c>
      <c r="M513">
        <v>2</v>
      </c>
      <c r="N513" t="str">
        <f>IF(Walmart[[#This Row],[Quantity]]&gt;=7,"Bulk",IF(Walmart[[#This Row],[Quantity]]&gt;=2,"Multi","Single"))</f>
        <v>Multi</v>
      </c>
      <c r="O513">
        <v>3.41</v>
      </c>
      <c r="P513" t="str">
        <f>IF(Walmart[[#This Row],[Sales]]&gt;=1000,"High Value", IF(Walmart[[#This Row],[Sales]]&gt;=500,"Medium Value","Low Value"))</f>
        <v>Low Value</v>
      </c>
    </row>
    <row r="514" spans="1:16" hidden="1" x14ac:dyDescent="0.3">
      <c r="A514" t="s">
        <v>1488</v>
      </c>
      <c r="B514" s="1">
        <v>41389</v>
      </c>
      <c r="C514" s="1" t="str">
        <f>TEXT(Walmart[[#This Row],[Order Date]],"mmmm")</f>
        <v>April</v>
      </c>
      <c r="D514" s="1">
        <v>41392</v>
      </c>
      <c r="E514" s="1" t="str">
        <f>IF(DATEDIF(Walmart[[#This Row],[Order Date]],Walmart[[#This Row],[Ship Date]],"D")&lt;7,"On time","Delayed")</f>
        <v>On time</v>
      </c>
      <c r="F514" t="s">
        <v>1489</v>
      </c>
      <c r="G514" t="s">
        <v>14</v>
      </c>
      <c r="H514" t="s">
        <v>471</v>
      </c>
      <c r="I514" t="s">
        <v>16</v>
      </c>
      <c r="J514" t="s">
        <v>27</v>
      </c>
      <c r="K514" t="s">
        <v>382</v>
      </c>
      <c r="L514">
        <v>3.98</v>
      </c>
      <c r="M514">
        <v>1</v>
      </c>
      <c r="N514" t="str">
        <f>IF(Walmart[[#This Row],[Quantity]]&gt;=7,"Bulk",IF(Walmart[[#This Row],[Quantity]]&gt;=2,"Multi","Single"))</f>
        <v>Single</v>
      </c>
      <c r="O514">
        <v>1.39</v>
      </c>
      <c r="P514" t="str">
        <f>IF(Walmart[[#This Row],[Sales]]&gt;=1000,"High Value", IF(Walmart[[#This Row],[Sales]]&gt;=500,"Medium Value","Low Value"))</f>
        <v>Low Value</v>
      </c>
    </row>
    <row r="515" spans="1:16" x14ac:dyDescent="0.3">
      <c r="A515" t="s">
        <v>3489</v>
      </c>
      <c r="B515" s="1">
        <v>41932</v>
      </c>
      <c r="C515" s="1" t="str">
        <f>TEXT(Walmart[[#This Row],[Order Date]],"mmmm")</f>
        <v>October</v>
      </c>
      <c r="D515" s="1">
        <v>41936</v>
      </c>
      <c r="E515" s="1" t="str">
        <f>IF(DATEDIF(Walmart[[#This Row],[Order Date]],Walmart[[#This Row],[Ship Date]],"D")&lt;7,"On time","Delayed")</f>
        <v>On time</v>
      </c>
      <c r="F515" t="s">
        <v>3490</v>
      </c>
      <c r="G515" t="s">
        <v>14</v>
      </c>
      <c r="H515" t="s">
        <v>37</v>
      </c>
      <c r="I515" t="s">
        <v>16</v>
      </c>
      <c r="J515" t="s">
        <v>27</v>
      </c>
      <c r="K515" t="s">
        <v>3491</v>
      </c>
      <c r="L515">
        <v>39.619999999999997</v>
      </c>
      <c r="M515">
        <v>3</v>
      </c>
      <c r="N515" t="str">
        <f>IF(Walmart[[#This Row],[Quantity]]&gt;=7,"Bulk",IF(Walmart[[#This Row],[Quantity]]&gt;=2,"Multi","Single"))</f>
        <v>Multi</v>
      </c>
      <c r="O515">
        <v>13.87</v>
      </c>
      <c r="P515" t="str">
        <f>IF(Walmart[[#This Row],[Sales]]&gt;=1000,"High Value", IF(Walmart[[#This Row],[Sales]]&gt;=500,"Medium Value","Low Value"))</f>
        <v>Low Value</v>
      </c>
    </row>
    <row r="516" spans="1:16" hidden="1" x14ac:dyDescent="0.3">
      <c r="A516" t="s">
        <v>1492</v>
      </c>
      <c r="B516" s="1">
        <v>41535</v>
      </c>
      <c r="C516" s="1" t="str">
        <f>TEXT(Walmart[[#This Row],[Order Date]],"mmmm")</f>
        <v>September</v>
      </c>
      <c r="D516" s="1">
        <v>41539</v>
      </c>
      <c r="E516" s="1" t="str">
        <f>IF(DATEDIF(Walmart[[#This Row],[Order Date]],Walmart[[#This Row],[Ship Date]],"D")&lt;7,"On time","Delayed")</f>
        <v>On time</v>
      </c>
      <c r="F516" t="s">
        <v>1493</v>
      </c>
      <c r="G516" t="s">
        <v>14</v>
      </c>
      <c r="H516" t="s">
        <v>25</v>
      </c>
      <c r="I516" t="s">
        <v>26</v>
      </c>
      <c r="J516" t="s">
        <v>88</v>
      </c>
      <c r="K516" t="s">
        <v>1494</v>
      </c>
      <c r="L516">
        <v>113.89</v>
      </c>
      <c r="M516">
        <v>2</v>
      </c>
      <c r="N516" t="str">
        <f>IF(Walmart[[#This Row],[Quantity]]&gt;=7,"Bulk",IF(Walmart[[#This Row],[Quantity]]&gt;=2,"Multi","Single"))</f>
        <v>Multi</v>
      </c>
      <c r="O516">
        <v>9.9700000000000006</v>
      </c>
      <c r="P516" t="str">
        <f>IF(Walmart[[#This Row],[Sales]]&gt;=1000,"High Value", IF(Walmart[[#This Row],[Sales]]&gt;=500,"Medium Value","Low Value"))</f>
        <v>Low Value</v>
      </c>
    </row>
    <row r="517" spans="1:16" hidden="1" x14ac:dyDescent="0.3">
      <c r="A517" t="s">
        <v>1495</v>
      </c>
      <c r="B517" s="1">
        <v>41464</v>
      </c>
      <c r="C517" s="1" t="str">
        <f>TEXT(Walmart[[#This Row],[Order Date]],"mmmm")</f>
        <v>July</v>
      </c>
      <c r="D517" s="1">
        <v>41470</v>
      </c>
      <c r="E517" s="1" t="str">
        <f>IF(DATEDIF(Walmart[[#This Row],[Order Date]],Walmart[[#This Row],[Ship Date]],"D")&lt;7,"On time","Delayed")</f>
        <v>On time</v>
      </c>
      <c r="F517" t="s">
        <v>1496</v>
      </c>
      <c r="G517" t="s">
        <v>14</v>
      </c>
      <c r="H517" t="s">
        <v>25</v>
      </c>
      <c r="I517" t="s">
        <v>26</v>
      </c>
      <c r="J517" t="s">
        <v>146</v>
      </c>
      <c r="K517" t="s">
        <v>1497</v>
      </c>
      <c r="L517">
        <v>107.98</v>
      </c>
      <c r="M517">
        <v>1</v>
      </c>
      <c r="N517" t="str">
        <f>IF(Walmart[[#This Row],[Quantity]]&gt;=7,"Bulk",IF(Walmart[[#This Row],[Quantity]]&gt;=2,"Multi","Single"))</f>
        <v>Single</v>
      </c>
      <c r="O517">
        <v>9.4499999999999993</v>
      </c>
      <c r="P517" t="str">
        <f>IF(Walmart[[#This Row],[Sales]]&gt;=1000,"High Value", IF(Walmart[[#This Row],[Sales]]&gt;=500,"Medium Value","Low Value"))</f>
        <v>Low Value</v>
      </c>
    </row>
    <row r="518" spans="1:16" hidden="1" x14ac:dyDescent="0.3">
      <c r="A518" t="s">
        <v>1498</v>
      </c>
      <c r="B518" s="1">
        <v>40864</v>
      </c>
      <c r="C518" s="1" t="str">
        <f>TEXT(Walmart[[#This Row],[Order Date]],"mmmm")</f>
        <v>November</v>
      </c>
      <c r="D518" s="1">
        <v>40866</v>
      </c>
      <c r="E518" s="1" t="str">
        <f>IF(DATEDIF(Walmart[[#This Row],[Order Date]],Walmart[[#This Row],[Ship Date]],"D")&lt;7,"On time","Delayed")</f>
        <v>On time</v>
      </c>
      <c r="F518" t="s">
        <v>1499</v>
      </c>
      <c r="G518" t="s">
        <v>14</v>
      </c>
      <c r="H518" t="s">
        <v>37</v>
      </c>
      <c r="I518" t="s">
        <v>16</v>
      </c>
      <c r="J518" t="s">
        <v>53</v>
      </c>
      <c r="K518" t="s">
        <v>1500</v>
      </c>
      <c r="L518">
        <v>99.98</v>
      </c>
      <c r="M518">
        <v>2</v>
      </c>
      <c r="N518" t="str">
        <f>IF(Walmart[[#This Row],[Quantity]]&gt;=7,"Bulk",IF(Walmart[[#This Row],[Quantity]]&gt;=2,"Multi","Single"))</f>
        <v>Multi</v>
      </c>
      <c r="O518">
        <v>8</v>
      </c>
      <c r="P518" t="str">
        <f>IF(Walmart[[#This Row],[Sales]]&gt;=1000,"High Value", IF(Walmart[[#This Row],[Sales]]&gt;=500,"Medium Value","Low Value"))</f>
        <v>Low Value</v>
      </c>
    </row>
    <row r="519" spans="1:16" hidden="1" x14ac:dyDescent="0.3">
      <c r="A519" t="s">
        <v>1501</v>
      </c>
      <c r="B519" s="1">
        <v>41270</v>
      </c>
      <c r="C519" s="1" t="str">
        <f>TEXT(Walmart[[#This Row],[Order Date]],"mmmm")</f>
        <v>December</v>
      </c>
      <c r="D519" s="1">
        <v>41272</v>
      </c>
      <c r="E519" s="1" t="str">
        <f>IF(DATEDIF(Walmart[[#This Row],[Order Date]],Walmart[[#This Row],[Ship Date]],"D")&lt;7,"On time","Delayed")</f>
        <v>On time</v>
      </c>
      <c r="F519" t="s">
        <v>1328</v>
      </c>
      <c r="G519" t="s">
        <v>14</v>
      </c>
      <c r="H519" t="s">
        <v>1502</v>
      </c>
      <c r="I519" t="s">
        <v>16</v>
      </c>
      <c r="J519" t="s">
        <v>53</v>
      </c>
      <c r="K519" t="s">
        <v>1317</v>
      </c>
      <c r="L519">
        <v>7.92</v>
      </c>
      <c r="M519">
        <v>8</v>
      </c>
      <c r="N519" t="str">
        <f>IF(Walmart[[#This Row],[Quantity]]&gt;=7,"Bulk",IF(Walmart[[#This Row],[Quantity]]&gt;=2,"Multi","Single"))</f>
        <v>Bulk</v>
      </c>
      <c r="O519">
        <v>3.48</v>
      </c>
      <c r="P519" t="str">
        <f>IF(Walmart[[#This Row],[Sales]]&gt;=1000,"High Value", IF(Walmart[[#This Row],[Sales]]&gt;=500,"Medium Value","Low Value"))</f>
        <v>Low Value</v>
      </c>
    </row>
    <row r="520" spans="1:16" hidden="1" x14ac:dyDescent="0.3">
      <c r="A520" t="s">
        <v>1503</v>
      </c>
      <c r="B520" s="1">
        <v>40948</v>
      </c>
      <c r="C520" s="1" t="str">
        <f>TEXT(Walmart[[#This Row],[Order Date]],"mmmm")</f>
        <v>February</v>
      </c>
      <c r="D520" s="1">
        <v>40955</v>
      </c>
      <c r="E520" s="1" t="str">
        <f>IF(DATEDIF(Walmart[[#This Row],[Order Date]],Walmart[[#This Row],[Ship Date]],"D")&lt;7,"On time","Delayed")</f>
        <v>Delayed</v>
      </c>
      <c r="F520" t="s">
        <v>1504</v>
      </c>
      <c r="G520" t="s">
        <v>14</v>
      </c>
      <c r="H520" t="s">
        <v>15</v>
      </c>
      <c r="I520" t="s">
        <v>16</v>
      </c>
      <c r="J520" t="s">
        <v>88</v>
      </c>
      <c r="K520" t="s">
        <v>1264</v>
      </c>
      <c r="L520">
        <v>203.92</v>
      </c>
      <c r="M520">
        <v>5</v>
      </c>
      <c r="N520" t="str">
        <f>IF(Walmart[[#This Row],[Quantity]]&gt;=7,"Bulk",IF(Walmart[[#This Row],[Quantity]]&gt;=2,"Multi","Single"))</f>
        <v>Multi</v>
      </c>
      <c r="O520">
        <v>22.94</v>
      </c>
      <c r="P520" t="str">
        <f>IF(Walmart[[#This Row],[Sales]]&gt;=1000,"High Value", IF(Walmart[[#This Row],[Sales]]&gt;=500,"Medium Value","Low Value"))</f>
        <v>Low Value</v>
      </c>
    </row>
    <row r="521" spans="1:16" x14ac:dyDescent="0.3">
      <c r="A521" t="s">
        <v>1662</v>
      </c>
      <c r="B521" s="1">
        <v>41930</v>
      </c>
      <c r="C521" s="1" t="str">
        <f>TEXT(Walmart[[#This Row],[Order Date]],"mmmm")</f>
        <v>October</v>
      </c>
      <c r="D521" s="1">
        <v>41932</v>
      </c>
      <c r="E521" s="1" t="str">
        <f>IF(DATEDIF(Walmart[[#This Row],[Order Date]],Walmart[[#This Row],[Ship Date]],"D")&lt;7,"On time","Delayed")</f>
        <v>On time</v>
      </c>
      <c r="F521" t="s">
        <v>1663</v>
      </c>
      <c r="G521" t="s">
        <v>14</v>
      </c>
      <c r="H521" t="s">
        <v>160</v>
      </c>
      <c r="I521" t="s">
        <v>16</v>
      </c>
      <c r="J521" t="s">
        <v>38</v>
      </c>
      <c r="K521" t="s">
        <v>1664</v>
      </c>
      <c r="L521">
        <v>10.64</v>
      </c>
      <c r="M521">
        <v>4</v>
      </c>
      <c r="N521" t="str">
        <f>IF(Walmart[[#This Row],[Quantity]]&gt;=7,"Bulk",IF(Walmart[[#This Row],[Quantity]]&gt;=2,"Multi","Single"))</f>
        <v>Multi</v>
      </c>
      <c r="O521">
        <v>2.77</v>
      </c>
      <c r="P521" t="str">
        <f>IF(Walmart[[#This Row],[Sales]]&gt;=1000,"High Value", IF(Walmart[[#This Row],[Sales]]&gt;=500,"Medium Value","Low Value"))</f>
        <v>Low Value</v>
      </c>
    </row>
    <row r="522" spans="1:16" hidden="1" x14ac:dyDescent="0.3">
      <c r="A522" t="s">
        <v>1508</v>
      </c>
      <c r="B522" s="1">
        <v>41256</v>
      </c>
      <c r="C522" s="1" t="str">
        <f>TEXT(Walmart[[#This Row],[Order Date]],"mmmm")</f>
        <v>December</v>
      </c>
      <c r="D522" s="1">
        <v>41258</v>
      </c>
      <c r="E522" s="1" t="str">
        <f>IF(DATEDIF(Walmart[[#This Row],[Order Date]],Walmart[[#This Row],[Ship Date]],"D")&lt;7,"On time","Delayed")</f>
        <v>On time</v>
      </c>
      <c r="F522" t="s">
        <v>1509</v>
      </c>
      <c r="G522" t="s">
        <v>14</v>
      </c>
      <c r="H522" t="s">
        <v>1510</v>
      </c>
      <c r="I522" t="s">
        <v>16</v>
      </c>
      <c r="J522" t="s">
        <v>146</v>
      </c>
      <c r="K522" t="s">
        <v>1511</v>
      </c>
      <c r="L522">
        <v>494.38</v>
      </c>
      <c r="M522">
        <v>3</v>
      </c>
      <c r="N522" t="str">
        <f>IF(Walmart[[#This Row],[Quantity]]&gt;=7,"Bulk",IF(Walmart[[#This Row],[Quantity]]&gt;=2,"Multi","Single"))</f>
        <v>Multi</v>
      </c>
      <c r="O522">
        <v>49.44</v>
      </c>
      <c r="P522" t="str">
        <f>IF(Walmart[[#This Row],[Sales]]&gt;=1000,"High Value", IF(Walmart[[#This Row],[Sales]]&gt;=500,"Medium Value","Low Value"))</f>
        <v>Low Value</v>
      </c>
    </row>
    <row r="523" spans="1:16" hidden="1" x14ac:dyDescent="0.3">
      <c r="A523" t="s">
        <v>1512</v>
      </c>
      <c r="B523" s="1">
        <v>40903</v>
      </c>
      <c r="C523" s="1" t="str">
        <f>TEXT(Walmart[[#This Row],[Order Date]],"mmmm")</f>
        <v>December</v>
      </c>
      <c r="D523" s="1">
        <v>40907</v>
      </c>
      <c r="E523" s="1" t="str">
        <f>IF(DATEDIF(Walmart[[#This Row],[Order Date]],Walmart[[#This Row],[Ship Date]],"D")&lt;7,"On time","Delayed")</f>
        <v>On time</v>
      </c>
      <c r="F523" t="s">
        <v>1009</v>
      </c>
      <c r="G523" t="s">
        <v>14</v>
      </c>
      <c r="H523" t="s">
        <v>160</v>
      </c>
      <c r="I523" t="s">
        <v>16</v>
      </c>
      <c r="J523" t="s">
        <v>334</v>
      </c>
      <c r="K523" t="s">
        <v>1513</v>
      </c>
      <c r="L523">
        <v>11.91</v>
      </c>
      <c r="M523">
        <v>3</v>
      </c>
      <c r="N523" t="str">
        <f>IF(Walmart[[#This Row],[Quantity]]&gt;=7,"Bulk",IF(Walmart[[#This Row],[Quantity]]&gt;=2,"Multi","Single"))</f>
        <v>Multi</v>
      </c>
      <c r="O523">
        <v>0.12</v>
      </c>
      <c r="P523" t="str">
        <f>IF(Walmart[[#This Row],[Sales]]&gt;=1000,"High Value", IF(Walmart[[#This Row],[Sales]]&gt;=500,"Medium Value","Low Value"))</f>
        <v>Low Value</v>
      </c>
    </row>
    <row r="524" spans="1:16" hidden="1" x14ac:dyDescent="0.3">
      <c r="A524" t="s">
        <v>1514</v>
      </c>
      <c r="B524" s="1">
        <v>41052</v>
      </c>
      <c r="C524" s="1" t="str">
        <f>TEXT(Walmart[[#This Row],[Order Date]],"mmmm")</f>
        <v>May</v>
      </c>
      <c r="D524" s="1">
        <v>41059</v>
      </c>
      <c r="E524" s="1" t="str">
        <f>IF(DATEDIF(Walmart[[#This Row],[Order Date]],Walmart[[#This Row],[Ship Date]],"D")&lt;7,"On time","Delayed")</f>
        <v>Delayed</v>
      </c>
      <c r="F524" t="s">
        <v>41</v>
      </c>
      <c r="G524" t="s">
        <v>14</v>
      </c>
      <c r="H524" t="s">
        <v>84</v>
      </c>
      <c r="I524" t="s">
        <v>58</v>
      </c>
      <c r="J524" t="s">
        <v>27</v>
      </c>
      <c r="K524" t="s">
        <v>664</v>
      </c>
      <c r="L524">
        <v>19.190000000000001</v>
      </c>
      <c r="M524">
        <v>7</v>
      </c>
      <c r="N524" t="str">
        <f>IF(Walmart[[#This Row],[Quantity]]&gt;=7,"Bulk",IF(Walmart[[#This Row],[Quantity]]&gt;=2,"Multi","Single"))</f>
        <v>Bulk</v>
      </c>
      <c r="O524">
        <v>-12.8</v>
      </c>
      <c r="P524" t="str">
        <f>IF(Walmart[[#This Row],[Sales]]&gt;=1000,"High Value", IF(Walmart[[#This Row],[Sales]]&gt;=500,"Medium Value","Low Value"))</f>
        <v>Low Value</v>
      </c>
    </row>
    <row r="525" spans="1:16" x14ac:dyDescent="0.3">
      <c r="A525" t="s">
        <v>3017</v>
      </c>
      <c r="B525" s="1">
        <v>41930</v>
      </c>
      <c r="C525" s="1" t="str">
        <f>TEXT(Walmart[[#This Row],[Order Date]],"mmmm")</f>
        <v>October</v>
      </c>
      <c r="D525" s="1">
        <v>41932</v>
      </c>
      <c r="E525" s="1" t="str">
        <f>IF(DATEDIF(Walmart[[#This Row],[Order Date]],Walmart[[#This Row],[Ship Date]],"D")&lt;7,"On time","Delayed")</f>
        <v>On time</v>
      </c>
      <c r="F525" t="s">
        <v>2141</v>
      </c>
      <c r="G525" t="s">
        <v>14</v>
      </c>
      <c r="H525" t="s">
        <v>2832</v>
      </c>
      <c r="I525" t="s">
        <v>16</v>
      </c>
      <c r="J525" t="s">
        <v>146</v>
      </c>
      <c r="K525" t="s">
        <v>2106</v>
      </c>
      <c r="L525">
        <v>52.79</v>
      </c>
      <c r="M525">
        <v>1</v>
      </c>
      <c r="N525" t="str">
        <f>IF(Walmart[[#This Row],[Quantity]]&gt;=7,"Bulk",IF(Walmart[[#This Row],[Quantity]]&gt;=2,"Multi","Single"))</f>
        <v>Single</v>
      </c>
      <c r="O525">
        <v>4.62</v>
      </c>
      <c r="P525" t="str">
        <f>IF(Walmart[[#This Row],[Sales]]&gt;=1000,"High Value", IF(Walmart[[#This Row],[Sales]]&gt;=500,"Medium Value","Low Value"))</f>
        <v>Low Value</v>
      </c>
    </row>
    <row r="526" spans="1:16" hidden="1" x14ac:dyDescent="0.3">
      <c r="A526" t="s">
        <v>1518</v>
      </c>
      <c r="B526" s="1">
        <v>40813</v>
      </c>
      <c r="C526" s="1" t="str">
        <f>TEXT(Walmart[[#This Row],[Order Date]],"mmmm")</f>
        <v>September</v>
      </c>
      <c r="D526" s="1">
        <v>40817</v>
      </c>
      <c r="E526" s="1" t="str">
        <f>IF(DATEDIF(Walmart[[#This Row],[Order Date]],Walmart[[#This Row],[Ship Date]],"D")&lt;7,"On time","Delayed")</f>
        <v>On time</v>
      </c>
      <c r="F526" t="s">
        <v>823</v>
      </c>
      <c r="G526" t="s">
        <v>14</v>
      </c>
      <c r="H526" t="s">
        <v>160</v>
      </c>
      <c r="I526" t="s">
        <v>16</v>
      </c>
      <c r="J526" t="s">
        <v>88</v>
      </c>
      <c r="K526" t="s">
        <v>892</v>
      </c>
      <c r="L526">
        <v>603.91999999999996</v>
      </c>
      <c r="M526">
        <v>5</v>
      </c>
      <c r="N526" t="str">
        <f>IF(Walmart[[#This Row],[Quantity]]&gt;=7,"Bulk",IF(Walmart[[#This Row],[Quantity]]&gt;=2,"Multi","Single"))</f>
        <v>Multi</v>
      </c>
      <c r="O526">
        <v>45.29</v>
      </c>
      <c r="P526" t="str">
        <f>IF(Walmart[[#This Row],[Sales]]&gt;=1000,"High Value", IF(Walmart[[#This Row],[Sales]]&gt;=500,"Medium Value","Low Value"))</f>
        <v>Medium Value</v>
      </c>
    </row>
    <row r="527" spans="1:16" hidden="1" x14ac:dyDescent="0.3">
      <c r="A527" t="s">
        <v>1519</v>
      </c>
      <c r="B527" s="1">
        <v>41163</v>
      </c>
      <c r="C527" s="1" t="str">
        <f>TEXT(Walmart[[#This Row],[Order Date]],"mmmm")</f>
        <v>September</v>
      </c>
      <c r="D527" s="1">
        <v>41167</v>
      </c>
      <c r="E527" s="1" t="str">
        <f>IF(DATEDIF(Walmart[[#This Row],[Order Date]],Walmart[[#This Row],[Ship Date]],"D")&lt;7,"On time","Delayed")</f>
        <v>On time</v>
      </c>
      <c r="F527" t="s">
        <v>843</v>
      </c>
      <c r="G527" t="s">
        <v>14</v>
      </c>
      <c r="H527" t="s">
        <v>137</v>
      </c>
      <c r="I527" t="s">
        <v>16</v>
      </c>
      <c r="J527" t="s">
        <v>38</v>
      </c>
      <c r="K527" t="s">
        <v>1520</v>
      </c>
      <c r="L527">
        <v>181.35</v>
      </c>
      <c r="M527">
        <v>9</v>
      </c>
      <c r="N527" t="str">
        <f>IF(Walmart[[#This Row],[Quantity]]&gt;=7,"Bulk",IF(Walmart[[#This Row],[Quantity]]&gt;=2,"Multi","Single"))</f>
        <v>Bulk</v>
      </c>
      <c r="O527">
        <v>48.96</v>
      </c>
      <c r="P527" t="str">
        <f>IF(Walmart[[#This Row],[Sales]]&gt;=1000,"High Value", IF(Walmart[[#This Row],[Sales]]&gt;=500,"Medium Value","Low Value"))</f>
        <v>Low Value</v>
      </c>
    </row>
    <row r="528" spans="1:16" x14ac:dyDescent="0.3">
      <c r="A528" t="s">
        <v>2170</v>
      </c>
      <c r="B528" s="1">
        <v>41929</v>
      </c>
      <c r="C528" s="1" t="str">
        <f>TEXT(Walmart[[#This Row],[Order Date]],"mmmm")</f>
        <v>October</v>
      </c>
      <c r="D528" s="1">
        <v>41934</v>
      </c>
      <c r="E528" s="1" t="str">
        <f>IF(DATEDIF(Walmart[[#This Row],[Order Date]],Walmart[[#This Row],[Ship Date]],"D")&lt;7,"On time","Delayed")</f>
        <v>On time</v>
      </c>
      <c r="F528" t="s">
        <v>2171</v>
      </c>
      <c r="G528" t="s">
        <v>14</v>
      </c>
      <c r="H528" t="s">
        <v>104</v>
      </c>
      <c r="I528" t="s">
        <v>58</v>
      </c>
      <c r="J528" t="s">
        <v>93</v>
      </c>
      <c r="K528" t="s">
        <v>2172</v>
      </c>
      <c r="L528">
        <v>307.77999999999997</v>
      </c>
      <c r="M528">
        <v>7</v>
      </c>
      <c r="N528" t="str">
        <f>IF(Walmart[[#This Row],[Quantity]]&gt;=7,"Bulk",IF(Walmart[[#This Row],[Quantity]]&gt;=2,"Multi","Single"))</f>
        <v>Bulk</v>
      </c>
      <c r="O528">
        <v>111.57</v>
      </c>
      <c r="P528" t="str">
        <f>IF(Walmart[[#This Row],[Sales]]&gt;=1000,"High Value", IF(Walmart[[#This Row],[Sales]]&gt;=500,"Medium Value","Low Value"))</f>
        <v>Low Value</v>
      </c>
    </row>
    <row r="529" spans="1:16" hidden="1" x14ac:dyDescent="0.3">
      <c r="A529" t="s">
        <v>1524</v>
      </c>
      <c r="B529" s="1">
        <v>41134</v>
      </c>
      <c r="C529" s="1" t="str">
        <f>TEXT(Walmart[[#This Row],[Order Date]],"mmmm")</f>
        <v>August</v>
      </c>
      <c r="D529" s="1">
        <v>41141</v>
      </c>
      <c r="E529" s="1" t="str">
        <f>IF(DATEDIF(Walmart[[#This Row],[Order Date]],Walmart[[#This Row],[Ship Date]],"D")&lt;7,"On time","Delayed")</f>
        <v>Delayed</v>
      </c>
      <c r="F529" t="s">
        <v>1525</v>
      </c>
      <c r="G529" t="s">
        <v>14</v>
      </c>
      <c r="H529" t="s">
        <v>1526</v>
      </c>
      <c r="I529" t="s">
        <v>16</v>
      </c>
      <c r="J529" t="s">
        <v>38</v>
      </c>
      <c r="K529" t="s">
        <v>1527</v>
      </c>
      <c r="L529">
        <v>50.8</v>
      </c>
      <c r="M529">
        <v>5</v>
      </c>
      <c r="N529" t="str">
        <f>IF(Walmart[[#This Row],[Quantity]]&gt;=7,"Bulk",IF(Walmart[[#This Row],[Quantity]]&gt;=2,"Multi","Single"))</f>
        <v>Multi</v>
      </c>
      <c r="O529">
        <v>13.21</v>
      </c>
      <c r="P529" t="str">
        <f>IF(Walmart[[#This Row],[Sales]]&gt;=1000,"High Value", IF(Walmart[[#This Row],[Sales]]&gt;=500,"Medium Value","Low Value"))</f>
        <v>Low Value</v>
      </c>
    </row>
    <row r="530" spans="1:16" hidden="1" x14ac:dyDescent="0.3">
      <c r="A530" t="s">
        <v>1528</v>
      </c>
      <c r="B530" s="1">
        <v>41504</v>
      </c>
      <c r="C530" s="1" t="str">
        <f>TEXT(Walmart[[#This Row],[Order Date]],"mmmm")</f>
        <v>August</v>
      </c>
      <c r="D530" s="1">
        <v>41508</v>
      </c>
      <c r="E530" s="1" t="str">
        <f>IF(DATEDIF(Walmart[[#This Row],[Order Date]],Walmart[[#This Row],[Ship Date]],"D")&lt;7,"On time","Delayed")</f>
        <v>On time</v>
      </c>
      <c r="F530" t="s">
        <v>568</v>
      </c>
      <c r="G530" t="s">
        <v>14</v>
      </c>
      <c r="H530" t="s">
        <v>25</v>
      </c>
      <c r="I530" t="s">
        <v>26</v>
      </c>
      <c r="J530" t="s">
        <v>27</v>
      </c>
      <c r="K530" t="s">
        <v>777</v>
      </c>
      <c r="L530">
        <v>15.71</v>
      </c>
      <c r="M530">
        <v>4</v>
      </c>
      <c r="N530" t="str">
        <f>IF(Walmart[[#This Row],[Quantity]]&gt;=7,"Bulk",IF(Walmart[[#This Row],[Quantity]]&gt;=2,"Multi","Single"))</f>
        <v>Multi</v>
      </c>
      <c r="O530">
        <v>5.7</v>
      </c>
      <c r="P530" t="str">
        <f>IF(Walmart[[#This Row],[Sales]]&gt;=1000,"High Value", IF(Walmart[[#This Row],[Sales]]&gt;=500,"Medium Value","Low Value"))</f>
        <v>Low Value</v>
      </c>
    </row>
    <row r="531" spans="1:16" hidden="1" x14ac:dyDescent="0.3">
      <c r="A531" t="s">
        <v>1529</v>
      </c>
      <c r="B531" s="1">
        <v>40809</v>
      </c>
      <c r="C531" s="1" t="str">
        <f>TEXT(Walmart[[#This Row],[Order Date]],"mmmm")</f>
        <v>September</v>
      </c>
      <c r="D531" s="1">
        <v>40814</v>
      </c>
      <c r="E531" s="1" t="str">
        <f>IF(DATEDIF(Walmart[[#This Row],[Order Date]],Walmart[[#This Row],[Ship Date]],"D")&lt;7,"On time","Delayed")</f>
        <v>On time</v>
      </c>
      <c r="F531" t="s">
        <v>1530</v>
      </c>
      <c r="G531" t="s">
        <v>14</v>
      </c>
      <c r="H531" t="s">
        <v>160</v>
      </c>
      <c r="I531" t="s">
        <v>16</v>
      </c>
      <c r="J531" t="s">
        <v>671</v>
      </c>
      <c r="K531" t="s">
        <v>1531</v>
      </c>
      <c r="L531">
        <v>436</v>
      </c>
      <c r="M531">
        <v>3</v>
      </c>
      <c r="N531" t="str">
        <f>IF(Walmart[[#This Row],[Quantity]]&gt;=7,"Bulk",IF(Walmart[[#This Row],[Quantity]]&gt;=2,"Multi","Single"))</f>
        <v>Multi</v>
      </c>
      <c r="O531">
        <v>20.52</v>
      </c>
      <c r="P531" t="str">
        <f>IF(Walmart[[#This Row],[Sales]]&gt;=1000,"High Value", IF(Walmart[[#This Row],[Sales]]&gt;=500,"Medium Value","Low Value"))</f>
        <v>Low Value</v>
      </c>
    </row>
    <row r="532" spans="1:16" hidden="1" x14ac:dyDescent="0.3">
      <c r="A532" t="s">
        <v>1532</v>
      </c>
      <c r="B532" s="1">
        <v>40575</v>
      </c>
      <c r="C532" s="1" t="str">
        <f>TEXT(Walmart[[#This Row],[Order Date]],"mmmm")</f>
        <v>February</v>
      </c>
      <c r="D532" s="1">
        <v>40577</v>
      </c>
      <c r="E532" s="1" t="str">
        <f>IF(DATEDIF(Walmart[[#This Row],[Order Date]],Walmart[[#This Row],[Ship Date]],"D")&lt;7,"On time","Delayed")</f>
        <v>On time</v>
      </c>
      <c r="F532" t="s">
        <v>1533</v>
      </c>
      <c r="G532" t="s">
        <v>14</v>
      </c>
      <c r="H532" t="s">
        <v>364</v>
      </c>
      <c r="I532" t="s">
        <v>16</v>
      </c>
      <c r="J532" t="s">
        <v>671</v>
      </c>
      <c r="K532" t="s">
        <v>1534</v>
      </c>
      <c r="L532">
        <v>290.67</v>
      </c>
      <c r="M532">
        <v>2</v>
      </c>
      <c r="N532" t="str">
        <f>IF(Walmart[[#This Row],[Quantity]]&gt;=7,"Bulk",IF(Walmart[[#This Row],[Quantity]]&gt;=2,"Multi","Single"))</f>
        <v>Multi</v>
      </c>
      <c r="O532">
        <v>3.42</v>
      </c>
      <c r="P532" t="str">
        <f>IF(Walmart[[#This Row],[Sales]]&gt;=1000,"High Value", IF(Walmart[[#This Row],[Sales]]&gt;=500,"Medium Value","Low Value"))</f>
        <v>Low Value</v>
      </c>
    </row>
    <row r="533" spans="1:16" hidden="1" x14ac:dyDescent="0.3">
      <c r="A533" t="s">
        <v>1535</v>
      </c>
      <c r="B533" s="1">
        <v>41234</v>
      </c>
      <c r="C533" s="1" t="str">
        <f>TEXT(Walmart[[#This Row],[Order Date]],"mmmm")</f>
        <v>November</v>
      </c>
      <c r="D533" s="1">
        <v>41238</v>
      </c>
      <c r="E533" s="1" t="str">
        <f>IF(DATEDIF(Walmart[[#This Row],[Order Date]],Walmart[[#This Row],[Ship Date]],"D")&lt;7,"On time","Delayed")</f>
        <v>On time</v>
      </c>
      <c r="F533" t="s">
        <v>810</v>
      </c>
      <c r="G533" t="s">
        <v>14</v>
      </c>
      <c r="H533" t="s">
        <v>226</v>
      </c>
      <c r="I533" t="s">
        <v>227</v>
      </c>
      <c r="J533" t="s">
        <v>671</v>
      </c>
      <c r="K533" t="s">
        <v>1536</v>
      </c>
      <c r="L533">
        <v>141.96</v>
      </c>
      <c r="M533">
        <v>2</v>
      </c>
      <c r="N533" t="str">
        <f>IF(Walmart[[#This Row],[Quantity]]&gt;=7,"Bulk",IF(Walmart[[#This Row],[Quantity]]&gt;=2,"Multi","Single"))</f>
        <v>Multi</v>
      </c>
      <c r="O533">
        <v>41.17</v>
      </c>
      <c r="P533" t="str">
        <f>IF(Walmart[[#This Row],[Sales]]&gt;=1000,"High Value", IF(Walmart[[#This Row],[Sales]]&gt;=500,"Medium Value","Low Value"))</f>
        <v>Low Value</v>
      </c>
    </row>
    <row r="534" spans="1:16" x14ac:dyDescent="0.3">
      <c r="A534" t="s">
        <v>2810</v>
      </c>
      <c r="B534" s="1">
        <v>41929</v>
      </c>
      <c r="C534" s="1" t="str">
        <f>TEXT(Walmart[[#This Row],[Order Date]],"mmmm")</f>
        <v>October</v>
      </c>
      <c r="D534" s="1">
        <v>41934</v>
      </c>
      <c r="E534" s="1" t="str">
        <f>IF(DATEDIF(Walmart[[#This Row],[Order Date]],Walmart[[#This Row],[Ship Date]],"D")&lt;7,"On time","Delayed")</f>
        <v>On time</v>
      </c>
      <c r="F534" t="s">
        <v>1467</v>
      </c>
      <c r="G534" t="s">
        <v>14</v>
      </c>
      <c r="H534" t="s">
        <v>1984</v>
      </c>
      <c r="I534" t="s">
        <v>58</v>
      </c>
      <c r="J534" t="s">
        <v>1168</v>
      </c>
      <c r="K534" t="s">
        <v>2811</v>
      </c>
      <c r="L534">
        <v>599.99</v>
      </c>
      <c r="M534">
        <v>5</v>
      </c>
      <c r="N534" t="str">
        <f>IF(Walmart[[#This Row],[Quantity]]&gt;=7,"Bulk",IF(Walmart[[#This Row],[Quantity]]&gt;=2,"Multi","Single"))</f>
        <v>Multi</v>
      </c>
      <c r="O534">
        <v>-479.99</v>
      </c>
      <c r="P534" t="str">
        <f>IF(Walmart[[#This Row],[Sales]]&gt;=1000,"High Value", IF(Walmart[[#This Row],[Sales]]&gt;=500,"Medium Value","Low Value"))</f>
        <v>Medium Value</v>
      </c>
    </row>
    <row r="535" spans="1:16" hidden="1" x14ac:dyDescent="0.3">
      <c r="A535" t="s">
        <v>1539</v>
      </c>
      <c r="B535" s="1">
        <v>40764</v>
      </c>
      <c r="C535" s="1" t="str">
        <f>TEXT(Walmart[[#This Row],[Order Date]],"mmmm")</f>
        <v>August</v>
      </c>
      <c r="D535" s="1">
        <v>40768</v>
      </c>
      <c r="E535" s="1" t="str">
        <f>IF(DATEDIF(Walmart[[#This Row],[Order Date]],Walmart[[#This Row],[Ship Date]],"D")&lt;7,"On time","Delayed")</f>
        <v>On time</v>
      </c>
      <c r="F535" t="s">
        <v>1540</v>
      </c>
      <c r="G535" t="s">
        <v>14</v>
      </c>
      <c r="H535" t="s">
        <v>25</v>
      </c>
      <c r="I535" t="s">
        <v>26</v>
      </c>
      <c r="J535" t="s">
        <v>146</v>
      </c>
      <c r="K535" t="s">
        <v>1541</v>
      </c>
      <c r="L535">
        <v>1091.17</v>
      </c>
      <c r="M535">
        <v>4</v>
      </c>
      <c r="N535" t="str">
        <f>IF(Walmart[[#This Row],[Quantity]]&gt;=7,"Bulk",IF(Walmart[[#This Row],[Quantity]]&gt;=2,"Multi","Single"))</f>
        <v>Multi</v>
      </c>
      <c r="O535">
        <v>68.2</v>
      </c>
      <c r="P535" t="str">
        <f>IF(Walmart[[#This Row],[Sales]]&gt;=1000,"High Value", IF(Walmart[[#This Row],[Sales]]&gt;=500,"Medium Value","Low Value"))</f>
        <v>High Value</v>
      </c>
    </row>
    <row r="536" spans="1:16" hidden="1" x14ac:dyDescent="0.3">
      <c r="A536" t="s">
        <v>1542</v>
      </c>
      <c r="B536" s="1">
        <v>41199</v>
      </c>
      <c r="C536" s="1" t="str">
        <f>TEXT(Walmart[[#This Row],[Order Date]],"mmmm")</f>
        <v>October</v>
      </c>
      <c r="D536" s="1">
        <v>41199</v>
      </c>
      <c r="E536" s="1" t="str">
        <f>IF(DATEDIF(Walmart[[#This Row],[Order Date]],Walmart[[#This Row],[Ship Date]],"D")&lt;7,"On time","Delayed")</f>
        <v>On time</v>
      </c>
      <c r="F536" t="s">
        <v>1543</v>
      </c>
      <c r="G536" t="s">
        <v>14</v>
      </c>
      <c r="H536" t="s">
        <v>15</v>
      </c>
      <c r="I536" t="s">
        <v>16</v>
      </c>
      <c r="J536" t="s">
        <v>33</v>
      </c>
      <c r="K536" t="s">
        <v>50</v>
      </c>
      <c r="L536">
        <v>77.88</v>
      </c>
      <c r="M536">
        <v>2</v>
      </c>
      <c r="N536" t="str">
        <f>IF(Walmart[[#This Row],[Quantity]]&gt;=7,"Bulk",IF(Walmart[[#This Row],[Quantity]]&gt;=2,"Multi","Single"))</f>
        <v>Multi</v>
      </c>
      <c r="O536">
        <v>3.89</v>
      </c>
      <c r="P536" t="str">
        <f>IF(Walmart[[#This Row],[Sales]]&gt;=1000,"High Value", IF(Walmart[[#This Row],[Sales]]&gt;=500,"Medium Value","Low Value"))</f>
        <v>Low Value</v>
      </c>
    </row>
    <row r="537" spans="1:16" hidden="1" x14ac:dyDescent="0.3">
      <c r="A537" t="s">
        <v>1544</v>
      </c>
      <c r="B537" s="1">
        <v>41538</v>
      </c>
      <c r="C537" s="1" t="str">
        <f>TEXT(Walmart[[#This Row],[Order Date]],"mmmm")</f>
        <v>September</v>
      </c>
      <c r="D537" s="1">
        <v>41542</v>
      </c>
      <c r="E537" s="1" t="str">
        <f>IF(DATEDIF(Walmart[[#This Row],[Order Date]],Walmart[[#This Row],[Ship Date]],"D")&lt;7,"On time","Delayed")</f>
        <v>On time</v>
      </c>
      <c r="F537" t="s">
        <v>1194</v>
      </c>
      <c r="G537" t="s">
        <v>14</v>
      </c>
      <c r="H537" t="s">
        <v>37</v>
      </c>
      <c r="I537" t="s">
        <v>16</v>
      </c>
      <c r="J537" t="s">
        <v>93</v>
      </c>
      <c r="K537" t="s">
        <v>1545</v>
      </c>
      <c r="L537">
        <v>65.790000000000006</v>
      </c>
      <c r="M537">
        <v>9</v>
      </c>
      <c r="N537" t="str">
        <f>IF(Walmart[[#This Row],[Quantity]]&gt;=7,"Bulk",IF(Walmart[[#This Row],[Quantity]]&gt;=2,"Multi","Single"))</f>
        <v>Bulk</v>
      </c>
      <c r="O537">
        <v>30.26</v>
      </c>
      <c r="P537" t="str">
        <f>IF(Walmart[[#This Row],[Sales]]&gt;=1000,"High Value", IF(Walmart[[#This Row],[Sales]]&gt;=500,"Medium Value","Low Value"))</f>
        <v>Low Value</v>
      </c>
    </row>
    <row r="538" spans="1:16" hidden="1" x14ac:dyDescent="0.3">
      <c r="A538" t="s">
        <v>1546</v>
      </c>
      <c r="B538" s="1">
        <v>41026</v>
      </c>
      <c r="C538" s="1" t="str">
        <f>TEXT(Walmart[[#This Row],[Order Date]],"mmmm")</f>
        <v>April</v>
      </c>
      <c r="D538" s="1">
        <v>41031</v>
      </c>
      <c r="E538" s="1" t="str">
        <f>IF(DATEDIF(Walmart[[#This Row],[Order Date]],Walmart[[#This Row],[Ship Date]],"D")&lt;7,"On time","Delayed")</f>
        <v>On time</v>
      </c>
      <c r="F538" t="s">
        <v>1547</v>
      </c>
      <c r="G538" t="s">
        <v>14</v>
      </c>
      <c r="H538" t="s">
        <v>76</v>
      </c>
      <c r="I538" t="s">
        <v>77</v>
      </c>
      <c r="J538" t="s">
        <v>105</v>
      </c>
      <c r="K538" t="s">
        <v>1321</v>
      </c>
      <c r="L538">
        <v>43.56</v>
      </c>
      <c r="M538">
        <v>5</v>
      </c>
      <c r="N538" t="str">
        <f>IF(Walmart[[#This Row],[Quantity]]&gt;=7,"Bulk",IF(Walmart[[#This Row],[Quantity]]&gt;=2,"Multi","Single"))</f>
        <v>Multi</v>
      </c>
      <c r="O538">
        <v>3.27</v>
      </c>
      <c r="P538" t="str">
        <f>IF(Walmart[[#This Row],[Sales]]&gt;=1000,"High Value", IF(Walmart[[#This Row],[Sales]]&gt;=500,"Medium Value","Low Value"))</f>
        <v>Low Value</v>
      </c>
    </row>
    <row r="539" spans="1:16" hidden="1" x14ac:dyDescent="0.3">
      <c r="A539" t="s">
        <v>1548</v>
      </c>
      <c r="B539" s="1">
        <v>41423</v>
      </c>
      <c r="C539" s="1" t="str">
        <f>TEXT(Walmart[[#This Row],[Order Date]],"mmmm")</f>
        <v>May</v>
      </c>
      <c r="D539" s="1">
        <v>41429</v>
      </c>
      <c r="E539" s="1" t="str">
        <f>IF(DATEDIF(Walmart[[#This Row],[Order Date]],Walmart[[#This Row],[Ship Date]],"D")&lt;7,"On time","Delayed")</f>
        <v>On time</v>
      </c>
      <c r="F539" t="s">
        <v>411</v>
      </c>
      <c r="G539" t="s">
        <v>14</v>
      </c>
      <c r="H539" t="s">
        <v>15</v>
      </c>
      <c r="I539" t="s">
        <v>16</v>
      </c>
      <c r="J539" t="s">
        <v>105</v>
      </c>
      <c r="K539" t="s">
        <v>1549</v>
      </c>
      <c r="L539">
        <v>262.24</v>
      </c>
      <c r="M539">
        <v>2</v>
      </c>
      <c r="N539" t="str">
        <f>IF(Walmart[[#This Row],[Quantity]]&gt;=7,"Bulk",IF(Walmart[[#This Row],[Quantity]]&gt;=2,"Multi","Single"))</f>
        <v>Multi</v>
      </c>
      <c r="O539">
        <v>78.67</v>
      </c>
      <c r="P539" t="str">
        <f>IF(Walmart[[#This Row],[Sales]]&gt;=1000,"High Value", IF(Walmart[[#This Row],[Sales]]&gt;=500,"Medium Value","Low Value"))</f>
        <v>Low Value</v>
      </c>
    </row>
    <row r="540" spans="1:16" x14ac:dyDescent="0.3">
      <c r="A540" t="s">
        <v>646</v>
      </c>
      <c r="B540" s="1">
        <v>41928</v>
      </c>
      <c r="C540" s="1" t="str">
        <f>TEXT(Walmart[[#This Row],[Order Date]],"mmmm")</f>
        <v>October</v>
      </c>
      <c r="D540" s="1">
        <v>41931</v>
      </c>
      <c r="E540" s="1" t="str">
        <f>IF(DATEDIF(Walmart[[#This Row],[Order Date]],Walmart[[#This Row],[Ship Date]],"D")&lt;7,"On time","Delayed")</f>
        <v>On time</v>
      </c>
      <c r="F540" t="s">
        <v>647</v>
      </c>
      <c r="G540" t="s">
        <v>14</v>
      </c>
      <c r="H540" t="s">
        <v>37</v>
      </c>
      <c r="I540" t="s">
        <v>16</v>
      </c>
      <c r="J540" t="s">
        <v>38</v>
      </c>
      <c r="K540" t="s">
        <v>648</v>
      </c>
      <c r="L540">
        <v>87.92</v>
      </c>
      <c r="M540">
        <v>4</v>
      </c>
      <c r="N540" t="str">
        <f>IF(Walmart[[#This Row],[Quantity]]&gt;=7,"Bulk",IF(Walmart[[#This Row],[Quantity]]&gt;=2,"Multi","Single"))</f>
        <v>Multi</v>
      </c>
      <c r="O540">
        <v>26.38</v>
      </c>
      <c r="P540" t="str">
        <f>IF(Walmart[[#This Row],[Sales]]&gt;=1000,"High Value", IF(Walmart[[#This Row],[Sales]]&gt;=500,"Medium Value","Low Value"))</f>
        <v>Low Value</v>
      </c>
    </row>
    <row r="541" spans="1:16" x14ac:dyDescent="0.3">
      <c r="A541" t="s">
        <v>1626</v>
      </c>
      <c r="B541" s="1">
        <v>41928</v>
      </c>
      <c r="C541" s="1" t="str">
        <f>TEXT(Walmart[[#This Row],[Order Date]],"mmmm")</f>
        <v>October</v>
      </c>
      <c r="D541" s="1">
        <v>41930</v>
      </c>
      <c r="E541" s="1" t="str">
        <f>IF(DATEDIF(Walmart[[#This Row],[Order Date]],Walmart[[#This Row],[Ship Date]],"D")&lt;7,"On time","Delayed")</f>
        <v>On time</v>
      </c>
      <c r="F541" t="s">
        <v>1627</v>
      </c>
      <c r="G541" t="s">
        <v>14</v>
      </c>
      <c r="H541" t="s">
        <v>15</v>
      </c>
      <c r="I541" t="s">
        <v>16</v>
      </c>
      <c r="J541" t="s">
        <v>43</v>
      </c>
      <c r="K541" t="s">
        <v>1628</v>
      </c>
      <c r="L541">
        <v>510.24</v>
      </c>
      <c r="M541">
        <v>3</v>
      </c>
      <c r="N541" t="str">
        <f>IF(Walmart[[#This Row],[Quantity]]&gt;=7,"Bulk",IF(Walmart[[#This Row],[Quantity]]&gt;=2,"Multi","Single"))</f>
        <v>Multi</v>
      </c>
      <c r="O541">
        <v>6.38</v>
      </c>
      <c r="P541" t="str">
        <f>IF(Walmart[[#This Row],[Sales]]&gt;=1000,"High Value", IF(Walmart[[#This Row],[Sales]]&gt;=500,"Medium Value","Low Value"))</f>
        <v>Medium Value</v>
      </c>
    </row>
    <row r="542" spans="1:16" hidden="1" x14ac:dyDescent="0.3">
      <c r="A542" t="s">
        <v>1555</v>
      </c>
      <c r="B542" s="1">
        <v>41242</v>
      </c>
      <c r="C542" s="1" t="str">
        <f>TEXT(Walmart[[#This Row],[Order Date]],"mmmm")</f>
        <v>November</v>
      </c>
      <c r="D542" s="1">
        <v>41243</v>
      </c>
      <c r="E542" s="1" t="str">
        <f>IF(DATEDIF(Walmart[[#This Row],[Order Date]],Walmart[[#This Row],[Ship Date]],"D")&lt;7,"On time","Delayed")</f>
        <v>On time</v>
      </c>
      <c r="F542" t="s">
        <v>1556</v>
      </c>
      <c r="G542" t="s">
        <v>14</v>
      </c>
      <c r="H542" t="s">
        <v>37</v>
      </c>
      <c r="I542" t="s">
        <v>16</v>
      </c>
      <c r="J542" t="s">
        <v>27</v>
      </c>
      <c r="K542" t="s">
        <v>1557</v>
      </c>
      <c r="L542">
        <v>4.3</v>
      </c>
      <c r="M542">
        <v>1</v>
      </c>
      <c r="N542" t="str">
        <f>IF(Walmart[[#This Row],[Quantity]]&gt;=7,"Bulk",IF(Walmart[[#This Row],[Quantity]]&gt;=2,"Multi","Single"))</f>
        <v>Single</v>
      </c>
      <c r="O542">
        <v>1.56</v>
      </c>
      <c r="P542" t="str">
        <f>IF(Walmart[[#This Row],[Sales]]&gt;=1000,"High Value", IF(Walmart[[#This Row],[Sales]]&gt;=500,"Medium Value","Low Value"))</f>
        <v>Low Value</v>
      </c>
    </row>
    <row r="543" spans="1:16" hidden="1" x14ac:dyDescent="0.3">
      <c r="A543" t="s">
        <v>1558</v>
      </c>
      <c r="B543" s="1">
        <v>41555</v>
      </c>
      <c r="C543" s="1" t="str">
        <f>TEXT(Walmart[[#This Row],[Order Date]],"mmmm")</f>
        <v>October</v>
      </c>
      <c r="D543" s="1">
        <v>41561</v>
      </c>
      <c r="E543" s="1" t="str">
        <f>IF(DATEDIF(Walmart[[#This Row],[Order Date]],Walmart[[#This Row],[Ship Date]],"D")&lt;7,"On time","Delayed")</f>
        <v>On time</v>
      </c>
      <c r="F543" t="s">
        <v>1559</v>
      </c>
      <c r="G543" t="s">
        <v>14</v>
      </c>
      <c r="H543" t="s">
        <v>15</v>
      </c>
      <c r="I543" t="s">
        <v>16</v>
      </c>
      <c r="J543" t="s">
        <v>27</v>
      </c>
      <c r="K543" t="s">
        <v>1560</v>
      </c>
      <c r="L543">
        <v>27.26</v>
      </c>
      <c r="M543">
        <v>2</v>
      </c>
      <c r="N543" t="str">
        <f>IF(Walmart[[#This Row],[Quantity]]&gt;=7,"Bulk",IF(Walmart[[#This Row],[Quantity]]&gt;=2,"Multi","Single"))</f>
        <v>Multi</v>
      </c>
      <c r="O543">
        <v>8.86</v>
      </c>
      <c r="P543" t="str">
        <f>IF(Walmart[[#This Row],[Sales]]&gt;=1000,"High Value", IF(Walmart[[#This Row],[Sales]]&gt;=500,"Medium Value","Low Value"))</f>
        <v>Low Value</v>
      </c>
    </row>
    <row r="544" spans="1:16" hidden="1" x14ac:dyDescent="0.3">
      <c r="A544" t="s">
        <v>1561</v>
      </c>
      <c r="B544" s="1">
        <v>40794</v>
      </c>
      <c r="C544" s="1" t="str">
        <f>TEXT(Walmart[[#This Row],[Order Date]],"mmmm")</f>
        <v>September</v>
      </c>
      <c r="D544" s="1">
        <v>40800</v>
      </c>
      <c r="E544" s="1" t="str">
        <f>IF(DATEDIF(Walmart[[#This Row],[Order Date]],Walmart[[#This Row],[Ship Date]],"D")&lt;7,"On time","Delayed")</f>
        <v>On time</v>
      </c>
      <c r="F544" t="s">
        <v>1562</v>
      </c>
      <c r="G544" t="s">
        <v>14</v>
      </c>
      <c r="H544" t="s">
        <v>37</v>
      </c>
      <c r="I544" t="s">
        <v>16</v>
      </c>
      <c r="J544" t="s">
        <v>105</v>
      </c>
      <c r="K544" t="s">
        <v>1563</v>
      </c>
      <c r="L544">
        <v>56.65</v>
      </c>
      <c r="M544">
        <v>5</v>
      </c>
      <c r="N544" t="str">
        <f>IF(Walmart[[#This Row],[Quantity]]&gt;=7,"Bulk",IF(Walmart[[#This Row],[Quantity]]&gt;=2,"Multi","Single"))</f>
        <v>Multi</v>
      </c>
      <c r="O544">
        <v>24.36</v>
      </c>
      <c r="P544" t="str">
        <f>IF(Walmart[[#This Row],[Sales]]&gt;=1000,"High Value", IF(Walmart[[#This Row],[Sales]]&gt;=500,"Medium Value","Low Value"))</f>
        <v>Low Value</v>
      </c>
    </row>
    <row r="545" spans="1:16" hidden="1" x14ac:dyDescent="0.3">
      <c r="A545" t="s">
        <v>1564</v>
      </c>
      <c r="B545" s="1">
        <v>41610</v>
      </c>
      <c r="C545" s="1" t="str">
        <f>TEXT(Walmart[[#This Row],[Order Date]],"mmmm")</f>
        <v>December</v>
      </c>
      <c r="D545" s="1">
        <v>41614</v>
      </c>
      <c r="E545" s="1" t="str">
        <f>IF(DATEDIF(Walmart[[#This Row],[Order Date]],Walmart[[#This Row],[Ship Date]],"D")&lt;7,"On time","Delayed")</f>
        <v>On time</v>
      </c>
      <c r="F545" t="s">
        <v>1565</v>
      </c>
      <c r="G545" t="s">
        <v>14</v>
      </c>
      <c r="H545" t="s">
        <v>37</v>
      </c>
      <c r="I545" t="s">
        <v>16</v>
      </c>
      <c r="J545" t="s">
        <v>21</v>
      </c>
      <c r="K545" t="s">
        <v>656</v>
      </c>
      <c r="L545">
        <v>16.739999999999998</v>
      </c>
      <c r="M545">
        <v>2</v>
      </c>
      <c r="N545" t="str">
        <f>IF(Walmart[[#This Row],[Quantity]]&gt;=7,"Bulk",IF(Walmart[[#This Row],[Quantity]]&gt;=2,"Multi","Single"))</f>
        <v>Multi</v>
      </c>
      <c r="O545">
        <v>4.3499999999999996</v>
      </c>
      <c r="P545" t="str">
        <f>IF(Walmart[[#This Row],[Sales]]&gt;=1000,"High Value", IF(Walmart[[#This Row],[Sales]]&gt;=500,"Medium Value","Low Value"))</f>
        <v>Low Value</v>
      </c>
    </row>
    <row r="546" spans="1:16" hidden="1" x14ac:dyDescent="0.3">
      <c r="A546" t="s">
        <v>1566</v>
      </c>
      <c r="B546" s="1">
        <v>40786</v>
      </c>
      <c r="C546" s="1" t="str">
        <f>TEXT(Walmart[[#This Row],[Order Date]],"mmmm")</f>
        <v>August</v>
      </c>
      <c r="D546" s="1">
        <v>40791</v>
      </c>
      <c r="E546" s="1" t="str">
        <f>IF(DATEDIF(Walmart[[#This Row],[Order Date]],Walmart[[#This Row],[Ship Date]],"D")&lt;7,"On time","Delayed")</f>
        <v>On time</v>
      </c>
      <c r="F546" t="s">
        <v>1567</v>
      </c>
      <c r="G546" t="s">
        <v>14</v>
      </c>
      <c r="H546" t="s">
        <v>1568</v>
      </c>
      <c r="I546" t="s">
        <v>123</v>
      </c>
      <c r="J546" t="s">
        <v>53</v>
      </c>
      <c r="K546" t="s">
        <v>1569</v>
      </c>
      <c r="L546">
        <v>92.52</v>
      </c>
      <c r="M546">
        <v>9</v>
      </c>
      <c r="N546" t="str">
        <f>IF(Walmart[[#This Row],[Quantity]]&gt;=7,"Bulk",IF(Walmart[[#This Row],[Quantity]]&gt;=2,"Multi","Single"))</f>
        <v>Bulk</v>
      </c>
      <c r="O546">
        <v>18.5</v>
      </c>
      <c r="P546" t="str">
        <f>IF(Walmart[[#This Row],[Sales]]&gt;=1000,"High Value", IF(Walmart[[#This Row],[Sales]]&gt;=500,"Medium Value","Low Value"))</f>
        <v>Low Value</v>
      </c>
    </row>
    <row r="547" spans="1:16" hidden="1" x14ac:dyDescent="0.3">
      <c r="A547" t="s">
        <v>1570</v>
      </c>
      <c r="B547" s="1">
        <v>41617</v>
      </c>
      <c r="C547" s="1" t="str">
        <f>TEXT(Walmart[[#This Row],[Order Date]],"mmmm")</f>
        <v>December</v>
      </c>
      <c r="D547" s="1">
        <v>41623</v>
      </c>
      <c r="E547" s="1" t="str">
        <f>IF(DATEDIF(Walmart[[#This Row],[Order Date]],Walmart[[#This Row],[Ship Date]],"D")&lt;7,"On time","Delayed")</f>
        <v>On time</v>
      </c>
      <c r="F547" t="s">
        <v>876</v>
      </c>
      <c r="G547" t="s">
        <v>14</v>
      </c>
      <c r="H547" t="s">
        <v>37</v>
      </c>
      <c r="I547" t="s">
        <v>16</v>
      </c>
      <c r="J547" t="s">
        <v>38</v>
      </c>
      <c r="K547" t="s">
        <v>39</v>
      </c>
      <c r="L547">
        <v>8.56</v>
      </c>
      <c r="M547">
        <v>2</v>
      </c>
      <c r="N547" t="str">
        <f>IF(Walmart[[#This Row],[Quantity]]&gt;=7,"Bulk",IF(Walmart[[#This Row],[Quantity]]&gt;=2,"Multi","Single"))</f>
        <v>Multi</v>
      </c>
      <c r="O547">
        <v>2.48</v>
      </c>
      <c r="P547" t="str">
        <f>IF(Walmart[[#This Row],[Sales]]&gt;=1000,"High Value", IF(Walmart[[#This Row],[Sales]]&gt;=500,"Medium Value","Low Value"))</f>
        <v>Low Value</v>
      </c>
    </row>
    <row r="548" spans="1:16" hidden="1" x14ac:dyDescent="0.3">
      <c r="A548" t="s">
        <v>1571</v>
      </c>
      <c r="B548" s="1">
        <v>41495</v>
      </c>
      <c r="C548" s="1" t="str">
        <f>TEXT(Walmart[[#This Row],[Order Date]],"mmmm")</f>
        <v>August</v>
      </c>
      <c r="D548" s="1">
        <v>41502</v>
      </c>
      <c r="E548" s="1" t="str">
        <f>IF(DATEDIF(Walmart[[#This Row],[Order Date]],Walmart[[#This Row],[Ship Date]],"D")&lt;7,"On time","Delayed")</f>
        <v>Delayed</v>
      </c>
      <c r="F548" t="s">
        <v>1572</v>
      </c>
      <c r="G548" t="s">
        <v>14</v>
      </c>
      <c r="H548" t="s">
        <v>15</v>
      </c>
      <c r="I548" t="s">
        <v>16</v>
      </c>
      <c r="J548" t="s">
        <v>43</v>
      </c>
      <c r="K548" t="s">
        <v>1573</v>
      </c>
      <c r="L548">
        <v>513.02</v>
      </c>
      <c r="M548">
        <v>2</v>
      </c>
      <c r="N548" t="str">
        <f>IF(Walmart[[#This Row],[Quantity]]&gt;=7,"Bulk",IF(Walmart[[#This Row],[Quantity]]&gt;=2,"Multi","Single"))</f>
        <v>Multi</v>
      </c>
      <c r="O548">
        <v>12.83</v>
      </c>
      <c r="P548" t="str">
        <f>IF(Walmart[[#This Row],[Sales]]&gt;=1000,"High Value", IF(Walmart[[#This Row],[Sales]]&gt;=500,"Medium Value","Low Value"))</f>
        <v>Medium Value</v>
      </c>
    </row>
    <row r="549" spans="1:16" hidden="1" x14ac:dyDescent="0.3">
      <c r="A549" t="s">
        <v>1574</v>
      </c>
      <c r="B549" s="1">
        <v>41009</v>
      </c>
      <c r="C549" s="1" t="str">
        <f>TEXT(Walmart[[#This Row],[Order Date]],"mmmm")</f>
        <v>April</v>
      </c>
      <c r="D549" s="1">
        <v>41014</v>
      </c>
      <c r="E549" s="1" t="str">
        <f>IF(DATEDIF(Walmart[[#This Row],[Order Date]],Walmart[[#This Row],[Ship Date]],"D")&lt;7,"On time","Delayed")</f>
        <v>On time</v>
      </c>
      <c r="F549" t="s">
        <v>1575</v>
      </c>
      <c r="G549" t="s">
        <v>14</v>
      </c>
      <c r="H549" t="s">
        <v>1136</v>
      </c>
      <c r="I549" t="s">
        <v>16</v>
      </c>
      <c r="J549" t="s">
        <v>27</v>
      </c>
      <c r="K549" t="s">
        <v>1418</v>
      </c>
      <c r="L549">
        <v>12.83</v>
      </c>
      <c r="M549">
        <v>2</v>
      </c>
      <c r="N549" t="str">
        <f>IF(Walmart[[#This Row],[Quantity]]&gt;=7,"Bulk",IF(Walmart[[#This Row],[Quantity]]&gt;=2,"Multi","Single"))</f>
        <v>Multi</v>
      </c>
      <c r="O549">
        <v>4.33</v>
      </c>
      <c r="P549" t="str">
        <f>IF(Walmart[[#This Row],[Sales]]&gt;=1000,"High Value", IF(Walmart[[#This Row],[Sales]]&gt;=500,"Medium Value","Low Value"))</f>
        <v>Low Value</v>
      </c>
    </row>
    <row r="550" spans="1:16" hidden="1" x14ac:dyDescent="0.3">
      <c r="A550" t="s">
        <v>1576</v>
      </c>
      <c r="B550" s="1">
        <v>41523</v>
      </c>
      <c r="C550" s="1" t="str">
        <f>TEXT(Walmart[[#This Row],[Order Date]],"mmmm")</f>
        <v>September</v>
      </c>
      <c r="D550" s="1">
        <v>41528</v>
      </c>
      <c r="E550" s="1" t="str">
        <f>IF(DATEDIF(Walmart[[#This Row],[Order Date]],Walmart[[#This Row],[Ship Date]],"D")&lt;7,"On time","Delayed")</f>
        <v>On time</v>
      </c>
      <c r="F550" t="s">
        <v>798</v>
      </c>
      <c r="G550" t="s">
        <v>14</v>
      </c>
      <c r="H550" t="s">
        <v>160</v>
      </c>
      <c r="I550" t="s">
        <v>16</v>
      </c>
      <c r="J550" t="s">
        <v>53</v>
      </c>
      <c r="K550" t="s">
        <v>1577</v>
      </c>
      <c r="L550">
        <v>116</v>
      </c>
      <c r="M550">
        <v>8</v>
      </c>
      <c r="N550" t="str">
        <f>IF(Walmart[[#This Row],[Quantity]]&gt;=7,"Bulk",IF(Walmart[[#This Row],[Quantity]]&gt;=2,"Multi","Single"))</f>
        <v>Bulk</v>
      </c>
      <c r="O550">
        <v>29</v>
      </c>
      <c r="P550" t="str">
        <f>IF(Walmart[[#This Row],[Sales]]&gt;=1000,"High Value", IF(Walmart[[#This Row],[Sales]]&gt;=500,"Medium Value","Low Value"))</f>
        <v>Low Value</v>
      </c>
    </row>
    <row r="551" spans="1:16" hidden="1" x14ac:dyDescent="0.3">
      <c r="A551" t="s">
        <v>1578</v>
      </c>
      <c r="B551" s="1">
        <v>41450</v>
      </c>
      <c r="C551" s="1" t="str">
        <f>TEXT(Walmart[[#This Row],[Order Date]],"mmmm")</f>
        <v>June</v>
      </c>
      <c r="D551" s="1">
        <v>41455</v>
      </c>
      <c r="E551" s="1" t="str">
        <f>IF(DATEDIF(Walmart[[#This Row],[Order Date]],Walmart[[#This Row],[Ship Date]],"D")&lt;7,"On time","Delayed")</f>
        <v>On time</v>
      </c>
      <c r="F551" t="s">
        <v>305</v>
      </c>
      <c r="G551" t="s">
        <v>14</v>
      </c>
      <c r="H551" t="s">
        <v>160</v>
      </c>
      <c r="I551" t="s">
        <v>16</v>
      </c>
      <c r="J551" t="s">
        <v>146</v>
      </c>
      <c r="K551" t="s">
        <v>1579</v>
      </c>
      <c r="L551">
        <v>38.24</v>
      </c>
      <c r="M551">
        <v>4</v>
      </c>
      <c r="N551" t="str">
        <f>IF(Walmart[[#This Row],[Quantity]]&gt;=7,"Bulk",IF(Walmart[[#This Row],[Quantity]]&gt;=2,"Multi","Single"))</f>
        <v>Multi</v>
      </c>
      <c r="O551">
        <v>-9.56</v>
      </c>
      <c r="P551" t="str">
        <f>IF(Walmart[[#This Row],[Sales]]&gt;=1000,"High Value", IF(Walmart[[#This Row],[Sales]]&gt;=500,"Medium Value","Low Value"))</f>
        <v>Low Value</v>
      </c>
    </row>
    <row r="552" spans="1:16" hidden="1" x14ac:dyDescent="0.3">
      <c r="A552" t="s">
        <v>1580</v>
      </c>
      <c r="B552" s="1">
        <v>40651</v>
      </c>
      <c r="C552" s="1" t="str">
        <f>TEXT(Walmart[[#This Row],[Order Date]],"mmmm")</f>
        <v>April</v>
      </c>
      <c r="D552" s="1">
        <v>40656</v>
      </c>
      <c r="E552" s="1" t="str">
        <f>IF(DATEDIF(Walmart[[#This Row],[Order Date]],Walmart[[#This Row],[Ship Date]],"D")&lt;7,"On time","Delayed")</f>
        <v>On time</v>
      </c>
      <c r="F552" t="s">
        <v>363</v>
      </c>
      <c r="G552" t="s">
        <v>14</v>
      </c>
      <c r="H552" t="s">
        <v>15</v>
      </c>
      <c r="I552" t="s">
        <v>16</v>
      </c>
      <c r="J552" t="s">
        <v>1168</v>
      </c>
      <c r="K552" t="s">
        <v>1581</v>
      </c>
      <c r="L552">
        <v>287.97000000000003</v>
      </c>
      <c r="M552">
        <v>4</v>
      </c>
      <c r="N552" t="str">
        <f>IF(Walmart[[#This Row],[Quantity]]&gt;=7,"Bulk",IF(Walmart[[#This Row],[Quantity]]&gt;=2,"Multi","Single"))</f>
        <v>Multi</v>
      </c>
      <c r="O552">
        <v>97.19</v>
      </c>
      <c r="P552" t="str">
        <f>IF(Walmart[[#This Row],[Sales]]&gt;=1000,"High Value", IF(Walmart[[#This Row],[Sales]]&gt;=500,"Medium Value","Low Value"))</f>
        <v>Low Value</v>
      </c>
    </row>
    <row r="553" spans="1:16" hidden="1" x14ac:dyDescent="0.3">
      <c r="A553" t="s">
        <v>1582</v>
      </c>
      <c r="B553" s="1">
        <v>40625</v>
      </c>
      <c r="C553" s="1" t="str">
        <f>TEXT(Walmart[[#This Row],[Order Date]],"mmmm")</f>
        <v>March</v>
      </c>
      <c r="D553" s="1">
        <v>40628</v>
      </c>
      <c r="E553" s="1" t="str">
        <f>IF(DATEDIF(Walmart[[#This Row],[Order Date]],Walmart[[#This Row],[Ship Date]],"D")&lt;7,"On time","Delayed")</f>
        <v>On time</v>
      </c>
      <c r="F553" t="s">
        <v>1583</v>
      </c>
      <c r="G553" t="s">
        <v>14</v>
      </c>
      <c r="H553" t="s">
        <v>15</v>
      </c>
      <c r="I553" t="s">
        <v>16</v>
      </c>
      <c r="J553" t="s">
        <v>33</v>
      </c>
      <c r="K553" t="s">
        <v>365</v>
      </c>
      <c r="L553">
        <v>330.4</v>
      </c>
      <c r="M553">
        <v>2</v>
      </c>
      <c r="N553" t="str">
        <f>IF(Walmart[[#This Row],[Quantity]]&gt;=7,"Bulk",IF(Walmart[[#This Row],[Quantity]]&gt;=2,"Multi","Single"))</f>
        <v>Multi</v>
      </c>
      <c r="O553">
        <v>85.9</v>
      </c>
      <c r="P553" t="str">
        <f>IF(Walmart[[#This Row],[Sales]]&gt;=1000,"High Value", IF(Walmart[[#This Row],[Sales]]&gt;=500,"Medium Value","Low Value"))</f>
        <v>Low Value</v>
      </c>
    </row>
    <row r="554" spans="1:16" x14ac:dyDescent="0.3">
      <c r="A554" t="s">
        <v>2653</v>
      </c>
      <c r="B554" s="1">
        <v>41928</v>
      </c>
      <c r="C554" s="1" t="str">
        <f>TEXT(Walmart[[#This Row],[Order Date]],"mmmm")</f>
        <v>October</v>
      </c>
      <c r="D554" s="1">
        <v>41933</v>
      </c>
      <c r="E554" s="1" t="str">
        <f>IF(DATEDIF(Walmart[[#This Row],[Order Date]],Walmart[[#This Row],[Ship Date]],"D")&lt;7,"On time","Delayed")</f>
        <v>On time</v>
      </c>
      <c r="F554" t="s">
        <v>574</v>
      </c>
      <c r="G554" t="s">
        <v>14</v>
      </c>
      <c r="H554" t="s">
        <v>1140</v>
      </c>
      <c r="I554" t="s">
        <v>16</v>
      </c>
      <c r="J554" t="s">
        <v>17</v>
      </c>
      <c r="K554" t="s">
        <v>1957</v>
      </c>
      <c r="L554">
        <v>152.65</v>
      </c>
      <c r="M554">
        <v>5</v>
      </c>
      <c r="N554" t="str">
        <f>IF(Walmart[[#This Row],[Quantity]]&gt;=7,"Bulk",IF(Walmart[[#This Row],[Quantity]]&gt;=2,"Multi","Single"))</f>
        <v>Multi</v>
      </c>
      <c r="O554">
        <v>70.22</v>
      </c>
      <c r="P554" t="str">
        <f>IF(Walmart[[#This Row],[Sales]]&gt;=1000,"High Value", IF(Walmart[[#This Row],[Sales]]&gt;=500,"Medium Value","Low Value"))</f>
        <v>Low Value</v>
      </c>
    </row>
    <row r="555" spans="1:16" x14ac:dyDescent="0.3">
      <c r="A555" t="s">
        <v>2781</v>
      </c>
      <c r="B555" s="1">
        <v>41928</v>
      </c>
      <c r="C555" s="1" t="str">
        <f>TEXT(Walmart[[#This Row],[Order Date]],"mmmm")</f>
        <v>October</v>
      </c>
      <c r="D555" s="1">
        <v>41932</v>
      </c>
      <c r="E555" s="1" t="str">
        <f>IF(DATEDIF(Walmart[[#This Row],[Order Date]],Walmart[[#This Row],[Ship Date]],"D")&lt;7,"On time","Delayed")</f>
        <v>On time</v>
      </c>
      <c r="F555" t="s">
        <v>976</v>
      </c>
      <c r="G555" t="s">
        <v>14</v>
      </c>
      <c r="H555" t="s">
        <v>2782</v>
      </c>
      <c r="I555" t="s">
        <v>16</v>
      </c>
      <c r="J555" t="s">
        <v>17</v>
      </c>
      <c r="K555" t="s">
        <v>2783</v>
      </c>
      <c r="L555">
        <v>14.73</v>
      </c>
      <c r="M555">
        <v>3</v>
      </c>
      <c r="N555" t="str">
        <f>IF(Walmart[[#This Row],[Quantity]]&gt;=7,"Bulk",IF(Walmart[[#This Row],[Quantity]]&gt;=2,"Multi","Single"))</f>
        <v>Multi</v>
      </c>
      <c r="O555">
        <v>7.22</v>
      </c>
      <c r="P555" t="str">
        <f>IF(Walmart[[#This Row],[Sales]]&gt;=1000,"High Value", IF(Walmart[[#This Row],[Sales]]&gt;=500,"Medium Value","Low Value"))</f>
        <v>Low Value</v>
      </c>
    </row>
    <row r="556" spans="1:16" hidden="1" x14ac:dyDescent="0.3">
      <c r="A556" t="s">
        <v>1589</v>
      </c>
      <c r="B556" s="1">
        <v>41459</v>
      </c>
      <c r="C556" s="1" t="str">
        <f>TEXT(Walmart[[#This Row],[Order Date]],"mmmm")</f>
        <v>July</v>
      </c>
      <c r="D556" s="1">
        <v>41462</v>
      </c>
      <c r="E556" s="1" t="str">
        <f>IF(DATEDIF(Walmart[[#This Row],[Order Date]],Walmart[[#This Row],[Ship Date]],"D")&lt;7,"On time","Delayed")</f>
        <v>On time</v>
      </c>
      <c r="F556" t="s">
        <v>1590</v>
      </c>
      <c r="G556" t="s">
        <v>14</v>
      </c>
      <c r="H556" t="s">
        <v>15</v>
      </c>
      <c r="I556" t="s">
        <v>16</v>
      </c>
      <c r="J556" t="s">
        <v>93</v>
      </c>
      <c r="K556" t="s">
        <v>1591</v>
      </c>
      <c r="L556">
        <v>12.96</v>
      </c>
      <c r="M556">
        <v>2</v>
      </c>
      <c r="N556" t="str">
        <f>IF(Walmart[[#This Row],[Quantity]]&gt;=7,"Bulk",IF(Walmart[[#This Row],[Quantity]]&gt;=2,"Multi","Single"))</f>
        <v>Multi</v>
      </c>
      <c r="O556">
        <v>6.22</v>
      </c>
      <c r="P556" t="str">
        <f>IF(Walmart[[#This Row],[Sales]]&gt;=1000,"High Value", IF(Walmart[[#This Row],[Sales]]&gt;=500,"Medium Value","Low Value"))</f>
        <v>Low Value</v>
      </c>
    </row>
    <row r="557" spans="1:16" x14ac:dyDescent="0.3">
      <c r="A557" t="s">
        <v>2928</v>
      </c>
      <c r="B557" s="1">
        <v>41928</v>
      </c>
      <c r="C557" s="1" t="str">
        <f>TEXT(Walmart[[#This Row],[Order Date]],"mmmm")</f>
        <v>October</v>
      </c>
      <c r="D557" s="1">
        <v>41932</v>
      </c>
      <c r="E557" s="1" t="str">
        <f>IF(DATEDIF(Walmart[[#This Row],[Order Date]],Walmart[[#This Row],[Ship Date]],"D")&lt;7,"On time","Delayed")</f>
        <v>On time</v>
      </c>
      <c r="F557" t="s">
        <v>2929</v>
      </c>
      <c r="G557" t="s">
        <v>14</v>
      </c>
      <c r="H557" t="s">
        <v>42</v>
      </c>
      <c r="I557" t="s">
        <v>32</v>
      </c>
      <c r="J557" t="s">
        <v>38</v>
      </c>
      <c r="K557" t="s">
        <v>2930</v>
      </c>
      <c r="L557">
        <v>11.68</v>
      </c>
      <c r="M557">
        <v>2</v>
      </c>
      <c r="N557" t="str">
        <f>IF(Walmart[[#This Row],[Quantity]]&gt;=7,"Bulk",IF(Walmart[[#This Row],[Quantity]]&gt;=2,"Multi","Single"))</f>
        <v>Multi</v>
      </c>
      <c r="O557">
        <v>4.2</v>
      </c>
      <c r="P557" t="str">
        <f>IF(Walmart[[#This Row],[Sales]]&gt;=1000,"High Value", IF(Walmart[[#This Row],[Sales]]&gt;=500,"Medium Value","Low Value"))</f>
        <v>Low Value</v>
      </c>
    </row>
    <row r="558" spans="1:16" hidden="1" x14ac:dyDescent="0.3">
      <c r="A558" t="s">
        <v>1594</v>
      </c>
      <c r="B558" s="1">
        <v>41433</v>
      </c>
      <c r="C558" s="1" t="str">
        <f>TEXT(Walmart[[#This Row],[Order Date]],"mmmm")</f>
        <v>June</v>
      </c>
      <c r="D558" s="1">
        <v>41437</v>
      </c>
      <c r="E558" s="1" t="str">
        <f>IF(DATEDIF(Walmart[[#This Row],[Order Date]],Walmart[[#This Row],[Ship Date]],"D")&lt;7,"On time","Delayed")</f>
        <v>On time</v>
      </c>
      <c r="F558" t="s">
        <v>133</v>
      </c>
      <c r="G558" t="s">
        <v>14</v>
      </c>
      <c r="H558" t="s">
        <v>1323</v>
      </c>
      <c r="I558" t="s">
        <v>16</v>
      </c>
      <c r="J558" t="s">
        <v>27</v>
      </c>
      <c r="K558" t="s">
        <v>1595</v>
      </c>
      <c r="L558">
        <v>4.78</v>
      </c>
      <c r="M558">
        <v>1</v>
      </c>
      <c r="N558" t="str">
        <f>IF(Walmart[[#This Row],[Quantity]]&gt;=7,"Bulk",IF(Walmart[[#This Row],[Quantity]]&gt;=2,"Multi","Single"))</f>
        <v>Single</v>
      </c>
      <c r="O558">
        <v>1.55</v>
      </c>
      <c r="P558" t="str">
        <f>IF(Walmart[[#This Row],[Sales]]&gt;=1000,"High Value", IF(Walmart[[#This Row],[Sales]]&gt;=500,"Medium Value","Low Value"))</f>
        <v>Low Value</v>
      </c>
    </row>
    <row r="559" spans="1:16" x14ac:dyDescent="0.3">
      <c r="A559" t="s">
        <v>858</v>
      </c>
      <c r="B559" s="1">
        <v>41927</v>
      </c>
      <c r="C559" s="1" t="str">
        <f>TEXT(Walmart[[#This Row],[Order Date]],"mmmm")</f>
        <v>October</v>
      </c>
      <c r="D559" s="1">
        <v>41930</v>
      </c>
      <c r="E559" s="1" t="str">
        <f>IF(DATEDIF(Walmart[[#This Row],[Order Date]],Walmart[[#This Row],[Ship Date]],"D")&lt;7,"On time","Delayed")</f>
        <v>On time</v>
      </c>
      <c r="F559" t="s">
        <v>859</v>
      </c>
      <c r="G559" t="s">
        <v>14</v>
      </c>
      <c r="H559" t="s">
        <v>556</v>
      </c>
      <c r="I559" t="s">
        <v>16</v>
      </c>
      <c r="J559" t="s">
        <v>21</v>
      </c>
      <c r="K559" t="s">
        <v>187</v>
      </c>
      <c r="L559">
        <v>9.4600000000000009</v>
      </c>
      <c r="M559">
        <v>2</v>
      </c>
      <c r="N559" t="str">
        <f>IF(Walmart[[#This Row],[Quantity]]&gt;=7,"Bulk",IF(Walmart[[#This Row],[Quantity]]&gt;=2,"Multi","Single"))</f>
        <v>Multi</v>
      </c>
      <c r="O559">
        <v>3.69</v>
      </c>
      <c r="P559" t="str">
        <f>IF(Walmart[[#This Row],[Sales]]&gt;=1000,"High Value", IF(Walmart[[#This Row],[Sales]]&gt;=500,"Medium Value","Low Value"))</f>
        <v>Low Value</v>
      </c>
    </row>
    <row r="560" spans="1:16" x14ac:dyDescent="0.3">
      <c r="A560" t="s">
        <v>2812</v>
      </c>
      <c r="B560" s="1">
        <v>41927</v>
      </c>
      <c r="C560" s="1" t="str">
        <f>TEXT(Walmart[[#This Row],[Order Date]],"mmmm")</f>
        <v>October</v>
      </c>
      <c r="D560" s="1">
        <v>41932</v>
      </c>
      <c r="E560" s="1" t="str">
        <f>IF(DATEDIF(Walmart[[#This Row],[Order Date]],Walmart[[#This Row],[Ship Date]],"D")&lt;7,"On time","Delayed")</f>
        <v>On time</v>
      </c>
      <c r="F560" t="s">
        <v>969</v>
      </c>
      <c r="G560" t="s">
        <v>14</v>
      </c>
      <c r="H560" t="s">
        <v>37</v>
      </c>
      <c r="I560" t="s">
        <v>16</v>
      </c>
      <c r="J560" t="s">
        <v>53</v>
      </c>
      <c r="K560" t="s">
        <v>2813</v>
      </c>
      <c r="L560">
        <v>46.36</v>
      </c>
      <c r="M560">
        <v>4</v>
      </c>
      <c r="N560" t="str">
        <f>IF(Walmart[[#This Row],[Quantity]]&gt;=7,"Bulk",IF(Walmart[[#This Row],[Quantity]]&gt;=2,"Multi","Single"))</f>
        <v>Multi</v>
      </c>
      <c r="O560">
        <v>15.3</v>
      </c>
      <c r="P560" t="str">
        <f>IF(Walmart[[#This Row],[Sales]]&gt;=1000,"High Value", IF(Walmart[[#This Row],[Sales]]&gt;=500,"Medium Value","Low Value"))</f>
        <v>Low Value</v>
      </c>
    </row>
    <row r="561" spans="1:16" x14ac:dyDescent="0.3">
      <c r="A561" t="s">
        <v>3236</v>
      </c>
      <c r="B561" s="1">
        <v>41926</v>
      </c>
      <c r="C561" s="1" t="str">
        <f>TEXT(Walmart[[#This Row],[Order Date]],"mmmm")</f>
        <v>October</v>
      </c>
      <c r="D561" s="1">
        <v>41933</v>
      </c>
      <c r="E561" s="1" t="str">
        <f>IF(DATEDIF(Walmart[[#This Row],[Order Date]],Walmart[[#This Row],[Ship Date]],"D")&lt;7,"On time","Delayed")</f>
        <v>Delayed</v>
      </c>
      <c r="F561" t="s">
        <v>729</v>
      </c>
      <c r="G561" t="s">
        <v>14</v>
      </c>
      <c r="H561" t="s">
        <v>1136</v>
      </c>
      <c r="I561" t="s">
        <v>16</v>
      </c>
      <c r="J561" t="s">
        <v>53</v>
      </c>
      <c r="K561" t="s">
        <v>3237</v>
      </c>
      <c r="L561">
        <v>209.94</v>
      </c>
      <c r="M561">
        <v>6</v>
      </c>
      <c r="N561" t="str">
        <f>IF(Walmart[[#This Row],[Quantity]]&gt;=7,"Bulk",IF(Walmart[[#This Row],[Quantity]]&gt;=2,"Multi","Single"))</f>
        <v>Multi</v>
      </c>
      <c r="O561">
        <v>39.89</v>
      </c>
      <c r="P561" t="str">
        <f>IF(Walmart[[#This Row],[Sales]]&gt;=1000,"High Value", IF(Walmart[[#This Row],[Sales]]&gt;=500,"Medium Value","Low Value"))</f>
        <v>Low Value</v>
      </c>
    </row>
    <row r="562" spans="1:16" x14ac:dyDescent="0.3">
      <c r="A562" t="s">
        <v>1161</v>
      </c>
      <c r="B562" s="1">
        <v>41925</v>
      </c>
      <c r="C562" s="1" t="str">
        <f>TEXT(Walmart[[#This Row],[Order Date]],"mmmm")</f>
        <v>October</v>
      </c>
      <c r="D562" s="1">
        <v>41931</v>
      </c>
      <c r="E562" s="1" t="str">
        <f>IF(DATEDIF(Walmart[[#This Row],[Order Date]],Walmart[[#This Row],[Ship Date]],"D")&lt;7,"On time","Delayed")</f>
        <v>On time</v>
      </c>
      <c r="F562" t="s">
        <v>1162</v>
      </c>
      <c r="G562" t="s">
        <v>14</v>
      </c>
      <c r="H562" t="s">
        <v>1163</v>
      </c>
      <c r="I562" t="s">
        <v>123</v>
      </c>
      <c r="J562" t="s">
        <v>53</v>
      </c>
      <c r="K562" t="s">
        <v>1164</v>
      </c>
      <c r="L562">
        <v>595</v>
      </c>
      <c r="M562">
        <v>5</v>
      </c>
      <c r="N562" t="str">
        <f>IF(Walmart[[#This Row],[Quantity]]&gt;=7,"Bulk",IF(Walmart[[#This Row],[Quantity]]&gt;=2,"Multi","Single"))</f>
        <v>Multi</v>
      </c>
      <c r="O562">
        <v>95.2</v>
      </c>
      <c r="P562" t="str">
        <f>IF(Walmart[[#This Row],[Sales]]&gt;=1000,"High Value", IF(Walmart[[#This Row],[Sales]]&gt;=500,"Medium Value","Low Value"))</f>
        <v>Medium Value</v>
      </c>
    </row>
    <row r="563" spans="1:16" hidden="1" x14ac:dyDescent="0.3">
      <c r="A563" t="s">
        <v>1602</v>
      </c>
      <c r="B563" s="1">
        <v>40764</v>
      </c>
      <c r="C563" s="1" t="str">
        <f>TEXT(Walmart[[#This Row],[Order Date]],"mmmm")</f>
        <v>August</v>
      </c>
      <c r="D563" s="1">
        <v>40768</v>
      </c>
      <c r="E563" s="1" t="str">
        <f>IF(DATEDIF(Walmart[[#This Row],[Order Date]],Walmart[[#This Row],[Ship Date]],"D")&lt;7,"On time","Delayed")</f>
        <v>On time</v>
      </c>
      <c r="F563" t="s">
        <v>254</v>
      </c>
      <c r="G563" t="s">
        <v>14</v>
      </c>
      <c r="H563" t="s">
        <v>25</v>
      </c>
      <c r="I563" t="s">
        <v>26</v>
      </c>
      <c r="J563" t="s">
        <v>27</v>
      </c>
      <c r="K563" t="s">
        <v>1603</v>
      </c>
      <c r="L563">
        <v>2060.7399999999998</v>
      </c>
      <c r="M563">
        <v>7</v>
      </c>
      <c r="N563" t="str">
        <f>IF(Walmart[[#This Row],[Quantity]]&gt;=7,"Bulk",IF(Walmart[[#This Row],[Quantity]]&gt;=2,"Multi","Single"))</f>
        <v>Bulk</v>
      </c>
      <c r="O563">
        <v>643.98</v>
      </c>
      <c r="P563" t="str">
        <f>IF(Walmart[[#This Row],[Sales]]&gt;=1000,"High Value", IF(Walmart[[#This Row],[Sales]]&gt;=500,"Medium Value","Low Value"))</f>
        <v>High Value</v>
      </c>
    </row>
    <row r="564" spans="1:16" x14ac:dyDescent="0.3">
      <c r="A564" t="s">
        <v>1316</v>
      </c>
      <c r="B564" s="1">
        <v>41925</v>
      </c>
      <c r="C564" s="1" t="str">
        <f>TEXT(Walmart[[#This Row],[Order Date]],"mmmm")</f>
        <v>October</v>
      </c>
      <c r="D564" s="1">
        <v>41927</v>
      </c>
      <c r="E564" s="1" t="str">
        <f>IF(DATEDIF(Walmart[[#This Row],[Order Date]],Walmart[[#This Row],[Ship Date]],"D")&lt;7,"On time","Delayed")</f>
        <v>On time</v>
      </c>
      <c r="F564" t="s">
        <v>112</v>
      </c>
      <c r="G564" t="s">
        <v>14</v>
      </c>
      <c r="H564" t="s">
        <v>37</v>
      </c>
      <c r="I564" t="s">
        <v>16</v>
      </c>
      <c r="J564" t="s">
        <v>53</v>
      </c>
      <c r="K564" t="s">
        <v>1317</v>
      </c>
      <c r="L564">
        <v>0.99</v>
      </c>
      <c r="M564">
        <v>1</v>
      </c>
      <c r="N564" t="str">
        <f>IF(Walmart[[#This Row],[Quantity]]&gt;=7,"Bulk",IF(Walmart[[#This Row],[Quantity]]&gt;=2,"Multi","Single"))</f>
        <v>Single</v>
      </c>
      <c r="O564">
        <v>0.44</v>
      </c>
      <c r="P564" t="str">
        <f>IF(Walmart[[#This Row],[Sales]]&gt;=1000,"High Value", IF(Walmart[[#This Row],[Sales]]&gt;=500,"Medium Value","Low Value"))</f>
        <v>Low Value</v>
      </c>
    </row>
    <row r="565" spans="1:16" hidden="1" x14ac:dyDescent="0.3">
      <c r="A565" t="s">
        <v>1607</v>
      </c>
      <c r="B565" s="1">
        <v>40897</v>
      </c>
      <c r="C565" s="1" t="str">
        <f>TEXT(Walmart[[#This Row],[Order Date]],"mmmm")</f>
        <v>December</v>
      </c>
      <c r="D565" s="1">
        <v>40900</v>
      </c>
      <c r="E565" s="1" t="str">
        <f>IF(DATEDIF(Walmart[[#This Row],[Order Date]],Walmart[[#This Row],[Ship Date]],"D")&lt;7,"On time","Delayed")</f>
        <v>On time</v>
      </c>
      <c r="F565" t="s">
        <v>746</v>
      </c>
      <c r="G565" t="s">
        <v>14</v>
      </c>
      <c r="H565" t="s">
        <v>15</v>
      </c>
      <c r="I565" t="s">
        <v>16</v>
      </c>
      <c r="J565" t="s">
        <v>27</v>
      </c>
      <c r="K565" t="s">
        <v>924</v>
      </c>
      <c r="L565">
        <v>487.98</v>
      </c>
      <c r="M565">
        <v>2</v>
      </c>
      <c r="N565" t="str">
        <f>IF(Walmart[[#This Row],[Quantity]]&gt;=7,"Bulk",IF(Walmart[[#This Row],[Quantity]]&gt;=2,"Multi","Single"))</f>
        <v>Multi</v>
      </c>
      <c r="O565">
        <v>152.5</v>
      </c>
      <c r="P565" t="str">
        <f>IF(Walmart[[#This Row],[Sales]]&gt;=1000,"High Value", IF(Walmart[[#This Row],[Sales]]&gt;=500,"Medium Value","Low Value"))</f>
        <v>Low Value</v>
      </c>
    </row>
    <row r="566" spans="1:16" hidden="1" x14ac:dyDescent="0.3">
      <c r="A566" t="s">
        <v>1608</v>
      </c>
      <c r="B566" s="1">
        <v>40749</v>
      </c>
      <c r="C566" s="1" t="str">
        <f>TEXT(Walmart[[#This Row],[Order Date]],"mmmm")</f>
        <v>July</v>
      </c>
      <c r="D566" s="1">
        <v>40751</v>
      </c>
      <c r="E566" s="1" t="str">
        <f>IF(DATEDIF(Walmart[[#This Row],[Order Date]],Walmart[[#This Row],[Ship Date]],"D")&lt;7,"On time","Delayed")</f>
        <v>On time</v>
      </c>
      <c r="F566" t="s">
        <v>1609</v>
      </c>
      <c r="G566" t="s">
        <v>14</v>
      </c>
      <c r="H566" t="s">
        <v>15</v>
      </c>
      <c r="I566" t="s">
        <v>16</v>
      </c>
      <c r="J566" t="s">
        <v>93</v>
      </c>
      <c r="K566" t="s">
        <v>1610</v>
      </c>
      <c r="L566">
        <v>6.48</v>
      </c>
      <c r="M566">
        <v>1</v>
      </c>
      <c r="N566" t="str">
        <f>IF(Walmart[[#This Row],[Quantity]]&gt;=7,"Bulk",IF(Walmart[[#This Row],[Quantity]]&gt;=2,"Multi","Single"))</f>
        <v>Single</v>
      </c>
      <c r="O566">
        <v>3.18</v>
      </c>
      <c r="P566" t="str">
        <f>IF(Walmart[[#This Row],[Sales]]&gt;=1000,"High Value", IF(Walmart[[#This Row],[Sales]]&gt;=500,"Medium Value","Low Value"))</f>
        <v>Low Value</v>
      </c>
    </row>
    <row r="567" spans="1:16" hidden="1" x14ac:dyDescent="0.3">
      <c r="A567" t="s">
        <v>1611</v>
      </c>
      <c r="B567" s="1">
        <v>41474</v>
      </c>
      <c r="C567" s="1" t="str">
        <f>TEXT(Walmart[[#This Row],[Order Date]],"mmmm")</f>
        <v>July</v>
      </c>
      <c r="D567" s="1">
        <v>41479</v>
      </c>
      <c r="E567" s="1" t="str">
        <f>IF(DATEDIF(Walmart[[#This Row],[Order Date]],Walmart[[#This Row],[Ship Date]],"D")&lt;7,"On time","Delayed")</f>
        <v>On time</v>
      </c>
      <c r="F567" t="s">
        <v>1612</v>
      </c>
      <c r="G567" t="s">
        <v>14</v>
      </c>
      <c r="H567" t="s">
        <v>712</v>
      </c>
      <c r="I567" t="s">
        <v>58</v>
      </c>
      <c r="J567" t="s">
        <v>334</v>
      </c>
      <c r="K567" t="s">
        <v>1613</v>
      </c>
      <c r="L567">
        <v>33.799999999999997</v>
      </c>
      <c r="M567">
        <v>5</v>
      </c>
      <c r="N567" t="str">
        <f>IF(Walmart[[#This Row],[Quantity]]&gt;=7,"Bulk",IF(Walmart[[#This Row],[Quantity]]&gt;=2,"Multi","Single"))</f>
        <v>Multi</v>
      </c>
      <c r="O567">
        <v>4.2300000000000004</v>
      </c>
      <c r="P567" t="str">
        <f>IF(Walmart[[#This Row],[Sales]]&gt;=1000,"High Value", IF(Walmart[[#This Row],[Sales]]&gt;=500,"Medium Value","Low Value"))</f>
        <v>Low Value</v>
      </c>
    </row>
    <row r="568" spans="1:16" hidden="1" x14ac:dyDescent="0.3">
      <c r="A568" t="s">
        <v>1614</v>
      </c>
      <c r="B568" s="1">
        <v>40885</v>
      </c>
      <c r="C568" s="1" t="str">
        <f>TEXT(Walmart[[#This Row],[Order Date]],"mmmm")</f>
        <v>December</v>
      </c>
      <c r="D568" s="1">
        <v>40890</v>
      </c>
      <c r="E568" s="1" t="str">
        <f>IF(DATEDIF(Walmart[[#This Row],[Order Date]],Walmart[[#This Row],[Ship Date]],"D")&lt;7,"On time","Delayed")</f>
        <v>On time</v>
      </c>
      <c r="F568" t="s">
        <v>1559</v>
      </c>
      <c r="G568" t="s">
        <v>14</v>
      </c>
      <c r="H568" t="s">
        <v>341</v>
      </c>
      <c r="I568" t="s">
        <v>69</v>
      </c>
      <c r="J568" t="s">
        <v>17</v>
      </c>
      <c r="K568" t="s">
        <v>419</v>
      </c>
      <c r="L568">
        <v>27.89</v>
      </c>
      <c r="M568">
        <v>7</v>
      </c>
      <c r="N568" t="str">
        <f>IF(Walmart[[#This Row],[Quantity]]&gt;=7,"Bulk",IF(Walmart[[#This Row],[Quantity]]&gt;=2,"Multi","Single"))</f>
        <v>Bulk</v>
      </c>
      <c r="O568">
        <v>9.06</v>
      </c>
      <c r="P568" t="str">
        <f>IF(Walmart[[#This Row],[Sales]]&gt;=1000,"High Value", IF(Walmart[[#This Row],[Sales]]&gt;=500,"Medium Value","Low Value"))</f>
        <v>Low Value</v>
      </c>
    </row>
    <row r="569" spans="1:16" hidden="1" x14ac:dyDescent="0.3">
      <c r="A569" t="s">
        <v>1615</v>
      </c>
      <c r="B569" s="1">
        <v>41248</v>
      </c>
      <c r="C569" s="1" t="str">
        <f>TEXT(Walmart[[#This Row],[Order Date]],"mmmm")</f>
        <v>December</v>
      </c>
      <c r="D569" s="1">
        <v>41252</v>
      </c>
      <c r="E569" s="1" t="str">
        <f>IF(DATEDIF(Walmart[[#This Row],[Order Date]],Walmart[[#This Row],[Ship Date]],"D")&lt;7,"On time","Delayed")</f>
        <v>On time</v>
      </c>
      <c r="F569" t="s">
        <v>1066</v>
      </c>
      <c r="G569" t="s">
        <v>14</v>
      </c>
      <c r="H569" t="s">
        <v>160</v>
      </c>
      <c r="I569" t="s">
        <v>16</v>
      </c>
      <c r="J569" t="s">
        <v>21</v>
      </c>
      <c r="K569" t="s">
        <v>426</v>
      </c>
      <c r="L569">
        <v>44.46</v>
      </c>
      <c r="M569">
        <v>2</v>
      </c>
      <c r="N569" t="str">
        <f>IF(Walmart[[#This Row],[Quantity]]&gt;=7,"Bulk",IF(Walmart[[#This Row],[Quantity]]&gt;=2,"Multi","Single"))</f>
        <v>Multi</v>
      </c>
      <c r="O569">
        <v>14.67</v>
      </c>
      <c r="P569" t="str">
        <f>IF(Walmart[[#This Row],[Sales]]&gt;=1000,"High Value", IF(Walmart[[#This Row],[Sales]]&gt;=500,"Medium Value","Low Value"))</f>
        <v>Low Value</v>
      </c>
    </row>
    <row r="570" spans="1:16" hidden="1" x14ac:dyDescent="0.3">
      <c r="A570" t="s">
        <v>1616</v>
      </c>
      <c r="B570" s="1">
        <v>41622</v>
      </c>
      <c r="C570" s="1" t="str">
        <f>TEXT(Walmart[[#This Row],[Order Date]],"mmmm")</f>
        <v>December</v>
      </c>
      <c r="D570" s="1">
        <v>41628</v>
      </c>
      <c r="E570" s="1" t="str">
        <f>IF(DATEDIF(Walmart[[#This Row],[Order Date]],Walmart[[#This Row],[Ship Date]],"D")&lt;7,"On time","Delayed")</f>
        <v>On time</v>
      </c>
      <c r="F570" t="s">
        <v>295</v>
      </c>
      <c r="G570" t="s">
        <v>14</v>
      </c>
      <c r="H570" t="s">
        <v>471</v>
      </c>
      <c r="I570" t="s">
        <v>16</v>
      </c>
      <c r="J570" t="s">
        <v>38</v>
      </c>
      <c r="K570" t="s">
        <v>1617</v>
      </c>
      <c r="L570">
        <v>9.84</v>
      </c>
      <c r="M570">
        <v>3</v>
      </c>
      <c r="N570" t="str">
        <f>IF(Walmart[[#This Row],[Quantity]]&gt;=7,"Bulk",IF(Walmart[[#This Row],[Quantity]]&gt;=2,"Multi","Single"))</f>
        <v>Multi</v>
      </c>
      <c r="O570">
        <v>3.25</v>
      </c>
      <c r="P570" t="str">
        <f>IF(Walmart[[#This Row],[Sales]]&gt;=1000,"High Value", IF(Walmart[[#This Row],[Sales]]&gt;=500,"Medium Value","Low Value"))</f>
        <v>Low Value</v>
      </c>
    </row>
    <row r="571" spans="1:16" x14ac:dyDescent="0.3">
      <c r="A571" t="s">
        <v>2397</v>
      </c>
      <c r="B571" s="1">
        <v>41925</v>
      </c>
      <c r="C571" s="1" t="str">
        <f>TEXT(Walmart[[#This Row],[Order Date]],"mmmm")</f>
        <v>October</v>
      </c>
      <c r="D571" s="1">
        <v>41927</v>
      </c>
      <c r="E571" s="1" t="str">
        <f>IF(DATEDIF(Walmart[[#This Row],[Order Date]],Walmart[[#This Row],[Ship Date]],"D")&lt;7,"On time","Delayed")</f>
        <v>On time</v>
      </c>
      <c r="F571" t="s">
        <v>2398</v>
      </c>
      <c r="G571" t="s">
        <v>14</v>
      </c>
      <c r="H571" t="s">
        <v>15</v>
      </c>
      <c r="I571" t="s">
        <v>16</v>
      </c>
      <c r="J571" t="s">
        <v>53</v>
      </c>
      <c r="K571" t="s">
        <v>2058</v>
      </c>
      <c r="L571">
        <v>435.84</v>
      </c>
      <c r="M571">
        <v>12</v>
      </c>
      <c r="N571" t="str">
        <f>IF(Walmart[[#This Row],[Quantity]]&gt;=7,"Bulk",IF(Walmart[[#This Row],[Quantity]]&gt;=2,"Multi","Single"))</f>
        <v>Bulk</v>
      </c>
      <c r="O571">
        <v>130.75</v>
      </c>
      <c r="P571" t="str">
        <f>IF(Walmart[[#This Row],[Sales]]&gt;=1000,"High Value", IF(Walmart[[#This Row],[Sales]]&gt;=500,"Medium Value","Low Value"))</f>
        <v>Low Value</v>
      </c>
    </row>
    <row r="572" spans="1:16" hidden="1" x14ac:dyDescent="0.3">
      <c r="A572" t="s">
        <v>1620</v>
      </c>
      <c r="B572" s="1">
        <v>41212</v>
      </c>
      <c r="C572" s="1" t="str">
        <f>TEXT(Walmart[[#This Row],[Order Date]],"mmmm")</f>
        <v>October</v>
      </c>
      <c r="D572" s="1">
        <v>41215</v>
      </c>
      <c r="E572" s="1" t="str">
        <f>IF(DATEDIF(Walmart[[#This Row],[Order Date]],Walmart[[#This Row],[Ship Date]],"D")&lt;7,"On time","Delayed")</f>
        <v>On time</v>
      </c>
      <c r="F572" t="s">
        <v>189</v>
      </c>
      <c r="G572" t="s">
        <v>14</v>
      </c>
      <c r="H572" t="s">
        <v>141</v>
      </c>
      <c r="I572" t="s">
        <v>77</v>
      </c>
      <c r="J572" t="s">
        <v>1168</v>
      </c>
      <c r="K572" t="s">
        <v>1621</v>
      </c>
      <c r="L572">
        <v>59.99</v>
      </c>
      <c r="M572">
        <v>2</v>
      </c>
      <c r="N572" t="str">
        <f>IF(Walmart[[#This Row],[Quantity]]&gt;=7,"Bulk",IF(Walmart[[#This Row],[Quantity]]&gt;=2,"Multi","Single"))</f>
        <v>Multi</v>
      </c>
      <c r="O572">
        <v>-46</v>
      </c>
      <c r="P572" t="str">
        <f>IF(Walmart[[#This Row],[Sales]]&gt;=1000,"High Value", IF(Walmart[[#This Row],[Sales]]&gt;=500,"Medium Value","Low Value"))</f>
        <v>Low Value</v>
      </c>
    </row>
    <row r="573" spans="1:16" hidden="1" x14ac:dyDescent="0.3">
      <c r="A573" t="s">
        <v>1622</v>
      </c>
      <c r="B573" s="1">
        <v>41232</v>
      </c>
      <c r="C573" s="1" t="str">
        <f>TEXT(Walmart[[#This Row],[Order Date]],"mmmm")</f>
        <v>November</v>
      </c>
      <c r="D573" s="1">
        <v>41234</v>
      </c>
      <c r="E573" s="1" t="str">
        <f>IF(DATEDIF(Walmart[[#This Row],[Order Date]],Walmart[[#This Row],[Ship Date]],"D")&lt;7,"On time","Delayed")</f>
        <v>On time</v>
      </c>
      <c r="F573" t="s">
        <v>1547</v>
      </c>
      <c r="G573" t="s">
        <v>14</v>
      </c>
      <c r="H573" t="s">
        <v>25</v>
      </c>
      <c r="I573" t="s">
        <v>26</v>
      </c>
      <c r="J573" t="s">
        <v>21</v>
      </c>
      <c r="K573" t="s">
        <v>1623</v>
      </c>
      <c r="L573">
        <v>141.96</v>
      </c>
      <c r="M573">
        <v>2</v>
      </c>
      <c r="N573" t="str">
        <f>IF(Walmart[[#This Row],[Quantity]]&gt;=7,"Bulk",IF(Walmart[[#This Row],[Quantity]]&gt;=2,"Multi","Single"))</f>
        <v>Multi</v>
      </c>
      <c r="O573">
        <v>22.71</v>
      </c>
      <c r="P573" t="str">
        <f>IF(Walmart[[#This Row],[Sales]]&gt;=1000,"High Value", IF(Walmart[[#This Row],[Sales]]&gt;=500,"Medium Value","Low Value"))</f>
        <v>Low Value</v>
      </c>
    </row>
    <row r="574" spans="1:16" hidden="1" x14ac:dyDescent="0.3">
      <c r="A574" t="s">
        <v>1624</v>
      </c>
      <c r="B574" s="1">
        <v>40799</v>
      </c>
      <c r="C574" s="1" t="str">
        <f>TEXT(Walmart[[#This Row],[Order Date]],"mmmm")</f>
        <v>September</v>
      </c>
      <c r="D574" s="1">
        <v>40803</v>
      </c>
      <c r="E574" s="1" t="str">
        <f>IF(DATEDIF(Walmart[[#This Row],[Order Date]],Walmart[[#This Row],[Ship Date]],"D")&lt;7,"On time","Delayed")</f>
        <v>On time</v>
      </c>
      <c r="F574" t="s">
        <v>1525</v>
      </c>
      <c r="G574" t="s">
        <v>14</v>
      </c>
      <c r="H574" t="s">
        <v>757</v>
      </c>
      <c r="I574" t="s">
        <v>58</v>
      </c>
      <c r="J574" t="s">
        <v>33</v>
      </c>
      <c r="K574" t="s">
        <v>1625</v>
      </c>
      <c r="L574">
        <v>79.400000000000006</v>
      </c>
      <c r="M574">
        <v>5</v>
      </c>
      <c r="N574" t="str">
        <f>IF(Walmart[[#This Row],[Quantity]]&gt;=7,"Bulk",IF(Walmart[[#This Row],[Quantity]]&gt;=2,"Multi","Single"))</f>
        <v>Multi</v>
      </c>
      <c r="O574">
        <v>5.96</v>
      </c>
      <c r="P574" t="str">
        <f>IF(Walmart[[#This Row],[Sales]]&gt;=1000,"High Value", IF(Walmart[[#This Row],[Sales]]&gt;=500,"Medium Value","Low Value"))</f>
        <v>Low Value</v>
      </c>
    </row>
    <row r="575" spans="1:16" x14ac:dyDescent="0.3">
      <c r="A575" t="s">
        <v>2149</v>
      </c>
      <c r="B575" s="1">
        <v>41922</v>
      </c>
      <c r="C575" s="1" t="str">
        <f>TEXT(Walmart[[#This Row],[Order Date]],"mmmm")</f>
        <v>October</v>
      </c>
      <c r="D575" s="1">
        <v>41924</v>
      </c>
      <c r="E575" s="1" t="str">
        <f>IF(DATEDIF(Walmart[[#This Row],[Order Date]],Walmart[[#This Row],[Ship Date]],"D")&lt;7,"On time","Delayed")</f>
        <v>On time</v>
      </c>
      <c r="F575" t="s">
        <v>265</v>
      </c>
      <c r="G575" t="s">
        <v>14</v>
      </c>
      <c r="H575" t="s">
        <v>15</v>
      </c>
      <c r="I575" t="s">
        <v>16</v>
      </c>
      <c r="J575" t="s">
        <v>93</v>
      </c>
      <c r="K575" t="s">
        <v>2150</v>
      </c>
      <c r="L575">
        <v>35.200000000000003</v>
      </c>
      <c r="M575">
        <v>5</v>
      </c>
      <c r="N575" t="str">
        <f>IF(Walmart[[#This Row],[Quantity]]&gt;=7,"Bulk",IF(Walmart[[#This Row],[Quantity]]&gt;=2,"Multi","Single"))</f>
        <v>Multi</v>
      </c>
      <c r="O575">
        <v>16.54</v>
      </c>
      <c r="P575" t="str">
        <f>IF(Walmart[[#This Row],[Sales]]&gt;=1000,"High Value", IF(Walmart[[#This Row],[Sales]]&gt;=500,"Medium Value","Low Value"))</f>
        <v>Low Value</v>
      </c>
    </row>
    <row r="576" spans="1:16" x14ac:dyDescent="0.3">
      <c r="A576" t="s">
        <v>2236</v>
      </c>
      <c r="B576" s="1">
        <v>41921</v>
      </c>
      <c r="C576" s="1" t="str">
        <f>TEXT(Walmart[[#This Row],[Order Date]],"mmmm")</f>
        <v>October</v>
      </c>
      <c r="D576" s="1">
        <v>41927</v>
      </c>
      <c r="E576" s="1" t="str">
        <f>IF(DATEDIF(Walmart[[#This Row],[Order Date]],Walmart[[#This Row],[Ship Date]],"D")&lt;7,"On time","Delayed")</f>
        <v>On time</v>
      </c>
      <c r="F576" t="s">
        <v>1806</v>
      </c>
      <c r="G576" t="s">
        <v>14</v>
      </c>
      <c r="H576" t="s">
        <v>160</v>
      </c>
      <c r="I576" t="s">
        <v>16</v>
      </c>
      <c r="J576" t="s">
        <v>146</v>
      </c>
      <c r="K576" t="s">
        <v>2237</v>
      </c>
      <c r="L576">
        <v>103.19</v>
      </c>
      <c r="M576">
        <v>1</v>
      </c>
      <c r="N576" t="str">
        <f>IF(Walmart[[#This Row],[Quantity]]&gt;=7,"Bulk",IF(Walmart[[#This Row],[Quantity]]&gt;=2,"Multi","Single"))</f>
        <v>Single</v>
      </c>
      <c r="O576">
        <v>11.61</v>
      </c>
      <c r="P576" t="str">
        <f>IF(Walmart[[#This Row],[Sales]]&gt;=1000,"High Value", IF(Walmart[[#This Row],[Sales]]&gt;=500,"Medium Value","Low Value"))</f>
        <v>Low Value</v>
      </c>
    </row>
    <row r="577" spans="1:16" hidden="1" x14ac:dyDescent="0.3">
      <c r="A577" t="s">
        <v>1631</v>
      </c>
      <c r="B577" s="1">
        <v>40885</v>
      </c>
      <c r="C577" s="1" t="str">
        <f>TEXT(Walmart[[#This Row],[Order Date]],"mmmm")</f>
        <v>December</v>
      </c>
      <c r="D577" s="1">
        <v>40887</v>
      </c>
      <c r="E577" s="1" t="str">
        <f>IF(DATEDIF(Walmart[[#This Row],[Order Date]],Walmart[[#This Row],[Ship Date]],"D")&lt;7,"On time","Delayed")</f>
        <v>On time</v>
      </c>
      <c r="F577" t="s">
        <v>1109</v>
      </c>
      <c r="G577" t="s">
        <v>14</v>
      </c>
      <c r="H577" t="s">
        <v>521</v>
      </c>
      <c r="I577" t="s">
        <v>26</v>
      </c>
      <c r="J577" t="s">
        <v>93</v>
      </c>
      <c r="K577" t="s">
        <v>1632</v>
      </c>
      <c r="L577">
        <v>45.68</v>
      </c>
      <c r="M577">
        <v>2</v>
      </c>
      <c r="N577" t="str">
        <f>IF(Walmart[[#This Row],[Quantity]]&gt;=7,"Bulk",IF(Walmart[[#This Row],[Quantity]]&gt;=2,"Multi","Single"))</f>
        <v>Multi</v>
      </c>
      <c r="O577">
        <v>21.01</v>
      </c>
      <c r="P577" t="str">
        <f>IF(Walmart[[#This Row],[Sales]]&gt;=1000,"High Value", IF(Walmart[[#This Row],[Sales]]&gt;=500,"Medium Value","Low Value"))</f>
        <v>Low Value</v>
      </c>
    </row>
    <row r="578" spans="1:16" hidden="1" x14ac:dyDescent="0.3">
      <c r="A578" t="s">
        <v>1633</v>
      </c>
      <c r="B578" s="1">
        <v>40907</v>
      </c>
      <c r="C578" s="1" t="str">
        <f>TEXT(Walmart[[#This Row],[Order Date]],"mmmm")</f>
        <v>December</v>
      </c>
      <c r="D578" s="1">
        <v>40912</v>
      </c>
      <c r="E578" s="1" t="str">
        <f>IF(DATEDIF(Walmart[[#This Row],[Order Date]],Walmart[[#This Row],[Ship Date]],"D")&lt;7,"On time","Delayed")</f>
        <v>On time</v>
      </c>
      <c r="F578" t="s">
        <v>1634</v>
      </c>
      <c r="G578" t="s">
        <v>14</v>
      </c>
      <c r="H578" t="s">
        <v>84</v>
      </c>
      <c r="I578" t="s">
        <v>58</v>
      </c>
      <c r="J578" t="s">
        <v>27</v>
      </c>
      <c r="K578" t="s">
        <v>1603</v>
      </c>
      <c r="L578">
        <v>551.99</v>
      </c>
      <c r="M578">
        <v>5</v>
      </c>
      <c r="N578" t="str">
        <f>IF(Walmart[[#This Row],[Quantity]]&gt;=7,"Bulk",IF(Walmart[[#This Row],[Quantity]]&gt;=2,"Multi","Single"))</f>
        <v>Multi</v>
      </c>
      <c r="O578">
        <v>-459.99</v>
      </c>
      <c r="P578" t="str">
        <f>IF(Walmart[[#This Row],[Sales]]&gt;=1000,"High Value", IF(Walmart[[#This Row],[Sales]]&gt;=500,"Medium Value","Low Value"))</f>
        <v>Medium Value</v>
      </c>
    </row>
    <row r="579" spans="1:16" hidden="1" x14ac:dyDescent="0.3">
      <c r="A579" t="s">
        <v>1635</v>
      </c>
      <c r="B579" s="1">
        <v>41635</v>
      </c>
      <c r="C579" s="1" t="str">
        <f>TEXT(Walmart[[#This Row],[Order Date]],"mmmm")</f>
        <v>December</v>
      </c>
      <c r="D579" s="1">
        <v>41642</v>
      </c>
      <c r="E579" s="1" t="str">
        <f>IF(DATEDIF(Walmart[[#This Row],[Order Date]],Walmart[[#This Row],[Ship Date]],"D")&lt;7,"On time","Delayed")</f>
        <v>Delayed</v>
      </c>
      <c r="F579" t="s">
        <v>96</v>
      </c>
      <c r="G579" t="s">
        <v>14</v>
      </c>
      <c r="H579" t="s">
        <v>141</v>
      </c>
      <c r="I579" t="s">
        <v>77</v>
      </c>
      <c r="J579" t="s">
        <v>105</v>
      </c>
      <c r="K579" t="s">
        <v>1636</v>
      </c>
      <c r="L579">
        <v>18.72</v>
      </c>
      <c r="M579">
        <v>2</v>
      </c>
      <c r="N579" t="str">
        <f>IF(Walmart[[#This Row],[Quantity]]&gt;=7,"Bulk",IF(Walmart[[#This Row],[Quantity]]&gt;=2,"Multi","Single"))</f>
        <v>Multi</v>
      </c>
      <c r="O579">
        <v>3.51</v>
      </c>
      <c r="P579" t="str">
        <f>IF(Walmart[[#This Row],[Sales]]&gt;=1000,"High Value", IF(Walmart[[#This Row],[Sales]]&gt;=500,"Medium Value","Low Value"))</f>
        <v>Low Value</v>
      </c>
    </row>
    <row r="580" spans="1:16" x14ac:dyDescent="0.3">
      <c r="A580" t="s">
        <v>851</v>
      </c>
      <c r="B580" s="1">
        <v>41920</v>
      </c>
      <c r="C580" s="1" t="str">
        <f>TEXT(Walmart[[#This Row],[Order Date]],"mmmm")</f>
        <v>October</v>
      </c>
      <c r="D580" s="1">
        <v>41926</v>
      </c>
      <c r="E580" s="1" t="str">
        <f>IF(DATEDIF(Walmart[[#This Row],[Order Date]],Walmart[[#This Row],[Ship Date]],"D")&lt;7,"On time","Delayed")</f>
        <v>On time</v>
      </c>
      <c r="F580" t="s">
        <v>852</v>
      </c>
      <c r="G580" t="s">
        <v>14</v>
      </c>
      <c r="H580" t="s">
        <v>37</v>
      </c>
      <c r="I580" t="s">
        <v>16</v>
      </c>
      <c r="J580" t="s">
        <v>671</v>
      </c>
      <c r="K580" t="s">
        <v>853</v>
      </c>
      <c r="L580">
        <v>307.67</v>
      </c>
      <c r="M580">
        <v>2</v>
      </c>
      <c r="N580" t="str">
        <f>IF(Walmart[[#This Row],[Quantity]]&gt;=7,"Bulk",IF(Walmart[[#This Row],[Quantity]]&gt;=2,"Multi","Single"))</f>
        <v>Multi</v>
      </c>
      <c r="O580">
        <v>-14.48</v>
      </c>
      <c r="P580" t="str">
        <f>IF(Walmart[[#This Row],[Sales]]&gt;=1000,"High Value", IF(Walmart[[#This Row],[Sales]]&gt;=500,"Medium Value","Low Value"))</f>
        <v>Low Value</v>
      </c>
    </row>
    <row r="581" spans="1:16" hidden="1" x14ac:dyDescent="0.3">
      <c r="A581" t="s">
        <v>1638</v>
      </c>
      <c r="B581" s="1">
        <v>41170</v>
      </c>
      <c r="C581" s="1" t="str">
        <f>TEXT(Walmart[[#This Row],[Order Date]],"mmmm")</f>
        <v>September</v>
      </c>
      <c r="D581" s="1">
        <v>41175</v>
      </c>
      <c r="E581" s="1" t="str">
        <f>IF(DATEDIF(Walmart[[#This Row],[Order Date]],Walmart[[#This Row],[Ship Date]],"D")&lt;7,"On time","Delayed")</f>
        <v>On time</v>
      </c>
      <c r="F581" t="s">
        <v>585</v>
      </c>
      <c r="G581" t="s">
        <v>14</v>
      </c>
      <c r="H581" t="s">
        <v>15</v>
      </c>
      <c r="I581" t="s">
        <v>16</v>
      </c>
      <c r="J581" t="s">
        <v>38</v>
      </c>
      <c r="K581" t="s">
        <v>1639</v>
      </c>
      <c r="L581">
        <v>11.68</v>
      </c>
      <c r="M581">
        <v>2</v>
      </c>
      <c r="N581" t="str">
        <f>IF(Walmart[[#This Row],[Quantity]]&gt;=7,"Bulk",IF(Walmart[[#This Row],[Quantity]]&gt;=2,"Multi","Single"))</f>
        <v>Multi</v>
      </c>
      <c r="O581">
        <v>5.49</v>
      </c>
      <c r="P581" t="str">
        <f>IF(Walmart[[#This Row],[Sales]]&gt;=1000,"High Value", IF(Walmart[[#This Row],[Sales]]&gt;=500,"Medium Value","Low Value"))</f>
        <v>Low Value</v>
      </c>
    </row>
    <row r="582" spans="1:16" hidden="1" x14ac:dyDescent="0.3">
      <c r="A582" t="s">
        <v>1640</v>
      </c>
      <c r="B582" s="1">
        <v>41626</v>
      </c>
      <c r="C582" s="1" t="str">
        <f>TEXT(Walmart[[#This Row],[Order Date]],"mmmm")</f>
        <v>December</v>
      </c>
      <c r="D582" s="1">
        <v>41630</v>
      </c>
      <c r="E582" s="1" t="str">
        <f>IF(DATEDIF(Walmart[[#This Row],[Order Date]],Walmart[[#This Row],[Ship Date]],"D")&lt;7,"On time","Delayed")</f>
        <v>On time</v>
      </c>
      <c r="F582" t="s">
        <v>1641</v>
      </c>
      <c r="G582" t="s">
        <v>14</v>
      </c>
      <c r="H582" t="s">
        <v>37</v>
      </c>
      <c r="I582" t="s">
        <v>16</v>
      </c>
      <c r="J582" t="s">
        <v>43</v>
      </c>
      <c r="K582" t="s">
        <v>748</v>
      </c>
      <c r="L582">
        <v>2003.52</v>
      </c>
      <c r="M582">
        <v>6</v>
      </c>
      <c r="N582" t="str">
        <f>IF(Walmart[[#This Row],[Quantity]]&gt;=7,"Bulk",IF(Walmart[[#This Row],[Quantity]]&gt;=2,"Multi","Single"))</f>
        <v>Multi</v>
      </c>
      <c r="O582">
        <v>-325.57</v>
      </c>
      <c r="P582" t="str">
        <f>IF(Walmart[[#This Row],[Sales]]&gt;=1000,"High Value", IF(Walmart[[#This Row],[Sales]]&gt;=500,"Medium Value","Low Value"))</f>
        <v>High Value</v>
      </c>
    </row>
    <row r="583" spans="1:16" hidden="1" x14ac:dyDescent="0.3">
      <c r="A583" t="s">
        <v>1642</v>
      </c>
      <c r="B583" s="1">
        <v>41032</v>
      </c>
      <c r="C583" s="1" t="str">
        <f>TEXT(Walmart[[#This Row],[Order Date]],"mmmm")</f>
        <v>May</v>
      </c>
      <c r="D583" s="1">
        <v>41037</v>
      </c>
      <c r="E583" s="1" t="str">
        <f>IF(DATEDIF(Walmart[[#This Row],[Order Date]],Walmart[[#This Row],[Ship Date]],"D")&lt;7,"On time","Delayed")</f>
        <v>On time</v>
      </c>
      <c r="F583" t="s">
        <v>1643</v>
      </c>
      <c r="G583" t="s">
        <v>14</v>
      </c>
      <c r="H583" t="s">
        <v>1644</v>
      </c>
      <c r="I583" t="s">
        <v>16</v>
      </c>
      <c r="J583" t="s">
        <v>21</v>
      </c>
      <c r="K583" t="s">
        <v>1645</v>
      </c>
      <c r="L583">
        <v>665.88</v>
      </c>
      <c r="M583">
        <v>6</v>
      </c>
      <c r="N583" t="str">
        <f>IF(Walmart[[#This Row],[Quantity]]&gt;=7,"Bulk",IF(Walmart[[#This Row],[Quantity]]&gt;=2,"Multi","Single"))</f>
        <v>Multi</v>
      </c>
      <c r="O583">
        <v>106.54</v>
      </c>
      <c r="P583" t="str">
        <f>IF(Walmart[[#This Row],[Sales]]&gt;=1000,"High Value", IF(Walmart[[#This Row],[Sales]]&gt;=500,"Medium Value","Low Value"))</f>
        <v>Medium Value</v>
      </c>
    </row>
    <row r="584" spans="1:16" hidden="1" x14ac:dyDescent="0.3">
      <c r="A584" t="s">
        <v>1646</v>
      </c>
      <c r="B584" s="1">
        <v>41579</v>
      </c>
      <c r="C584" s="1" t="str">
        <f>TEXT(Walmart[[#This Row],[Order Date]],"mmmm")</f>
        <v>November</v>
      </c>
      <c r="D584" s="1">
        <v>41583</v>
      </c>
      <c r="E584" s="1" t="str">
        <f>IF(DATEDIF(Walmart[[#This Row],[Order Date]],Walmart[[#This Row],[Ship Date]],"D")&lt;7,"On time","Delayed")</f>
        <v>On time</v>
      </c>
      <c r="F584" t="s">
        <v>1647</v>
      </c>
      <c r="G584" t="s">
        <v>14</v>
      </c>
      <c r="H584" t="s">
        <v>15</v>
      </c>
      <c r="I584" t="s">
        <v>16</v>
      </c>
      <c r="J584" t="s">
        <v>33</v>
      </c>
      <c r="K584" t="s">
        <v>1377</v>
      </c>
      <c r="L584">
        <v>1085.42</v>
      </c>
      <c r="M584">
        <v>7</v>
      </c>
      <c r="N584" t="str">
        <f>IF(Walmart[[#This Row],[Quantity]]&gt;=7,"Bulk",IF(Walmart[[#This Row],[Quantity]]&gt;=2,"Multi","Single"))</f>
        <v>Bulk</v>
      </c>
      <c r="O584">
        <v>282.20999999999998</v>
      </c>
      <c r="P584" t="str">
        <f>IF(Walmart[[#This Row],[Sales]]&gt;=1000,"High Value", IF(Walmart[[#This Row],[Sales]]&gt;=500,"Medium Value","Low Value"))</f>
        <v>High Value</v>
      </c>
    </row>
    <row r="585" spans="1:16" hidden="1" x14ac:dyDescent="0.3">
      <c r="A585" t="s">
        <v>1648</v>
      </c>
      <c r="B585" s="1">
        <v>40729</v>
      </c>
      <c r="C585" s="1" t="str">
        <f>TEXT(Walmart[[#This Row],[Order Date]],"mmmm")</f>
        <v>July</v>
      </c>
      <c r="D585" s="1">
        <v>40735</v>
      </c>
      <c r="E585" s="1" t="str">
        <f>IF(DATEDIF(Walmart[[#This Row],[Order Date]],Walmart[[#This Row],[Ship Date]],"D")&lt;7,"On time","Delayed")</f>
        <v>On time</v>
      </c>
      <c r="F585" t="s">
        <v>1562</v>
      </c>
      <c r="G585" t="s">
        <v>14</v>
      </c>
      <c r="H585" t="s">
        <v>15</v>
      </c>
      <c r="I585" t="s">
        <v>16</v>
      </c>
      <c r="J585" t="s">
        <v>27</v>
      </c>
      <c r="K585" t="s">
        <v>279</v>
      </c>
      <c r="L585">
        <v>180.96</v>
      </c>
      <c r="M585">
        <v>6</v>
      </c>
      <c r="N585" t="str">
        <f>IF(Walmart[[#This Row],[Quantity]]&gt;=7,"Bulk",IF(Walmart[[#This Row],[Quantity]]&gt;=2,"Multi","Single"))</f>
        <v>Multi</v>
      </c>
      <c r="O585">
        <v>67.86</v>
      </c>
      <c r="P585" t="str">
        <f>IF(Walmart[[#This Row],[Sales]]&gt;=1000,"High Value", IF(Walmart[[#This Row],[Sales]]&gt;=500,"Medium Value","Low Value"))</f>
        <v>Low Value</v>
      </c>
    </row>
    <row r="586" spans="1:16" hidden="1" x14ac:dyDescent="0.3">
      <c r="A586" t="s">
        <v>1649</v>
      </c>
      <c r="B586" s="1">
        <v>40571</v>
      </c>
      <c r="C586" s="1" t="str">
        <f>TEXT(Walmart[[#This Row],[Order Date]],"mmmm")</f>
        <v>January</v>
      </c>
      <c r="D586" s="1">
        <v>40577</v>
      </c>
      <c r="E586" s="1" t="str">
        <f>IF(DATEDIF(Walmart[[#This Row],[Order Date]],Walmart[[#This Row],[Ship Date]],"D")&lt;7,"On time","Delayed")</f>
        <v>On time</v>
      </c>
      <c r="F586" t="s">
        <v>1650</v>
      </c>
      <c r="G586" t="s">
        <v>14</v>
      </c>
      <c r="H586" t="s">
        <v>160</v>
      </c>
      <c r="I586" t="s">
        <v>16</v>
      </c>
      <c r="J586" t="s">
        <v>33</v>
      </c>
      <c r="K586" t="s">
        <v>1446</v>
      </c>
      <c r="L586">
        <v>57.23</v>
      </c>
      <c r="M586">
        <v>1</v>
      </c>
      <c r="N586" t="str">
        <f>IF(Walmart[[#This Row],[Quantity]]&gt;=7,"Bulk",IF(Walmart[[#This Row],[Quantity]]&gt;=2,"Multi","Single"))</f>
        <v>Single</v>
      </c>
      <c r="O586">
        <v>14.31</v>
      </c>
      <c r="P586" t="str">
        <f>IF(Walmart[[#This Row],[Sales]]&gt;=1000,"High Value", IF(Walmart[[#This Row],[Sales]]&gt;=500,"Medium Value","Low Value"))</f>
        <v>Low Value</v>
      </c>
    </row>
    <row r="587" spans="1:16" hidden="1" x14ac:dyDescent="0.3">
      <c r="A587" t="s">
        <v>1651</v>
      </c>
      <c r="B587" s="1">
        <v>40641</v>
      </c>
      <c r="C587" s="1" t="str">
        <f>TEXT(Walmart[[#This Row],[Order Date]],"mmmm")</f>
        <v>April</v>
      </c>
      <c r="D587" s="1">
        <v>40648</v>
      </c>
      <c r="E587" s="1" t="str">
        <f>IF(DATEDIF(Walmart[[#This Row],[Order Date]],Walmart[[#This Row],[Ship Date]],"D")&lt;7,"On time","Delayed")</f>
        <v>Delayed</v>
      </c>
      <c r="F587" t="s">
        <v>1245</v>
      </c>
      <c r="G587" t="s">
        <v>14</v>
      </c>
      <c r="H587" t="s">
        <v>712</v>
      </c>
      <c r="I587" t="s">
        <v>58</v>
      </c>
      <c r="J587" t="s">
        <v>191</v>
      </c>
      <c r="K587" t="s">
        <v>1652</v>
      </c>
      <c r="L587">
        <v>2.37</v>
      </c>
      <c r="M587">
        <v>2</v>
      </c>
      <c r="N587" t="str">
        <f>IF(Walmart[[#This Row],[Quantity]]&gt;=7,"Bulk",IF(Walmart[[#This Row],[Quantity]]&gt;=2,"Multi","Single"))</f>
        <v>Multi</v>
      </c>
      <c r="O587">
        <v>0.83</v>
      </c>
      <c r="P587" t="str">
        <f>IF(Walmart[[#This Row],[Sales]]&gt;=1000,"High Value", IF(Walmart[[#This Row],[Sales]]&gt;=500,"Medium Value","Low Value"))</f>
        <v>Low Value</v>
      </c>
    </row>
    <row r="588" spans="1:16" hidden="1" x14ac:dyDescent="0.3">
      <c r="A588" t="s">
        <v>1653</v>
      </c>
      <c r="B588" s="1">
        <v>40750</v>
      </c>
      <c r="C588" s="1" t="str">
        <f>TEXT(Walmart[[#This Row],[Order Date]],"mmmm")</f>
        <v>July</v>
      </c>
      <c r="D588" s="1">
        <v>40757</v>
      </c>
      <c r="E588" s="1" t="str">
        <f>IF(DATEDIF(Walmart[[#This Row],[Order Date]],Walmart[[#This Row],[Ship Date]],"D")&lt;7,"On time","Delayed")</f>
        <v>Delayed</v>
      </c>
      <c r="F588" t="s">
        <v>52</v>
      </c>
      <c r="G588" t="s">
        <v>14</v>
      </c>
      <c r="H588" t="s">
        <v>747</v>
      </c>
      <c r="I588" t="s">
        <v>227</v>
      </c>
      <c r="J588" t="s">
        <v>146</v>
      </c>
      <c r="K588" t="s">
        <v>1654</v>
      </c>
      <c r="L588">
        <v>911.98</v>
      </c>
      <c r="M588">
        <v>2</v>
      </c>
      <c r="N588" t="str">
        <f>IF(Walmart[[#This Row],[Quantity]]&gt;=7,"Bulk",IF(Walmart[[#This Row],[Quantity]]&gt;=2,"Multi","Single"))</f>
        <v>Multi</v>
      </c>
      <c r="O588">
        <v>114</v>
      </c>
      <c r="P588" t="str">
        <f>IF(Walmart[[#This Row],[Sales]]&gt;=1000,"High Value", IF(Walmart[[#This Row],[Sales]]&gt;=500,"Medium Value","Low Value"))</f>
        <v>Medium Value</v>
      </c>
    </row>
    <row r="589" spans="1:16" hidden="1" x14ac:dyDescent="0.3">
      <c r="A589" t="s">
        <v>1655</v>
      </c>
      <c r="B589" s="1">
        <v>40844</v>
      </c>
      <c r="C589" s="1" t="str">
        <f>TEXT(Walmart[[#This Row],[Order Date]],"mmmm")</f>
        <v>October</v>
      </c>
      <c r="D589" s="1">
        <v>40847</v>
      </c>
      <c r="E589" s="1" t="str">
        <f>IF(DATEDIF(Walmart[[#This Row],[Order Date]],Walmart[[#This Row],[Ship Date]],"D")&lt;7,"On time","Delayed")</f>
        <v>On time</v>
      </c>
      <c r="F589" t="s">
        <v>1656</v>
      </c>
      <c r="G589" t="s">
        <v>14</v>
      </c>
      <c r="H589" t="s">
        <v>15</v>
      </c>
      <c r="I589" t="s">
        <v>16</v>
      </c>
      <c r="J589" t="s">
        <v>27</v>
      </c>
      <c r="K589" t="s">
        <v>1256</v>
      </c>
      <c r="L589">
        <v>7.18</v>
      </c>
      <c r="M589">
        <v>2</v>
      </c>
      <c r="N589" t="str">
        <f>IF(Walmart[[#This Row],[Quantity]]&gt;=7,"Bulk",IF(Walmart[[#This Row],[Quantity]]&gt;=2,"Multi","Single"))</f>
        <v>Multi</v>
      </c>
      <c r="O589">
        <v>2.25</v>
      </c>
      <c r="P589" t="str">
        <f>IF(Walmart[[#This Row],[Sales]]&gt;=1000,"High Value", IF(Walmart[[#This Row],[Sales]]&gt;=500,"Medium Value","Low Value"))</f>
        <v>Low Value</v>
      </c>
    </row>
    <row r="590" spans="1:16" x14ac:dyDescent="0.3">
      <c r="A590" t="s">
        <v>1149</v>
      </c>
      <c r="B590" s="1">
        <v>41920</v>
      </c>
      <c r="C590" s="1" t="str">
        <f>TEXT(Walmart[[#This Row],[Order Date]],"mmmm")</f>
        <v>October</v>
      </c>
      <c r="D590" s="1">
        <v>41924</v>
      </c>
      <c r="E590" s="1" t="str">
        <f>IF(DATEDIF(Walmart[[#This Row],[Order Date]],Walmart[[#This Row],[Ship Date]],"D")&lt;7,"On time","Delayed")</f>
        <v>On time</v>
      </c>
      <c r="F590" t="s">
        <v>1150</v>
      </c>
      <c r="G590" t="s">
        <v>14</v>
      </c>
      <c r="H590" t="s">
        <v>15</v>
      </c>
      <c r="I590" t="s">
        <v>16</v>
      </c>
      <c r="J590" t="s">
        <v>53</v>
      </c>
      <c r="K590" t="s">
        <v>1151</v>
      </c>
      <c r="L590">
        <v>1115.9100000000001</v>
      </c>
      <c r="M590">
        <v>9</v>
      </c>
      <c r="N590" t="str">
        <f>IF(Walmart[[#This Row],[Quantity]]&gt;=7,"Bulk",IF(Walmart[[#This Row],[Quantity]]&gt;=2,"Multi","Single"))</f>
        <v>Bulk</v>
      </c>
      <c r="O590">
        <v>200.86</v>
      </c>
      <c r="P590" t="str">
        <f>IF(Walmart[[#This Row],[Sales]]&gt;=1000,"High Value", IF(Walmart[[#This Row],[Sales]]&gt;=500,"Medium Value","Low Value"))</f>
        <v>High Value</v>
      </c>
    </row>
    <row r="591" spans="1:16" hidden="1" x14ac:dyDescent="0.3">
      <c r="A591" t="s">
        <v>1659</v>
      </c>
      <c r="B591" s="1">
        <v>40897</v>
      </c>
      <c r="C591" s="1" t="str">
        <f>TEXT(Walmart[[#This Row],[Order Date]],"mmmm")</f>
        <v>December</v>
      </c>
      <c r="D591" s="1">
        <v>40897</v>
      </c>
      <c r="E591" s="1" t="str">
        <f>IF(DATEDIF(Walmart[[#This Row],[Order Date]],Walmart[[#This Row],[Ship Date]],"D")&lt;7,"On time","Delayed")</f>
        <v>On time</v>
      </c>
      <c r="F591" t="s">
        <v>1266</v>
      </c>
      <c r="G591" t="s">
        <v>14</v>
      </c>
      <c r="H591" t="s">
        <v>1660</v>
      </c>
      <c r="I591" t="s">
        <v>77</v>
      </c>
      <c r="J591" t="s">
        <v>53</v>
      </c>
      <c r="K591" t="s">
        <v>1661</v>
      </c>
      <c r="L591">
        <v>447.94</v>
      </c>
      <c r="M591">
        <v>7</v>
      </c>
      <c r="N591" t="str">
        <f>IF(Walmart[[#This Row],[Quantity]]&gt;=7,"Bulk",IF(Walmart[[#This Row],[Quantity]]&gt;=2,"Multi","Single"))</f>
        <v>Bulk</v>
      </c>
      <c r="O591">
        <v>89.59</v>
      </c>
      <c r="P591" t="str">
        <f>IF(Walmart[[#This Row],[Sales]]&gt;=1000,"High Value", IF(Walmart[[#This Row],[Sales]]&gt;=500,"Medium Value","Low Value"))</f>
        <v>Low Value</v>
      </c>
    </row>
    <row r="592" spans="1:16" x14ac:dyDescent="0.3">
      <c r="A592" t="s">
        <v>1436</v>
      </c>
      <c r="B592" s="1">
        <v>41919</v>
      </c>
      <c r="C592" s="1" t="str">
        <f>TEXT(Walmart[[#This Row],[Order Date]],"mmmm")</f>
        <v>October</v>
      </c>
      <c r="D592" s="1">
        <v>41924</v>
      </c>
      <c r="E592" s="1" t="str">
        <f>IF(DATEDIF(Walmart[[#This Row],[Order Date]],Walmart[[#This Row],[Ship Date]],"D")&lt;7,"On time","Delayed")</f>
        <v>On time</v>
      </c>
      <c r="F592" t="s">
        <v>408</v>
      </c>
      <c r="G592" t="s">
        <v>14</v>
      </c>
      <c r="H592" t="s">
        <v>1437</v>
      </c>
      <c r="I592" t="s">
        <v>1438</v>
      </c>
      <c r="J592" t="s">
        <v>21</v>
      </c>
      <c r="K592" t="s">
        <v>1439</v>
      </c>
      <c r="L592">
        <v>41.96</v>
      </c>
      <c r="M592">
        <v>2</v>
      </c>
      <c r="N592" t="str">
        <f>IF(Walmart[[#This Row],[Quantity]]&gt;=7,"Bulk",IF(Walmart[[#This Row],[Quantity]]&gt;=2,"Multi","Single"))</f>
        <v>Multi</v>
      </c>
      <c r="O592">
        <v>2.94</v>
      </c>
      <c r="P592" t="str">
        <f>IF(Walmart[[#This Row],[Sales]]&gt;=1000,"High Value", IF(Walmart[[#This Row],[Sales]]&gt;=500,"Medium Value","Low Value"))</f>
        <v>Low Value</v>
      </c>
    </row>
    <row r="593" spans="1:16" hidden="1" x14ac:dyDescent="0.3">
      <c r="A593" t="s">
        <v>1665</v>
      </c>
      <c r="B593" s="1">
        <v>40751</v>
      </c>
      <c r="C593" s="1" t="str">
        <f>TEXT(Walmart[[#This Row],[Order Date]],"mmmm")</f>
        <v>July</v>
      </c>
      <c r="D593" s="1">
        <v>40753</v>
      </c>
      <c r="E593" s="1" t="str">
        <f>IF(DATEDIF(Walmart[[#This Row],[Order Date]],Walmart[[#This Row],[Ship Date]],"D")&lt;7,"On time","Delayed")</f>
        <v>On time</v>
      </c>
      <c r="F593" t="s">
        <v>888</v>
      </c>
      <c r="G593" t="s">
        <v>14</v>
      </c>
      <c r="H593" t="s">
        <v>37</v>
      </c>
      <c r="I593" t="s">
        <v>16</v>
      </c>
      <c r="J593" t="s">
        <v>53</v>
      </c>
      <c r="K593" t="s">
        <v>1164</v>
      </c>
      <c r="L593">
        <v>238</v>
      </c>
      <c r="M593">
        <v>2</v>
      </c>
      <c r="N593" t="str">
        <f>IF(Walmart[[#This Row],[Quantity]]&gt;=7,"Bulk",IF(Walmart[[#This Row],[Quantity]]&gt;=2,"Multi","Single"))</f>
        <v>Multi</v>
      </c>
      <c r="O593">
        <v>38.08</v>
      </c>
      <c r="P593" t="str">
        <f>IF(Walmart[[#This Row],[Sales]]&gt;=1000,"High Value", IF(Walmart[[#This Row],[Sales]]&gt;=500,"Medium Value","Low Value"))</f>
        <v>Low Value</v>
      </c>
    </row>
    <row r="594" spans="1:16" hidden="1" x14ac:dyDescent="0.3">
      <c r="A594" t="s">
        <v>1666</v>
      </c>
      <c r="B594" s="1">
        <v>41205</v>
      </c>
      <c r="C594" s="1" t="str">
        <f>TEXT(Walmart[[#This Row],[Order Date]],"mmmm")</f>
        <v>October</v>
      </c>
      <c r="D594" s="1">
        <v>41209</v>
      </c>
      <c r="E594" s="1" t="str">
        <f>IF(DATEDIF(Walmart[[#This Row],[Order Date]],Walmart[[#This Row],[Ship Date]],"D")&lt;7,"On time","Delayed")</f>
        <v>On time</v>
      </c>
      <c r="F594" t="s">
        <v>1667</v>
      </c>
      <c r="G594" t="s">
        <v>14</v>
      </c>
      <c r="H594" t="s">
        <v>160</v>
      </c>
      <c r="I594" t="s">
        <v>16</v>
      </c>
      <c r="J594" t="s">
        <v>53</v>
      </c>
      <c r="K594" t="s">
        <v>1668</v>
      </c>
      <c r="L594">
        <v>148.32</v>
      </c>
      <c r="M594">
        <v>9</v>
      </c>
      <c r="N594" t="str">
        <f>IF(Walmart[[#This Row],[Quantity]]&gt;=7,"Bulk",IF(Walmart[[#This Row],[Quantity]]&gt;=2,"Multi","Single"))</f>
        <v>Bulk</v>
      </c>
      <c r="O594">
        <v>63.78</v>
      </c>
      <c r="P594" t="str">
        <f>IF(Walmart[[#This Row],[Sales]]&gt;=1000,"High Value", IF(Walmart[[#This Row],[Sales]]&gt;=500,"Medium Value","Low Value"))</f>
        <v>Low Value</v>
      </c>
    </row>
    <row r="595" spans="1:16" hidden="1" x14ac:dyDescent="0.3">
      <c r="A595" t="s">
        <v>1669</v>
      </c>
      <c r="B595" s="1">
        <v>41075</v>
      </c>
      <c r="C595" s="1" t="str">
        <f>TEXT(Walmart[[#This Row],[Order Date]],"mmmm")</f>
        <v>June</v>
      </c>
      <c r="D595" s="1">
        <v>41080</v>
      </c>
      <c r="E595" s="1" t="str">
        <f>IF(DATEDIF(Walmart[[#This Row],[Order Date]],Walmart[[#This Row],[Ship Date]],"D")&lt;7,"On time","Delayed")</f>
        <v>On time</v>
      </c>
      <c r="F595" t="s">
        <v>1670</v>
      </c>
      <c r="G595" t="s">
        <v>14</v>
      </c>
      <c r="H595" t="s">
        <v>57</v>
      </c>
      <c r="I595" t="s">
        <v>58</v>
      </c>
      <c r="J595" t="s">
        <v>93</v>
      </c>
      <c r="K595" t="s">
        <v>1671</v>
      </c>
      <c r="L595">
        <v>9.57</v>
      </c>
      <c r="M595">
        <v>2</v>
      </c>
      <c r="N595" t="str">
        <f>IF(Walmart[[#This Row],[Quantity]]&gt;=7,"Bulk",IF(Walmart[[#This Row],[Quantity]]&gt;=2,"Multi","Single"))</f>
        <v>Multi</v>
      </c>
      <c r="O595">
        <v>2.99</v>
      </c>
      <c r="P595" t="str">
        <f>IF(Walmart[[#This Row],[Sales]]&gt;=1000,"High Value", IF(Walmart[[#This Row],[Sales]]&gt;=500,"Medium Value","Low Value"))</f>
        <v>Low Value</v>
      </c>
    </row>
    <row r="596" spans="1:16" hidden="1" x14ac:dyDescent="0.3">
      <c r="A596" t="s">
        <v>1672</v>
      </c>
      <c r="B596" s="1">
        <v>41603</v>
      </c>
      <c r="C596" s="1" t="str">
        <f>TEXT(Walmart[[#This Row],[Order Date]],"mmmm")</f>
        <v>November</v>
      </c>
      <c r="D596" s="1">
        <v>41609</v>
      </c>
      <c r="E596" s="1" t="str">
        <f>IF(DATEDIF(Walmart[[#This Row],[Order Date]],Walmart[[#This Row],[Ship Date]],"D")&lt;7,"On time","Delayed")</f>
        <v>On time</v>
      </c>
      <c r="F596" t="s">
        <v>243</v>
      </c>
      <c r="G596" t="s">
        <v>14</v>
      </c>
      <c r="H596" t="s">
        <v>15</v>
      </c>
      <c r="I596" t="s">
        <v>16</v>
      </c>
      <c r="J596" t="s">
        <v>53</v>
      </c>
      <c r="K596" t="s">
        <v>1673</v>
      </c>
      <c r="L596">
        <v>659.9</v>
      </c>
      <c r="M596">
        <v>2</v>
      </c>
      <c r="N596" t="str">
        <f>IF(Walmart[[#This Row],[Quantity]]&gt;=7,"Bulk",IF(Walmart[[#This Row],[Quantity]]&gt;=2,"Multi","Single"))</f>
        <v>Multi</v>
      </c>
      <c r="O596">
        <v>217.77</v>
      </c>
      <c r="P596" t="str">
        <f>IF(Walmart[[#This Row],[Sales]]&gt;=1000,"High Value", IF(Walmart[[#This Row],[Sales]]&gt;=500,"Medium Value","Low Value"))</f>
        <v>Medium Value</v>
      </c>
    </row>
    <row r="597" spans="1:16" hidden="1" x14ac:dyDescent="0.3">
      <c r="A597" t="s">
        <v>1674</v>
      </c>
      <c r="B597" s="1">
        <v>41184</v>
      </c>
      <c r="C597" s="1" t="str">
        <f>TEXT(Walmart[[#This Row],[Order Date]],"mmmm")</f>
        <v>October</v>
      </c>
      <c r="D597" s="1">
        <v>41189</v>
      </c>
      <c r="E597" s="1" t="str">
        <f>IF(DATEDIF(Walmart[[#This Row],[Order Date]],Walmart[[#This Row],[Ship Date]],"D")&lt;7,"On time","Delayed")</f>
        <v>On time</v>
      </c>
      <c r="F597" t="s">
        <v>782</v>
      </c>
      <c r="G597" t="s">
        <v>14</v>
      </c>
      <c r="H597" t="s">
        <v>15</v>
      </c>
      <c r="I597" t="s">
        <v>16</v>
      </c>
      <c r="J597" t="s">
        <v>33</v>
      </c>
      <c r="K597" t="s">
        <v>1675</v>
      </c>
      <c r="L597">
        <v>270.33999999999997</v>
      </c>
      <c r="M597">
        <v>14</v>
      </c>
      <c r="N597" t="str">
        <f>IF(Walmart[[#This Row],[Quantity]]&gt;=7,"Bulk",IF(Walmart[[#This Row],[Quantity]]&gt;=2,"Multi","Single"))</f>
        <v>Bulk</v>
      </c>
      <c r="O597">
        <v>75.7</v>
      </c>
      <c r="P597" t="str">
        <f>IF(Walmart[[#This Row],[Sales]]&gt;=1000,"High Value", IF(Walmart[[#This Row],[Sales]]&gt;=500,"Medium Value","Low Value"))</f>
        <v>Low Value</v>
      </c>
    </row>
    <row r="598" spans="1:16" x14ac:dyDescent="0.3">
      <c r="A598" t="s">
        <v>3544</v>
      </c>
      <c r="B598" s="1">
        <v>41919</v>
      </c>
      <c r="C598" s="1" t="str">
        <f>TEXT(Walmart[[#This Row],[Order Date]],"mmmm")</f>
        <v>October</v>
      </c>
      <c r="D598" s="1">
        <v>41924</v>
      </c>
      <c r="E598" s="1" t="str">
        <f>IF(DATEDIF(Walmart[[#This Row],[Order Date]],Walmart[[#This Row],[Ship Date]],"D")&lt;7,"On time","Delayed")</f>
        <v>On time</v>
      </c>
      <c r="F598" t="s">
        <v>3370</v>
      </c>
      <c r="G598" t="s">
        <v>14</v>
      </c>
      <c r="H598" t="s">
        <v>2099</v>
      </c>
      <c r="I598" t="s">
        <v>58</v>
      </c>
      <c r="J598" t="s">
        <v>38</v>
      </c>
      <c r="K598" t="s">
        <v>2930</v>
      </c>
      <c r="L598">
        <v>9.34</v>
      </c>
      <c r="M598">
        <v>2</v>
      </c>
      <c r="N598" t="str">
        <f>IF(Walmart[[#This Row],[Quantity]]&gt;=7,"Bulk",IF(Walmart[[#This Row],[Quantity]]&gt;=2,"Multi","Single"))</f>
        <v>Multi</v>
      </c>
      <c r="O598">
        <v>1.87</v>
      </c>
      <c r="P598" t="str">
        <f>IF(Walmart[[#This Row],[Sales]]&gt;=1000,"High Value", IF(Walmart[[#This Row],[Sales]]&gt;=500,"Medium Value","Low Value"))</f>
        <v>Low Value</v>
      </c>
    </row>
    <row r="599" spans="1:16" hidden="1" x14ac:dyDescent="0.3">
      <c r="A599" t="s">
        <v>1678</v>
      </c>
      <c r="B599" s="1">
        <v>40803</v>
      </c>
      <c r="C599" s="1" t="str">
        <f>TEXT(Walmart[[#This Row],[Order Date]],"mmmm")</f>
        <v>September</v>
      </c>
      <c r="D599" s="1">
        <v>40807</v>
      </c>
      <c r="E599" s="1" t="str">
        <f>IF(DATEDIF(Walmart[[#This Row],[Order Date]],Walmart[[#This Row],[Ship Date]],"D")&lt;7,"On time","Delayed")</f>
        <v>On time</v>
      </c>
      <c r="F599" t="s">
        <v>281</v>
      </c>
      <c r="G599" t="s">
        <v>14</v>
      </c>
      <c r="H599" t="s">
        <v>25</v>
      </c>
      <c r="I599" t="s">
        <v>26</v>
      </c>
      <c r="J599" t="s">
        <v>33</v>
      </c>
      <c r="K599" t="s">
        <v>1679</v>
      </c>
      <c r="L599">
        <v>30.28</v>
      </c>
      <c r="M599">
        <v>2</v>
      </c>
      <c r="N599" t="str">
        <f>IF(Walmart[[#This Row],[Quantity]]&gt;=7,"Bulk",IF(Walmart[[#This Row],[Quantity]]&gt;=2,"Multi","Single"))</f>
        <v>Multi</v>
      </c>
      <c r="O599">
        <v>1.21</v>
      </c>
      <c r="P599" t="str">
        <f>IF(Walmart[[#This Row],[Sales]]&gt;=1000,"High Value", IF(Walmart[[#This Row],[Sales]]&gt;=500,"Medium Value","Low Value"))</f>
        <v>Low Value</v>
      </c>
    </row>
    <row r="600" spans="1:16" x14ac:dyDescent="0.3">
      <c r="A600" t="s">
        <v>1988</v>
      </c>
      <c r="B600" s="1">
        <v>41918</v>
      </c>
      <c r="C600" s="1" t="str">
        <f>TEXT(Walmart[[#This Row],[Order Date]],"mmmm")</f>
        <v>October</v>
      </c>
      <c r="D600" s="1">
        <v>41923</v>
      </c>
      <c r="E600" s="1" t="str">
        <f>IF(DATEDIF(Walmart[[#This Row],[Order Date]],Walmart[[#This Row],[Ship Date]],"D")&lt;7,"On time","Delayed")</f>
        <v>On time</v>
      </c>
      <c r="F600" t="s">
        <v>760</v>
      </c>
      <c r="G600" t="s">
        <v>14</v>
      </c>
      <c r="H600" t="s">
        <v>37</v>
      </c>
      <c r="I600" t="s">
        <v>16</v>
      </c>
      <c r="J600" t="s">
        <v>27</v>
      </c>
      <c r="K600" t="s">
        <v>1989</v>
      </c>
      <c r="L600">
        <v>39.92</v>
      </c>
      <c r="M600">
        <v>5</v>
      </c>
      <c r="N600" t="str">
        <f>IF(Walmart[[#This Row],[Quantity]]&gt;=7,"Bulk",IF(Walmart[[#This Row],[Quantity]]&gt;=2,"Multi","Single"))</f>
        <v>Multi</v>
      </c>
      <c r="O600">
        <v>13.47</v>
      </c>
      <c r="P600" t="str">
        <f>IF(Walmart[[#This Row],[Sales]]&gt;=1000,"High Value", IF(Walmart[[#This Row],[Sales]]&gt;=500,"Medium Value","Low Value"))</f>
        <v>Low Value</v>
      </c>
    </row>
    <row r="601" spans="1:16" hidden="1" x14ac:dyDescent="0.3">
      <c r="A601" t="s">
        <v>1682</v>
      </c>
      <c r="B601" s="1">
        <v>41411</v>
      </c>
      <c r="C601" s="1" t="str">
        <f>TEXT(Walmart[[#This Row],[Order Date]],"mmmm")</f>
        <v>May</v>
      </c>
      <c r="D601" s="1">
        <v>41416</v>
      </c>
      <c r="E601" s="1" t="str">
        <f>IF(DATEDIF(Walmart[[#This Row],[Order Date]],Walmart[[#This Row],[Ship Date]],"D")&lt;7,"On time","Delayed")</f>
        <v>On time</v>
      </c>
      <c r="F601" t="s">
        <v>1619</v>
      </c>
      <c r="G601" t="s">
        <v>14</v>
      </c>
      <c r="H601" t="s">
        <v>15</v>
      </c>
      <c r="I601" t="s">
        <v>16</v>
      </c>
      <c r="J601" t="s">
        <v>93</v>
      </c>
      <c r="K601" t="s">
        <v>1683</v>
      </c>
      <c r="L601">
        <v>17.34</v>
      </c>
      <c r="M601">
        <v>3</v>
      </c>
      <c r="N601" t="str">
        <f>IF(Walmart[[#This Row],[Quantity]]&gt;=7,"Bulk",IF(Walmart[[#This Row],[Quantity]]&gt;=2,"Multi","Single"))</f>
        <v>Multi</v>
      </c>
      <c r="O601">
        <v>8.5</v>
      </c>
      <c r="P601" t="str">
        <f>IF(Walmart[[#This Row],[Sales]]&gt;=1000,"High Value", IF(Walmart[[#This Row],[Sales]]&gt;=500,"Medium Value","Low Value"))</f>
        <v>Low Value</v>
      </c>
    </row>
    <row r="602" spans="1:16" hidden="1" x14ac:dyDescent="0.3">
      <c r="A602" t="s">
        <v>1684</v>
      </c>
      <c r="B602" s="1">
        <v>41335</v>
      </c>
      <c r="C602" s="1" t="str">
        <f>TEXT(Walmart[[#This Row],[Order Date]],"mmmm")</f>
        <v>March</v>
      </c>
      <c r="D602" s="1">
        <v>41342</v>
      </c>
      <c r="E602" s="1" t="str">
        <f>IF(DATEDIF(Walmart[[#This Row],[Order Date]],Walmart[[#This Row],[Ship Date]],"D")&lt;7,"On time","Delayed")</f>
        <v>Delayed</v>
      </c>
      <c r="F602" t="s">
        <v>1525</v>
      </c>
      <c r="G602" t="s">
        <v>14</v>
      </c>
      <c r="H602" t="s">
        <v>141</v>
      </c>
      <c r="I602" t="s">
        <v>77</v>
      </c>
      <c r="J602" t="s">
        <v>146</v>
      </c>
      <c r="K602" t="s">
        <v>1685</v>
      </c>
      <c r="L602">
        <v>159.97999999999999</v>
      </c>
      <c r="M602">
        <v>2</v>
      </c>
      <c r="N602" t="str">
        <f>IF(Walmart[[#This Row],[Quantity]]&gt;=7,"Bulk",IF(Walmart[[#This Row],[Quantity]]&gt;=2,"Multi","Single"))</f>
        <v>Multi</v>
      </c>
      <c r="O602">
        <v>14</v>
      </c>
      <c r="P602" t="str">
        <f>IF(Walmart[[#This Row],[Sales]]&gt;=1000,"High Value", IF(Walmart[[#This Row],[Sales]]&gt;=500,"Medium Value","Low Value"))</f>
        <v>Low Value</v>
      </c>
    </row>
    <row r="603" spans="1:16" hidden="1" x14ac:dyDescent="0.3">
      <c r="A603" t="s">
        <v>1686</v>
      </c>
      <c r="B603" s="1">
        <v>41452</v>
      </c>
      <c r="C603" s="1" t="str">
        <f>TEXT(Walmart[[#This Row],[Order Date]],"mmmm")</f>
        <v>June</v>
      </c>
      <c r="D603" s="1">
        <v>41459</v>
      </c>
      <c r="E603" s="1" t="str">
        <f>IF(DATEDIF(Walmart[[#This Row],[Order Date]],Walmart[[#This Row],[Ship Date]],"D")&lt;7,"On time","Delayed")</f>
        <v>Delayed</v>
      </c>
      <c r="F603" t="s">
        <v>61</v>
      </c>
      <c r="G603" t="s">
        <v>14</v>
      </c>
      <c r="H603" t="s">
        <v>37</v>
      </c>
      <c r="I603" t="s">
        <v>16</v>
      </c>
      <c r="J603" t="s">
        <v>21</v>
      </c>
      <c r="K603" t="s">
        <v>1687</v>
      </c>
      <c r="L603">
        <v>22.14</v>
      </c>
      <c r="M603">
        <v>3</v>
      </c>
      <c r="N603" t="str">
        <f>IF(Walmart[[#This Row],[Quantity]]&gt;=7,"Bulk",IF(Walmart[[#This Row],[Quantity]]&gt;=2,"Multi","Single"))</f>
        <v>Multi</v>
      </c>
      <c r="O603">
        <v>6.42</v>
      </c>
      <c r="P603" t="str">
        <f>IF(Walmart[[#This Row],[Sales]]&gt;=1000,"High Value", IF(Walmart[[#This Row],[Sales]]&gt;=500,"Medium Value","Low Value"))</f>
        <v>Low Value</v>
      </c>
    </row>
    <row r="604" spans="1:16" x14ac:dyDescent="0.3">
      <c r="A604" t="s">
        <v>2892</v>
      </c>
      <c r="B604" s="1">
        <v>41918</v>
      </c>
      <c r="C604" s="1" t="str">
        <f>TEXT(Walmart[[#This Row],[Order Date]],"mmmm")</f>
        <v>October</v>
      </c>
      <c r="D604" s="1">
        <v>41920</v>
      </c>
      <c r="E604" s="1" t="str">
        <f>IF(DATEDIF(Walmart[[#This Row],[Order Date]],Walmart[[#This Row],[Ship Date]],"D")&lt;7,"On time","Delayed")</f>
        <v>On time</v>
      </c>
      <c r="F604" t="s">
        <v>1175</v>
      </c>
      <c r="G604" t="s">
        <v>14</v>
      </c>
      <c r="H604" t="s">
        <v>141</v>
      </c>
      <c r="I604" t="s">
        <v>77</v>
      </c>
      <c r="J604" t="s">
        <v>53</v>
      </c>
      <c r="K604" t="s">
        <v>2685</v>
      </c>
      <c r="L604">
        <v>63.82</v>
      </c>
      <c r="M604">
        <v>2</v>
      </c>
      <c r="N604" t="str">
        <f>IF(Walmart[[#This Row],[Quantity]]&gt;=7,"Bulk",IF(Walmart[[#This Row],[Quantity]]&gt;=2,"Multi","Single"))</f>
        <v>Multi</v>
      </c>
      <c r="O604">
        <v>13.56</v>
      </c>
      <c r="P604" t="str">
        <f>IF(Walmart[[#This Row],[Sales]]&gt;=1000,"High Value", IF(Walmart[[#This Row],[Sales]]&gt;=500,"Medium Value","Low Value"))</f>
        <v>Low Value</v>
      </c>
    </row>
    <row r="605" spans="1:16" hidden="1" x14ac:dyDescent="0.3">
      <c r="A605" t="s">
        <v>1690</v>
      </c>
      <c r="B605" s="1">
        <v>41415</v>
      </c>
      <c r="C605" s="1" t="str">
        <f>TEXT(Walmart[[#This Row],[Order Date]],"mmmm")</f>
        <v>May</v>
      </c>
      <c r="D605" s="1">
        <v>41418</v>
      </c>
      <c r="E605" s="1" t="str">
        <f>IF(DATEDIF(Walmart[[#This Row],[Order Date]],Walmart[[#This Row],[Ship Date]],"D")&lt;7,"On time","Delayed")</f>
        <v>On time</v>
      </c>
      <c r="F605" t="s">
        <v>1691</v>
      </c>
      <c r="G605" t="s">
        <v>14</v>
      </c>
      <c r="H605" t="s">
        <v>182</v>
      </c>
      <c r="I605" t="s">
        <v>77</v>
      </c>
      <c r="J605" t="s">
        <v>27</v>
      </c>
      <c r="K605" t="s">
        <v>1692</v>
      </c>
      <c r="L605">
        <v>40.64</v>
      </c>
      <c r="M605">
        <v>7</v>
      </c>
      <c r="N605" t="str">
        <f>IF(Walmart[[#This Row],[Quantity]]&gt;=7,"Bulk",IF(Walmart[[#This Row],[Quantity]]&gt;=2,"Multi","Single"))</f>
        <v>Bulk</v>
      </c>
      <c r="O605">
        <v>-32.51</v>
      </c>
      <c r="P605" t="str">
        <f>IF(Walmart[[#This Row],[Sales]]&gt;=1000,"High Value", IF(Walmart[[#This Row],[Sales]]&gt;=500,"Medium Value","Low Value"))</f>
        <v>Low Value</v>
      </c>
    </row>
    <row r="606" spans="1:16" hidden="1" x14ac:dyDescent="0.3">
      <c r="A606" t="s">
        <v>1693</v>
      </c>
      <c r="B606" s="1">
        <v>40869</v>
      </c>
      <c r="C606" s="1" t="str">
        <f>TEXT(Walmart[[#This Row],[Order Date]],"mmmm")</f>
        <v>November</v>
      </c>
      <c r="D606" s="1">
        <v>40873</v>
      </c>
      <c r="E606" s="1" t="str">
        <f>IF(DATEDIF(Walmart[[#This Row],[Order Date]],Walmart[[#This Row],[Ship Date]],"D")&lt;7,"On time","Delayed")</f>
        <v>On time</v>
      </c>
      <c r="F606" t="s">
        <v>1694</v>
      </c>
      <c r="G606" t="s">
        <v>14</v>
      </c>
      <c r="H606" t="s">
        <v>15</v>
      </c>
      <c r="I606" t="s">
        <v>16</v>
      </c>
      <c r="J606" t="s">
        <v>93</v>
      </c>
      <c r="K606" t="s">
        <v>1671</v>
      </c>
      <c r="L606">
        <v>53.82</v>
      </c>
      <c r="M606">
        <v>9</v>
      </c>
      <c r="N606" t="str">
        <f>IF(Walmart[[#This Row],[Quantity]]&gt;=7,"Bulk",IF(Walmart[[#This Row],[Quantity]]&gt;=2,"Multi","Single"))</f>
        <v>Bulk</v>
      </c>
      <c r="O606">
        <v>24.22</v>
      </c>
      <c r="P606" t="str">
        <f>IF(Walmart[[#This Row],[Sales]]&gt;=1000,"High Value", IF(Walmart[[#This Row],[Sales]]&gt;=500,"Medium Value","Low Value"))</f>
        <v>Low Value</v>
      </c>
    </row>
    <row r="607" spans="1:16" x14ac:dyDescent="0.3">
      <c r="A607" t="s">
        <v>3000</v>
      </c>
      <c r="B607" s="1">
        <v>41918</v>
      </c>
      <c r="C607" s="1" t="str">
        <f>TEXT(Walmart[[#This Row],[Order Date]],"mmmm")</f>
        <v>October</v>
      </c>
      <c r="D607" s="1">
        <v>41923</v>
      </c>
      <c r="E607" s="1" t="str">
        <f>IF(DATEDIF(Walmart[[#This Row],[Order Date]],Walmart[[#This Row],[Ship Date]],"D")&lt;7,"On time","Delayed")</f>
        <v>On time</v>
      </c>
      <c r="F607" t="s">
        <v>577</v>
      </c>
      <c r="G607" t="s">
        <v>14</v>
      </c>
      <c r="H607" t="s">
        <v>2348</v>
      </c>
      <c r="I607" t="s">
        <v>16</v>
      </c>
      <c r="J607" t="s">
        <v>88</v>
      </c>
      <c r="K607" t="s">
        <v>1192</v>
      </c>
      <c r="L607">
        <v>435.17</v>
      </c>
      <c r="M607">
        <v>4</v>
      </c>
      <c r="N607" t="str">
        <f>IF(Walmart[[#This Row],[Quantity]]&gt;=7,"Bulk",IF(Walmart[[#This Row],[Quantity]]&gt;=2,"Multi","Single"))</f>
        <v>Multi</v>
      </c>
      <c r="O607">
        <v>-59.84</v>
      </c>
      <c r="P607" t="str">
        <f>IF(Walmart[[#This Row],[Sales]]&gt;=1000,"High Value", IF(Walmart[[#This Row],[Sales]]&gt;=500,"Medium Value","Low Value"))</f>
        <v>Low Value</v>
      </c>
    </row>
    <row r="608" spans="1:16" x14ac:dyDescent="0.3">
      <c r="A608" t="s">
        <v>1429</v>
      </c>
      <c r="B608" s="1">
        <v>41916</v>
      </c>
      <c r="C608" s="1" t="str">
        <f>TEXT(Walmart[[#This Row],[Order Date]],"mmmm")</f>
        <v>October</v>
      </c>
      <c r="D608" s="1">
        <v>41921</v>
      </c>
      <c r="E608" s="1" t="str">
        <f>IF(DATEDIF(Walmart[[#This Row],[Order Date]],Walmart[[#This Row],[Ship Date]],"D")&lt;7,"On time","Delayed")</f>
        <v>On time</v>
      </c>
      <c r="F608" t="s">
        <v>1430</v>
      </c>
      <c r="G608" t="s">
        <v>14</v>
      </c>
      <c r="H608" t="s">
        <v>100</v>
      </c>
      <c r="I608" t="s">
        <v>16</v>
      </c>
      <c r="J608" t="s">
        <v>43</v>
      </c>
      <c r="K608" t="s">
        <v>1431</v>
      </c>
      <c r="L608">
        <v>171.29</v>
      </c>
      <c r="M608">
        <v>3</v>
      </c>
      <c r="N608" t="str">
        <f>IF(Walmart[[#This Row],[Quantity]]&gt;=7,"Bulk",IF(Walmart[[#This Row],[Quantity]]&gt;=2,"Multi","Single"))</f>
        <v>Multi</v>
      </c>
      <c r="O608">
        <v>-6.42</v>
      </c>
      <c r="P608" t="str">
        <f>IF(Walmart[[#This Row],[Sales]]&gt;=1000,"High Value", IF(Walmart[[#This Row],[Sales]]&gt;=500,"Medium Value","Low Value"))</f>
        <v>Low Value</v>
      </c>
    </row>
    <row r="609" spans="1:16" hidden="1" x14ac:dyDescent="0.3">
      <c r="A609" t="s">
        <v>1699</v>
      </c>
      <c r="B609" s="1">
        <v>41463</v>
      </c>
      <c r="C609" s="1" t="str">
        <f>TEXT(Walmart[[#This Row],[Order Date]],"mmmm")</f>
        <v>July</v>
      </c>
      <c r="D609" s="1">
        <v>41465</v>
      </c>
      <c r="E609" s="1" t="str">
        <f>IF(DATEDIF(Walmart[[#This Row],[Order Date]],Walmart[[#This Row],[Ship Date]],"D")&lt;7,"On time","Delayed")</f>
        <v>On time</v>
      </c>
      <c r="F609" t="s">
        <v>1700</v>
      </c>
      <c r="G609" t="s">
        <v>14</v>
      </c>
      <c r="H609" t="s">
        <v>15</v>
      </c>
      <c r="I609" t="s">
        <v>16</v>
      </c>
      <c r="J609" t="s">
        <v>88</v>
      </c>
      <c r="K609" t="s">
        <v>1033</v>
      </c>
      <c r="L609">
        <v>287.97000000000003</v>
      </c>
      <c r="M609">
        <v>4</v>
      </c>
      <c r="N609" t="str">
        <f>IF(Walmart[[#This Row],[Quantity]]&gt;=7,"Bulk",IF(Walmart[[#This Row],[Quantity]]&gt;=2,"Multi","Single"))</f>
        <v>Multi</v>
      </c>
      <c r="O609">
        <v>-3.6</v>
      </c>
      <c r="P609" t="str">
        <f>IF(Walmart[[#This Row],[Sales]]&gt;=1000,"High Value", IF(Walmart[[#This Row],[Sales]]&gt;=500,"Medium Value","Low Value"))</f>
        <v>Low Value</v>
      </c>
    </row>
    <row r="610" spans="1:16" hidden="1" x14ac:dyDescent="0.3">
      <c r="A610" t="s">
        <v>1701</v>
      </c>
      <c r="B610" s="1">
        <v>41382</v>
      </c>
      <c r="C610" s="1" t="str">
        <f>TEXT(Walmart[[#This Row],[Order Date]],"mmmm")</f>
        <v>April</v>
      </c>
      <c r="D610" s="1">
        <v>41386</v>
      </c>
      <c r="E610" s="1" t="str">
        <f>IF(DATEDIF(Walmart[[#This Row],[Order Date]],Walmart[[#This Row],[Ship Date]],"D")&lt;7,"On time","Delayed")</f>
        <v>On time</v>
      </c>
      <c r="F610" t="s">
        <v>739</v>
      </c>
      <c r="G610" t="s">
        <v>14</v>
      </c>
      <c r="H610" t="s">
        <v>1702</v>
      </c>
      <c r="I610" t="s">
        <v>16</v>
      </c>
      <c r="J610" t="s">
        <v>671</v>
      </c>
      <c r="K610" t="s">
        <v>1703</v>
      </c>
      <c r="L610">
        <v>257.5</v>
      </c>
      <c r="M610">
        <v>3</v>
      </c>
      <c r="N610" t="str">
        <f>IF(Walmart[[#This Row],[Quantity]]&gt;=7,"Bulk",IF(Walmart[[#This Row],[Quantity]]&gt;=2,"Multi","Single"))</f>
        <v>Multi</v>
      </c>
      <c r="O610">
        <v>24.24</v>
      </c>
      <c r="P610" t="str">
        <f>IF(Walmart[[#This Row],[Sales]]&gt;=1000,"High Value", IF(Walmart[[#This Row],[Sales]]&gt;=500,"Medium Value","Low Value"))</f>
        <v>Low Value</v>
      </c>
    </row>
    <row r="611" spans="1:16" hidden="1" x14ac:dyDescent="0.3">
      <c r="A611" t="s">
        <v>1704</v>
      </c>
      <c r="B611" s="1">
        <v>40827</v>
      </c>
      <c r="C611" s="1" t="str">
        <f>TEXT(Walmart[[#This Row],[Order Date]],"mmmm")</f>
        <v>October</v>
      </c>
      <c r="D611" s="1">
        <v>40832</v>
      </c>
      <c r="E611" s="1" t="str">
        <f>IF(DATEDIF(Walmart[[#This Row],[Order Date]],Walmart[[#This Row],[Ship Date]],"D")&lt;7,"On time","Delayed")</f>
        <v>On time</v>
      </c>
      <c r="F611" t="s">
        <v>1314</v>
      </c>
      <c r="G611" t="s">
        <v>14</v>
      </c>
      <c r="H611" t="s">
        <v>25</v>
      </c>
      <c r="I611" t="s">
        <v>26</v>
      </c>
      <c r="J611" t="s">
        <v>21</v>
      </c>
      <c r="K611" t="s">
        <v>1705</v>
      </c>
      <c r="L611">
        <v>63.47</v>
      </c>
      <c r="M611">
        <v>11</v>
      </c>
      <c r="N611" t="str">
        <f>IF(Walmart[[#This Row],[Quantity]]&gt;=7,"Bulk",IF(Walmart[[#This Row],[Quantity]]&gt;=2,"Multi","Single"))</f>
        <v>Bulk</v>
      </c>
      <c r="O611">
        <v>19.04</v>
      </c>
      <c r="P611" t="str">
        <f>IF(Walmart[[#This Row],[Sales]]&gt;=1000,"High Value", IF(Walmart[[#This Row],[Sales]]&gt;=500,"Medium Value","Low Value"))</f>
        <v>Low Value</v>
      </c>
    </row>
    <row r="612" spans="1:16" hidden="1" x14ac:dyDescent="0.3">
      <c r="A612" t="s">
        <v>1706</v>
      </c>
      <c r="B612" s="1">
        <v>41261</v>
      </c>
      <c r="C612" s="1" t="str">
        <f>TEXT(Walmart[[#This Row],[Order Date]],"mmmm")</f>
        <v>December</v>
      </c>
      <c r="D612" s="1">
        <v>41265</v>
      </c>
      <c r="E612" s="1" t="str">
        <f>IF(DATEDIF(Walmart[[#This Row],[Order Date]],Walmart[[#This Row],[Ship Date]],"D")&lt;7,"On time","Delayed")</f>
        <v>On time</v>
      </c>
      <c r="F612" t="s">
        <v>1707</v>
      </c>
      <c r="G612" t="s">
        <v>14</v>
      </c>
      <c r="H612" t="s">
        <v>247</v>
      </c>
      <c r="I612" t="s">
        <v>77</v>
      </c>
      <c r="J612" t="s">
        <v>38</v>
      </c>
      <c r="K612" t="s">
        <v>1689</v>
      </c>
      <c r="L612">
        <v>6.85</v>
      </c>
      <c r="M612">
        <v>2</v>
      </c>
      <c r="N612" t="str">
        <f>IF(Walmart[[#This Row],[Quantity]]&gt;=7,"Bulk",IF(Walmart[[#This Row],[Quantity]]&gt;=2,"Multi","Single"))</f>
        <v>Multi</v>
      </c>
      <c r="O612">
        <v>0.6</v>
      </c>
      <c r="P612" t="str">
        <f>IF(Walmart[[#This Row],[Sales]]&gt;=1000,"High Value", IF(Walmart[[#This Row],[Sales]]&gt;=500,"Medium Value","Low Value"))</f>
        <v>Low Value</v>
      </c>
    </row>
    <row r="613" spans="1:16" x14ac:dyDescent="0.3">
      <c r="A613" t="s">
        <v>1695</v>
      </c>
      <c r="B613" s="1">
        <v>41915</v>
      </c>
      <c r="C613" s="1" t="str">
        <f>TEXT(Walmart[[#This Row],[Order Date]],"mmmm")</f>
        <v>October</v>
      </c>
      <c r="D613" s="1">
        <v>41920</v>
      </c>
      <c r="E613" s="1" t="str">
        <f>IF(DATEDIF(Walmart[[#This Row],[Order Date]],Walmart[[#This Row],[Ship Date]],"D")&lt;7,"On time","Delayed")</f>
        <v>On time</v>
      </c>
      <c r="F613" t="s">
        <v>647</v>
      </c>
      <c r="G613" t="s">
        <v>14</v>
      </c>
      <c r="H613" t="s">
        <v>25</v>
      </c>
      <c r="I613" t="s">
        <v>26</v>
      </c>
      <c r="J613" t="s">
        <v>191</v>
      </c>
      <c r="K613" t="s">
        <v>125</v>
      </c>
      <c r="L613">
        <v>8.94</v>
      </c>
      <c r="M613">
        <v>3</v>
      </c>
      <c r="N613" t="str">
        <f>IF(Walmart[[#This Row],[Quantity]]&gt;=7,"Bulk",IF(Walmart[[#This Row],[Quantity]]&gt;=2,"Multi","Single"))</f>
        <v>Multi</v>
      </c>
      <c r="O613">
        <v>4.1100000000000003</v>
      </c>
      <c r="P613" t="str">
        <f>IF(Walmart[[#This Row],[Sales]]&gt;=1000,"High Value", IF(Walmart[[#This Row],[Sales]]&gt;=500,"Medium Value","Low Value"))</f>
        <v>Low Value</v>
      </c>
    </row>
    <row r="614" spans="1:16" x14ac:dyDescent="0.3">
      <c r="A614" t="s">
        <v>1743</v>
      </c>
      <c r="B614" s="1">
        <v>41915</v>
      </c>
      <c r="C614" s="1" t="str">
        <f>TEXT(Walmart[[#This Row],[Order Date]],"mmmm")</f>
        <v>October</v>
      </c>
      <c r="D614" s="1">
        <v>41921</v>
      </c>
      <c r="E614" s="1" t="str">
        <f>IF(DATEDIF(Walmart[[#This Row],[Order Date]],Walmart[[#This Row],[Ship Date]],"D")&lt;7,"On time","Delayed")</f>
        <v>On time</v>
      </c>
      <c r="F614" t="s">
        <v>565</v>
      </c>
      <c r="G614" t="s">
        <v>14</v>
      </c>
      <c r="H614" t="s">
        <v>15</v>
      </c>
      <c r="I614" t="s">
        <v>16</v>
      </c>
      <c r="J614" t="s">
        <v>27</v>
      </c>
      <c r="K614" t="s">
        <v>1744</v>
      </c>
      <c r="L614">
        <v>112.12</v>
      </c>
      <c r="M614">
        <v>5</v>
      </c>
      <c r="N614" t="str">
        <f>IF(Walmart[[#This Row],[Quantity]]&gt;=7,"Bulk",IF(Walmart[[#This Row],[Quantity]]&gt;=2,"Multi","Single"))</f>
        <v>Multi</v>
      </c>
      <c r="O614">
        <v>42.05</v>
      </c>
      <c r="P614" t="str">
        <f>IF(Walmart[[#This Row],[Sales]]&gt;=1000,"High Value", IF(Walmart[[#This Row],[Sales]]&gt;=500,"Medium Value","Low Value"))</f>
        <v>Low Value</v>
      </c>
    </row>
    <row r="615" spans="1:16" hidden="1" x14ac:dyDescent="0.3">
      <c r="A615" t="s">
        <v>1713</v>
      </c>
      <c r="B615" s="1">
        <v>41544</v>
      </c>
      <c r="C615" s="1" t="str">
        <f>TEXT(Walmart[[#This Row],[Order Date]],"mmmm")</f>
        <v>September</v>
      </c>
      <c r="D615" s="1">
        <v>41548</v>
      </c>
      <c r="E615" s="1" t="str">
        <f>IF(DATEDIF(Walmart[[#This Row],[Order Date]],Walmart[[#This Row],[Ship Date]],"D")&lt;7,"On time","Delayed")</f>
        <v>On time</v>
      </c>
      <c r="F615" t="s">
        <v>1714</v>
      </c>
      <c r="G615" t="s">
        <v>14</v>
      </c>
      <c r="H615" t="s">
        <v>1715</v>
      </c>
      <c r="I615" t="s">
        <v>26</v>
      </c>
      <c r="J615" t="s">
        <v>105</v>
      </c>
      <c r="K615" t="s">
        <v>1716</v>
      </c>
      <c r="L615">
        <v>236.88</v>
      </c>
      <c r="M615">
        <v>6</v>
      </c>
      <c r="N615" t="str">
        <f>IF(Walmart[[#This Row],[Quantity]]&gt;=7,"Bulk",IF(Walmart[[#This Row],[Quantity]]&gt;=2,"Multi","Single"))</f>
        <v>Multi</v>
      </c>
      <c r="O615">
        <v>66.33</v>
      </c>
      <c r="P615" t="str">
        <f>IF(Walmart[[#This Row],[Sales]]&gt;=1000,"High Value", IF(Walmart[[#This Row],[Sales]]&gt;=500,"Medium Value","Low Value"))</f>
        <v>Low Value</v>
      </c>
    </row>
    <row r="616" spans="1:16" hidden="1" x14ac:dyDescent="0.3">
      <c r="A616" t="s">
        <v>1717</v>
      </c>
      <c r="B616" s="1">
        <v>40906</v>
      </c>
      <c r="C616" s="1" t="str">
        <f>TEXT(Walmart[[#This Row],[Order Date]],"mmmm")</f>
        <v>December</v>
      </c>
      <c r="D616" s="1">
        <v>40910</v>
      </c>
      <c r="E616" s="1" t="str">
        <f>IF(DATEDIF(Walmart[[#This Row],[Order Date]],Walmart[[#This Row],[Ship Date]],"D")&lt;7,"On time","Delayed")</f>
        <v>On time</v>
      </c>
      <c r="F616" t="s">
        <v>1280</v>
      </c>
      <c r="G616" t="s">
        <v>14</v>
      </c>
      <c r="H616" t="s">
        <v>37</v>
      </c>
      <c r="I616" t="s">
        <v>16</v>
      </c>
      <c r="J616" t="s">
        <v>21</v>
      </c>
      <c r="K616" t="s">
        <v>1718</v>
      </c>
      <c r="L616">
        <v>24.9</v>
      </c>
      <c r="M616">
        <v>5</v>
      </c>
      <c r="N616" t="str">
        <f>IF(Walmart[[#This Row],[Quantity]]&gt;=7,"Bulk",IF(Walmart[[#This Row],[Quantity]]&gt;=2,"Multi","Single"))</f>
        <v>Multi</v>
      </c>
      <c r="O616">
        <v>8.2200000000000006</v>
      </c>
      <c r="P616" t="str">
        <f>IF(Walmart[[#This Row],[Sales]]&gt;=1000,"High Value", IF(Walmart[[#This Row],[Sales]]&gt;=500,"Medium Value","Low Value"))</f>
        <v>Low Value</v>
      </c>
    </row>
    <row r="617" spans="1:16" hidden="1" x14ac:dyDescent="0.3">
      <c r="A617" t="s">
        <v>1719</v>
      </c>
      <c r="B617" s="1">
        <v>41085</v>
      </c>
      <c r="C617" s="1" t="str">
        <f>TEXT(Walmart[[#This Row],[Order Date]],"mmmm")</f>
        <v>June</v>
      </c>
      <c r="D617" s="1">
        <v>41090</v>
      </c>
      <c r="E617" s="1" t="str">
        <f>IF(DATEDIF(Walmart[[#This Row],[Order Date]],Walmart[[#This Row],[Ship Date]],"D")&lt;7,"On time","Delayed")</f>
        <v>On time</v>
      </c>
      <c r="F617" t="s">
        <v>1720</v>
      </c>
      <c r="G617" t="s">
        <v>14</v>
      </c>
      <c r="H617" t="s">
        <v>37</v>
      </c>
      <c r="I617" t="s">
        <v>16</v>
      </c>
      <c r="J617" t="s">
        <v>21</v>
      </c>
      <c r="K617" t="s">
        <v>1721</v>
      </c>
      <c r="L617">
        <v>204.85</v>
      </c>
      <c r="M617">
        <v>5</v>
      </c>
      <c r="N617" t="str">
        <f>IF(Walmart[[#This Row],[Quantity]]&gt;=7,"Bulk",IF(Walmart[[#This Row],[Quantity]]&gt;=2,"Multi","Single"))</f>
        <v>Multi</v>
      </c>
      <c r="O617">
        <v>57.36</v>
      </c>
      <c r="P617" t="str">
        <f>IF(Walmart[[#This Row],[Sales]]&gt;=1000,"High Value", IF(Walmart[[#This Row],[Sales]]&gt;=500,"Medium Value","Low Value"))</f>
        <v>Low Value</v>
      </c>
    </row>
    <row r="618" spans="1:16" hidden="1" x14ac:dyDescent="0.3">
      <c r="A618" t="s">
        <v>1722</v>
      </c>
      <c r="B618" s="1">
        <v>41233</v>
      </c>
      <c r="C618" s="1" t="str">
        <f>TEXT(Walmart[[#This Row],[Order Date]],"mmmm")</f>
        <v>November</v>
      </c>
      <c r="D618" s="1">
        <v>41237</v>
      </c>
      <c r="E618" s="1" t="str">
        <f>IF(DATEDIF(Walmart[[#This Row],[Order Date]],Walmart[[#This Row],[Ship Date]],"D")&lt;7,"On time","Delayed")</f>
        <v>On time</v>
      </c>
      <c r="F618" t="s">
        <v>91</v>
      </c>
      <c r="G618" t="s">
        <v>14</v>
      </c>
      <c r="H618" t="s">
        <v>556</v>
      </c>
      <c r="I618" t="s">
        <v>16</v>
      </c>
      <c r="J618" t="s">
        <v>146</v>
      </c>
      <c r="K618" t="s">
        <v>1723</v>
      </c>
      <c r="L618">
        <v>72.739999999999995</v>
      </c>
      <c r="M618">
        <v>7</v>
      </c>
      <c r="N618" t="str">
        <f>IF(Walmart[[#This Row],[Quantity]]&gt;=7,"Bulk",IF(Walmart[[#This Row],[Quantity]]&gt;=2,"Multi","Single"))</f>
        <v>Bulk</v>
      </c>
      <c r="O618">
        <v>-15.46</v>
      </c>
      <c r="P618" t="str">
        <f>IF(Walmart[[#This Row],[Sales]]&gt;=1000,"High Value", IF(Walmart[[#This Row],[Sales]]&gt;=500,"Medium Value","Low Value"))</f>
        <v>Low Value</v>
      </c>
    </row>
    <row r="619" spans="1:16" hidden="1" x14ac:dyDescent="0.3">
      <c r="A619" t="s">
        <v>1724</v>
      </c>
      <c r="B619" s="1">
        <v>41169</v>
      </c>
      <c r="C619" s="1" t="str">
        <f>TEXT(Walmart[[#This Row],[Order Date]],"mmmm")</f>
        <v>September</v>
      </c>
      <c r="D619" s="1">
        <v>41172</v>
      </c>
      <c r="E619" s="1" t="str">
        <f>IF(DATEDIF(Walmart[[#This Row],[Order Date]],Walmart[[#This Row],[Ship Date]],"D")&lt;7,"On time","Delayed")</f>
        <v>On time</v>
      </c>
      <c r="F619" t="s">
        <v>1460</v>
      </c>
      <c r="G619" t="s">
        <v>14</v>
      </c>
      <c r="H619" t="s">
        <v>25</v>
      </c>
      <c r="I619" t="s">
        <v>26</v>
      </c>
      <c r="J619" t="s">
        <v>27</v>
      </c>
      <c r="K619" t="s">
        <v>1725</v>
      </c>
      <c r="L619">
        <v>25.03</v>
      </c>
      <c r="M619">
        <v>3</v>
      </c>
      <c r="N619" t="str">
        <f>IF(Walmart[[#This Row],[Quantity]]&gt;=7,"Bulk",IF(Walmart[[#This Row],[Quantity]]&gt;=2,"Multi","Single"))</f>
        <v>Multi</v>
      </c>
      <c r="O619">
        <v>7.82</v>
      </c>
      <c r="P619" t="str">
        <f>IF(Walmart[[#This Row],[Sales]]&gt;=1000,"High Value", IF(Walmart[[#This Row],[Sales]]&gt;=500,"Medium Value","Low Value"))</f>
        <v>Low Value</v>
      </c>
    </row>
    <row r="620" spans="1:16" hidden="1" x14ac:dyDescent="0.3">
      <c r="A620" t="s">
        <v>1726</v>
      </c>
      <c r="B620" s="1">
        <v>41543</v>
      </c>
      <c r="C620" s="1" t="str">
        <f>TEXT(Walmart[[#This Row],[Order Date]],"mmmm")</f>
        <v>September</v>
      </c>
      <c r="D620" s="1">
        <v>41547</v>
      </c>
      <c r="E620" s="1" t="str">
        <f>IF(DATEDIF(Walmart[[#This Row],[Order Date]],Walmart[[#This Row],[Ship Date]],"D")&lt;7,"On time","Delayed")</f>
        <v>On time</v>
      </c>
      <c r="F620" t="s">
        <v>1727</v>
      </c>
      <c r="G620" t="s">
        <v>14</v>
      </c>
      <c r="H620" t="s">
        <v>811</v>
      </c>
      <c r="I620" t="s">
        <v>69</v>
      </c>
      <c r="J620" t="s">
        <v>93</v>
      </c>
      <c r="K620" t="s">
        <v>1728</v>
      </c>
      <c r="L620">
        <v>60.05</v>
      </c>
      <c r="M620">
        <v>9</v>
      </c>
      <c r="N620" t="str">
        <f>IF(Walmart[[#This Row],[Quantity]]&gt;=7,"Bulk",IF(Walmart[[#This Row],[Quantity]]&gt;=2,"Multi","Single"))</f>
        <v>Bulk</v>
      </c>
      <c r="O620">
        <v>22.52</v>
      </c>
      <c r="P620" t="str">
        <f>IF(Walmart[[#This Row],[Sales]]&gt;=1000,"High Value", IF(Walmart[[#This Row],[Sales]]&gt;=500,"Medium Value","Low Value"))</f>
        <v>Low Value</v>
      </c>
    </row>
    <row r="621" spans="1:16" x14ac:dyDescent="0.3">
      <c r="A621" t="s">
        <v>2349</v>
      </c>
      <c r="B621" s="1">
        <v>41915</v>
      </c>
      <c r="C621" s="1" t="str">
        <f>TEXT(Walmart[[#This Row],[Order Date]],"mmmm")</f>
        <v>October</v>
      </c>
      <c r="D621" s="1">
        <v>41921</v>
      </c>
      <c r="E621" s="1" t="str">
        <f>IF(DATEDIF(Walmart[[#This Row],[Order Date]],Walmart[[#This Row],[Ship Date]],"D")&lt;7,"On time","Delayed")</f>
        <v>On time</v>
      </c>
      <c r="F621" t="s">
        <v>2350</v>
      </c>
      <c r="G621" t="s">
        <v>14</v>
      </c>
      <c r="H621" t="s">
        <v>926</v>
      </c>
      <c r="I621" t="s">
        <v>69</v>
      </c>
      <c r="J621" t="s">
        <v>671</v>
      </c>
      <c r="K621" t="s">
        <v>2351</v>
      </c>
      <c r="L621">
        <v>217.76</v>
      </c>
      <c r="M621">
        <v>6</v>
      </c>
      <c r="N621" t="str">
        <f>IF(Walmart[[#This Row],[Quantity]]&gt;=7,"Bulk",IF(Walmart[[#This Row],[Quantity]]&gt;=2,"Multi","Single"))</f>
        <v>Multi</v>
      </c>
      <c r="O621">
        <v>-384.72</v>
      </c>
      <c r="P621" t="str">
        <f>IF(Walmart[[#This Row],[Sales]]&gt;=1000,"High Value", IF(Walmart[[#This Row],[Sales]]&gt;=500,"Medium Value","Low Value"))</f>
        <v>Low Value</v>
      </c>
    </row>
    <row r="622" spans="1:16" hidden="1" x14ac:dyDescent="0.3">
      <c r="A622" t="s">
        <v>1731</v>
      </c>
      <c r="B622" s="1">
        <v>41491</v>
      </c>
      <c r="C622" s="1" t="str">
        <f>TEXT(Walmart[[#This Row],[Order Date]],"mmmm")</f>
        <v>August</v>
      </c>
      <c r="D622" s="1">
        <v>41493</v>
      </c>
      <c r="E622" s="1" t="str">
        <f>IF(DATEDIF(Walmart[[#This Row],[Order Date]],Walmart[[#This Row],[Ship Date]],"D")&lt;7,"On time","Delayed")</f>
        <v>On time</v>
      </c>
      <c r="F622" t="s">
        <v>1166</v>
      </c>
      <c r="G622" t="s">
        <v>14</v>
      </c>
      <c r="H622" t="s">
        <v>1136</v>
      </c>
      <c r="I622" t="s">
        <v>16</v>
      </c>
      <c r="J622" t="s">
        <v>146</v>
      </c>
      <c r="K622" t="s">
        <v>1732</v>
      </c>
      <c r="L622">
        <v>302.38</v>
      </c>
      <c r="M622">
        <v>2</v>
      </c>
      <c r="N622" t="str">
        <f>IF(Walmart[[#This Row],[Quantity]]&gt;=7,"Bulk",IF(Walmart[[#This Row],[Quantity]]&gt;=2,"Multi","Single"))</f>
        <v>Multi</v>
      </c>
      <c r="O622">
        <v>30.24</v>
      </c>
      <c r="P622" t="str">
        <f>IF(Walmart[[#This Row],[Sales]]&gt;=1000,"High Value", IF(Walmart[[#This Row],[Sales]]&gt;=500,"Medium Value","Low Value"))</f>
        <v>Low Value</v>
      </c>
    </row>
    <row r="623" spans="1:16" x14ac:dyDescent="0.3">
      <c r="A623" t="s">
        <v>2775</v>
      </c>
      <c r="B623" s="1">
        <v>41915</v>
      </c>
      <c r="C623" s="1" t="str">
        <f>TEXT(Walmart[[#This Row],[Order Date]],"mmmm")</f>
        <v>October</v>
      </c>
      <c r="D623" s="1">
        <v>41919</v>
      </c>
      <c r="E623" s="1" t="str">
        <f>IF(DATEDIF(Walmart[[#This Row],[Order Date]],Walmart[[#This Row],[Ship Date]],"D")&lt;7,"On time","Delayed")</f>
        <v>On time</v>
      </c>
      <c r="F623" t="s">
        <v>2776</v>
      </c>
      <c r="G623" t="s">
        <v>14</v>
      </c>
      <c r="H623" t="s">
        <v>37</v>
      </c>
      <c r="I623" t="s">
        <v>16</v>
      </c>
      <c r="J623" t="s">
        <v>21</v>
      </c>
      <c r="K623" t="s">
        <v>2777</v>
      </c>
      <c r="L623">
        <v>17.46</v>
      </c>
      <c r="M623">
        <v>2</v>
      </c>
      <c r="N623" t="str">
        <f>IF(Walmart[[#This Row],[Quantity]]&gt;=7,"Bulk",IF(Walmart[[#This Row],[Quantity]]&gt;=2,"Multi","Single"))</f>
        <v>Multi</v>
      </c>
      <c r="O623">
        <v>5.94</v>
      </c>
      <c r="P623" t="str">
        <f>IF(Walmart[[#This Row],[Sales]]&gt;=1000,"High Value", IF(Walmart[[#This Row],[Sales]]&gt;=500,"Medium Value","Low Value"))</f>
        <v>Low Value</v>
      </c>
    </row>
    <row r="624" spans="1:16" hidden="1" x14ac:dyDescent="0.3">
      <c r="A624" t="s">
        <v>1735</v>
      </c>
      <c r="B624" s="1">
        <v>41603</v>
      </c>
      <c r="C624" s="1" t="str">
        <f>TEXT(Walmart[[#This Row],[Order Date]],"mmmm")</f>
        <v>November</v>
      </c>
      <c r="D624" s="1">
        <v>41606</v>
      </c>
      <c r="E624" s="1" t="str">
        <f>IF(DATEDIF(Walmart[[#This Row],[Order Date]],Walmart[[#This Row],[Ship Date]],"D")&lt;7,"On time","Delayed")</f>
        <v>On time</v>
      </c>
      <c r="F624" t="s">
        <v>1736</v>
      </c>
      <c r="G624" t="s">
        <v>14</v>
      </c>
      <c r="H624" t="s">
        <v>25</v>
      </c>
      <c r="I624" t="s">
        <v>26</v>
      </c>
      <c r="J624" t="s">
        <v>27</v>
      </c>
      <c r="K624" t="s">
        <v>924</v>
      </c>
      <c r="L624">
        <v>1219.96</v>
      </c>
      <c r="M624">
        <v>5</v>
      </c>
      <c r="N624" t="str">
        <f>IF(Walmart[[#This Row],[Quantity]]&gt;=7,"Bulk",IF(Walmart[[#This Row],[Quantity]]&gt;=2,"Multi","Single"))</f>
        <v>Multi</v>
      </c>
      <c r="O624">
        <v>381.24</v>
      </c>
      <c r="P624" t="str">
        <f>IF(Walmart[[#This Row],[Sales]]&gt;=1000,"High Value", IF(Walmart[[#This Row],[Sales]]&gt;=500,"Medium Value","Low Value"))</f>
        <v>High Value</v>
      </c>
    </row>
    <row r="625" spans="1:16" hidden="1" x14ac:dyDescent="0.3">
      <c r="A625" t="s">
        <v>1737</v>
      </c>
      <c r="B625" s="1">
        <v>41237</v>
      </c>
      <c r="C625" s="1" t="str">
        <f>TEXT(Walmart[[#This Row],[Order Date]],"mmmm")</f>
        <v>November</v>
      </c>
      <c r="D625" s="1">
        <v>41242</v>
      </c>
      <c r="E625" s="1" t="str">
        <f>IF(DATEDIF(Walmart[[#This Row],[Order Date]],Walmart[[#This Row],[Ship Date]],"D")&lt;7,"On time","Delayed")</f>
        <v>On time</v>
      </c>
      <c r="F625" t="s">
        <v>1738</v>
      </c>
      <c r="G625" t="s">
        <v>14</v>
      </c>
      <c r="H625" t="s">
        <v>15</v>
      </c>
      <c r="I625" t="s">
        <v>16</v>
      </c>
      <c r="J625" t="s">
        <v>27</v>
      </c>
      <c r="K625" t="s">
        <v>1739</v>
      </c>
      <c r="L625">
        <v>3.17</v>
      </c>
      <c r="M625">
        <v>2</v>
      </c>
      <c r="N625" t="str">
        <f>IF(Walmart[[#This Row],[Quantity]]&gt;=7,"Bulk",IF(Walmart[[#This Row],[Quantity]]&gt;=2,"Multi","Single"))</f>
        <v>Multi</v>
      </c>
      <c r="O625">
        <v>0.99</v>
      </c>
      <c r="P625" t="str">
        <f>IF(Walmart[[#This Row],[Sales]]&gt;=1000,"High Value", IF(Walmart[[#This Row],[Sales]]&gt;=500,"Medium Value","Low Value"))</f>
        <v>Low Value</v>
      </c>
    </row>
    <row r="626" spans="1:16" x14ac:dyDescent="0.3">
      <c r="A626" t="s">
        <v>323</v>
      </c>
      <c r="B626" s="1">
        <v>41914</v>
      </c>
      <c r="C626" s="1" t="str">
        <f>TEXT(Walmart[[#This Row],[Order Date]],"mmmm")</f>
        <v>October</v>
      </c>
      <c r="D626" s="1">
        <v>41921</v>
      </c>
      <c r="E626" s="1" t="str">
        <f>IF(DATEDIF(Walmart[[#This Row],[Order Date]],Walmart[[#This Row],[Ship Date]],"D")&lt;7,"On time","Delayed")</f>
        <v>Delayed</v>
      </c>
      <c r="F626" t="s">
        <v>324</v>
      </c>
      <c r="G626" t="s">
        <v>14</v>
      </c>
      <c r="H626" t="s">
        <v>25</v>
      </c>
      <c r="I626" t="s">
        <v>26</v>
      </c>
      <c r="J626" t="s">
        <v>93</v>
      </c>
      <c r="K626" t="s">
        <v>325</v>
      </c>
      <c r="L626">
        <v>91.84</v>
      </c>
      <c r="M626">
        <v>8</v>
      </c>
      <c r="N626" t="str">
        <f>IF(Walmart[[#This Row],[Quantity]]&gt;=7,"Bulk",IF(Walmart[[#This Row],[Quantity]]&gt;=2,"Multi","Single"))</f>
        <v>Bulk</v>
      </c>
      <c r="O626">
        <v>45</v>
      </c>
      <c r="P626" t="str">
        <f>IF(Walmart[[#This Row],[Sales]]&gt;=1000,"High Value", IF(Walmart[[#This Row],[Sales]]&gt;=500,"Medium Value","Low Value"))</f>
        <v>Low Value</v>
      </c>
    </row>
    <row r="627" spans="1:16" hidden="1" x14ac:dyDescent="0.3">
      <c r="A627" t="s">
        <v>1741</v>
      </c>
      <c r="B627" s="1">
        <v>40997</v>
      </c>
      <c r="C627" s="1" t="str">
        <f>TEXT(Walmart[[#This Row],[Order Date]],"mmmm")</f>
        <v>March</v>
      </c>
      <c r="D627" s="1">
        <v>41003</v>
      </c>
      <c r="E627" s="1" t="str">
        <f>IF(DATEDIF(Walmart[[#This Row],[Order Date]],Walmart[[#This Row],[Ship Date]],"D")&lt;7,"On time","Delayed")</f>
        <v>On time</v>
      </c>
      <c r="F627" t="s">
        <v>1619</v>
      </c>
      <c r="G627" t="s">
        <v>14</v>
      </c>
      <c r="H627" t="s">
        <v>25</v>
      </c>
      <c r="I627" t="s">
        <v>26</v>
      </c>
      <c r="J627" t="s">
        <v>105</v>
      </c>
      <c r="K627" t="s">
        <v>1742</v>
      </c>
      <c r="L627">
        <v>73.28</v>
      </c>
      <c r="M627">
        <v>4</v>
      </c>
      <c r="N627" t="str">
        <f>IF(Walmart[[#This Row],[Quantity]]&gt;=7,"Bulk",IF(Walmart[[#This Row],[Quantity]]&gt;=2,"Multi","Single"))</f>
        <v>Multi</v>
      </c>
      <c r="O627">
        <v>21.25</v>
      </c>
      <c r="P627" t="str">
        <f>IF(Walmart[[#This Row],[Sales]]&gt;=1000,"High Value", IF(Walmart[[#This Row],[Sales]]&gt;=500,"Medium Value","Low Value"))</f>
        <v>Low Value</v>
      </c>
    </row>
    <row r="628" spans="1:16" x14ac:dyDescent="0.3">
      <c r="A628" t="s">
        <v>1063</v>
      </c>
      <c r="B628" s="1">
        <v>41914</v>
      </c>
      <c r="C628" s="1" t="str">
        <f>TEXT(Walmart[[#This Row],[Order Date]],"mmmm")</f>
        <v>October</v>
      </c>
      <c r="D628" s="1">
        <v>41915</v>
      </c>
      <c r="E628" s="1" t="str">
        <f>IF(DATEDIF(Walmart[[#This Row],[Order Date]],Walmart[[#This Row],[Ship Date]],"D")&lt;7,"On time","Delayed")</f>
        <v>On time</v>
      </c>
      <c r="F628" t="s">
        <v>1064</v>
      </c>
      <c r="G628" t="s">
        <v>14</v>
      </c>
      <c r="H628" t="s">
        <v>109</v>
      </c>
      <c r="I628" t="s">
        <v>16</v>
      </c>
      <c r="J628" t="s">
        <v>27</v>
      </c>
      <c r="K628" t="s">
        <v>500</v>
      </c>
      <c r="L628">
        <v>1.44</v>
      </c>
      <c r="M628">
        <v>1</v>
      </c>
      <c r="N628" t="str">
        <f>IF(Walmart[[#This Row],[Quantity]]&gt;=7,"Bulk",IF(Walmart[[#This Row],[Quantity]]&gt;=2,"Multi","Single"))</f>
        <v>Single</v>
      </c>
      <c r="O628">
        <v>0.5</v>
      </c>
      <c r="P628" t="str">
        <f>IF(Walmart[[#This Row],[Sales]]&gt;=1000,"High Value", IF(Walmart[[#This Row],[Sales]]&gt;=500,"Medium Value","Low Value"))</f>
        <v>Low Value</v>
      </c>
    </row>
    <row r="629" spans="1:16" x14ac:dyDescent="0.3">
      <c r="A629" t="s">
        <v>3266</v>
      </c>
      <c r="B629" s="1">
        <v>41914</v>
      </c>
      <c r="C629" s="1" t="str">
        <f>TEXT(Walmart[[#This Row],[Order Date]],"mmmm")</f>
        <v>October</v>
      </c>
      <c r="D629" s="1">
        <v>41919</v>
      </c>
      <c r="E629" s="1" t="str">
        <f>IF(DATEDIF(Walmart[[#This Row],[Order Date]],Walmart[[#This Row],[Ship Date]],"D")&lt;7,"On time","Delayed")</f>
        <v>On time</v>
      </c>
      <c r="F629" t="s">
        <v>257</v>
      </c>
      <c r="G629" t="s">
        <v>14</v>
      </c>
      <c r="H629" t="s">
        <v>37</v>
      </c>
      <c r="I629" t="s">
        <v>16</v>
      </c>
      <c r="J629" t="s">
        <v>53</v>
      </c>
      <c r="K629" t="s">
        <v>3267</v>
      </c>
      <c r="L629">
        <v>104.75</v>
      </c>
      <c r="M629">
        <v>5</v>
      </c>
      <c r="N629" t="str">
        <f>IF(Walmart[[#This Row],[Quantity]]&gt;=7,"Bulk",IF(Walmart[[#This Row],[Quantity]]&gt;=2,"Multi","Single"))</f>
        <v>Multi</v>
      </c>
      <c r="O629">
        <v>22</v>
      </c>
      <c r="P629" t="str">
        <f>IF(Walmart[[#This Row],[Sales]]&gt;=1000,"High Value", IF(Walmart[[#This Row],[Sales]]&gt;=500,"Medium Value","Low Value"))</f>
        <v>Low Value</v>
      </c>
    </row>
    <row r="630" spans="1:16" x14ac:dyDescent="0.3">
      <c r="A630" t="s">
        <v>2151</v>
      </c>
      <c r="B630" s="1">
        <v>41913</v>
      </c>
      <c r="C630" s="1" t="str">
        <f>TEXT(Walmart[[#This Row],[Order Date]],"mmmm")</f>
        <v>October</v>
      </c>
      <c r="D630" s="1">
        <v>41916</v>
      </c>
      <c r="E630" s="1" t="str">
        <f>IF(DATEDIF(Walmart[[#This Row],[Order Date]],Walmart[[#This Row],[Ship Date]],"D")&lt;7,"On time","Delayed")</f>
        <v>On time</v>
      </c>
      <c r="F630" t="s">
        <v>1460</v>
      </c>
      <c r="G630" t="s">
        <v>14</v>
      </c>
      <c r="H630" t="s">
        <v>25</v>
      </c>
      <c r="I630" t="s">
        <v>26</v>
      </c>
      <c r="J630" t="s">
        <v>93</v>
      </c>
      <c r="K630" t="s">
        <v>1487</v>
      </c>
      <c r="L630">
        <v>11.76</v>
      </c>
      <c r="M630">
        <v>2</v>
      </c>
      <c r="N630" t="str">
        <f>IF(Walmart[[#This Row],[Quantity]]&gt;=7,"Bulk",IF(Walmart[[#This Row],[Quantity]]&gt;=2,"Multi","Single"))</f>
        <v>Multi</v>
      </c>
      <c r="O630">
        <v>5.76</v>
      </c>
      <c r="P630" t="str">
        <f>IF(Walmart[[#This Row],[Sales]]&gt;=1000,"High Value", IF(Walmart[[#This Row],[Sales]]&gt;=500,"Medium Value","Low Value"))</f>
        <v>Low Value</v>
      </c>
    </row>
    <row r="631" spans="1:16" hidden="1" x14ac:dyDescent="0.3">
      <c r="A631" t="s">
        <v>1748</v>
      </c>
      <c r="B631" s="1">
        <v>40827</v>
      </c>
      <c r="C631" s="1" t="str">
        <f>TEXT(Walmart[[#This Row],[Order Date]],"mmmm")</f>
        <v>October</v>
      </c>
      <c r="D631" s="1">
        <v>40829</v>
      </c>
      <c r="E631" s="1" t="str">
        <f>IF(DATEDIF(Walmart[[#This Row],[Order Date]],Walmart[[#This Row],[Ship Date]],"D")&lt;7,"On time","Delayed")</f>
        <v>On time</v>
      </c>
      <c r="F631" t="s">
        <v>99</v>
      </c>
      <c r="G631" t="s">
        <v>14</v>
      </c>
      <c r="H631" t="s">
        <v>100</v>
      </c>
      <c r="I631" t="s">
        <v>16</v>
      </c>
      <c r="J631" t="s">
        <v>33</v>
      </c>
      <c r="K631" t="s">
        <v>1749</v>
      </c>
      <c r="L631">
        <v>31.92</v>
      </c>
      <c r="M631">
        <v>4</v>
      </c>
      <c r="N631" t="str">
        <f>IF(Walmart[[#This Row],[Quantity]]&gt;=7,"Bulk",IF(Walmart[[#This Row],[Quantity]]&gt;=2,"Multi","Single"))</f>
        <v>Multi</v>
      </c>
      <c r="O631">
        <v>8.3000000000000007</v>
      </c>
      <c r="P631" t="str">
        <f>IF(Walmart[[#This Row],[Sales]]&gt;=1000,"High Value", IF(Walmart[[#This Row],[Sales]]&gt;=500,"Medium Value","Low Value"))</f>
        <v>Low Value</v>
      </c>
    </row>
    <row r="632" spans="1:16" hidden="1" x14ac:dyDescent="0.3">
      <c r="A632" t="s">
        <v>1750</v>
      </c>
      <c r="B632" s="1">
        <v>41012</v>
      </c>
      <c r="C632" s="1" t="str">
        <f>TEXT(Walmart[[#This Row],[Order Date]],"mmmm")</f>
        <v>April</v>
      </c>
      <c r="D632" s="1">
        <v>41013</v>
      </c>
      <c r="E632" s="1" t="str">
        <f>IF(DATEDIF(Walmart[[#This Row],[Order Date]],Walmart[[#This Row],[Ship Date]],"D")&lt;7,"On time","Delayed")</f>
        <v>On time</v>
      </c>
      <c r="F632" t="s">
        <v>1751</v>
      </c>
      <c r="G632" t="s">
        <v>14</v>
      </c>
      <c r="H632" t="s">
        <v>299</v>
      </c>
      <c r="I632" t="s">
        <v>58</v>
      </c>
      <c r="J632" t="s">
        <v>93</v>
      </c>
      <c r="K632" t="s">
        <v>1752</v>
      </c>
      <c r="L632">
        <v>31.1</v>
      </c>
      <c r="M632">
        <v>6</v>
      </c>
      <c r="N632" t="str">
        <f>IF(Walmart[[#This Row],[Quantity]]&gt;=7,"Bulk",IF(Walmart[[#This Row],[Quantity]]&gt;=2,"Multi","Single"))</f>
        <v>Multi</v>
      </c>
      <c r="O632">
        <v>10.89</v>
      </c>
      <c r="P632" t="str">
        <f>IF(Walmart[[#This Row],[Sales]]&gt;=1000,"High Value", IF(Walmart[[#This Row],[Sales]]&gt;=500,"Medium Value","Low Value"))</f>
        <v>Low Value</v>
      </c>
    </row>
    <row r="633" spans="1:16" x14ac:dyDescent="0.3">
      <c r="A633" t="s">
        <v>3313</v>
      </c>
      <c r="B633" s="1">
        <v>41913</v>
      </c>
      <c r="C633" s="1" t="str">
        <f>TEXT(Walmart[[#This Row],[Order Date]],"mmmm")</f>
        <v>October</v>
      </c>
      <c r="D633" s="1">
        <v>41915</v>
      </c>
      <c r="E633" s="1" t="str">
        <f>IF(DATEDIF(Walmart[[#This Row],[Order Date]],Walmart[[#This Row],[Ship Date]],"D")&lt;7,"On time","Delayed")</f>
        <v>On time</v>
      </c>
      <c r="F633" t="s">
        <v>600</v>
      </c>
      <c r="G633" t="s">
        <v>14</v>
      </c>
      <c r="H633" t="s">
        <v>15</v>
      </c>
      <c r="I633" t="s">
        <v>16</v>
      </c>
      <c r="J633" t="s">
        <v>53</v>
      </c>
      <c r="K633" t="s">
        <v>3314</v>
      </c>
      <c r="L633">
        <v>159.97999999999999</v>
      </c>
      <c r="M633">
        <v>2</v>
      </c>
      <c r="N633" t="str">
        <f>IF(Walmart[[#This Row],[Quantity]]&gt;=7,"Bulk",IF(Walmart[[#This Row],[Quantity]]&gt;=2,"Multi","Single"))</f>
        <v>Multi</v>
      </c>
      <c r="O633">
        <v>47.99</v>
      </c>
      <c r="P633" t="str">
        <f>IF(Walmart[[#This Row],[Sales]]&gt;=1000,"High Value", IF(Walmart[[#This Row],[Sales]]&gt;=500,"Medium Value","Low Value"))</f>
        <v>Low Value</v>
      </c>
    </row>
    <row r="634" spans="1:16" hidden="1" x14ac:dyDescent="0.3">
      <c r="A634" t="s">
        <v>1754</v>
      </c>
      <c r="B634" s="1">
        <v>41242</v>
      </c>
      <c r="C634" s="1" t="str">
        <f>TEXT(Walmart[[#This Row],[Order Date]],"mmmm")</f>
        <v>November</v>
      </c>
      <c r="D634" s="1">
        <v>41243</v>
      </c>
      <c r="E634" s="1" t="str">
        <f>IF(DATEDIF(Walmart[[#This Row],[Order Date]],Walmart[[#This Row],[Ship Date]],"D")&lt;7,"On time","Delayed")</f>
        <v>On time</v>
      </c>
      <c r="F634" t="s">
        <v>1755</v>
      </c>
      <c r="G634" t="s">
        <v>14</v>
      </c>
      <c r="H634" t="s">
        <v>438</v>
      </c>
      <c r="I634" t="s">
        <v>16</v>
      </c>
      <c r="J634" t="s">
        <v>38</v>
      </c>
      <c r="K634" t="s">
        <v>1756</v>
      </c>
      <c r="L634">
        <v>56.3</v>
      </c>
      <c r="M634">
        <v>2</v>
      </c>
      <c r="N634" t="str">
        <f>IF(Walmart[[#This Row],[Quantity]]&gt;=7,"Bulk",IF(Walmart[[#This Row],[Quantity]]&gt;=2,"Multi","Single"))</f>
        <v>Multi</v>
      </c>
      <c r="O634">
        <v>15.76</v>
      </c>
      <c r="P634" t="str">
        <f>IF(Walmart[[#This Row],[Sales]]&gt;=1000,"High Value", IF(Walmart[[#This Row],[Sales]]&gt;=500,"Medium Value","Low Value"))</f>
        <v>Low Value</v>
      </c>
    </row>
    <row r="635" spans="1:16" hidden="1" x14ac:dyDescent="0.3">
      <c r="A635" t="s">
        <v>1757</v>
      </c>
      <c r="B635" s="1">
        <v>41442</v>
      </c>
      <c r="C635" s="1" t="str">
        <f>TEXT(Walmart[[#This Row],[Order Date]],"mmmm")</f>
        <v>June</v>
      </c>
      <c r="D635" s="1">
        <v>41444</v>
      </c>
      <c r="E635" s="1" t="str">
        <f>IF(DATEDIF(Walmart[[#This Row],[Order Date]],Walmart[[#This Row],[Ship Date]],"D")&lt;7,"On time","Delayed")</f>
        <v>On time</v>
      </c>
      <c r="F635" t="s">
        <v>305</v>
      </c>
      <c r="G635" t="s">
        <v>14</v>
      </c>
      <c r="H635" t="s">
        <v>15</v>
      </c>
      <c r="I635" t="s">
        <v>16</v>
      </c>
      <c r="J635" t="s">
        <v>93</v>
      </c>
      <c r="K635" t="s">
        <v>1758</v>
      </c>
      <c r="L635">
        <v>46.35</v>
      </c>
      <c r="M635">
        <v>5</v>
      </c>
      <c r="N635" t="str">
        <f>IF(Walmart[[#This Row],[Quantity]]&gt;=7,"Bulk",IF(Walmart[[#This Row],[Quantity]]&gt;=2,"Multi","Single"))</f>
        <v>Multi</v>
      </c>
      <c r="O635">
        <v>21.78</v>
      </c>
      <c r="P635" t="str">
        <f>IF(Walmart[[#This Row],[Sales]]&gt;=1000,"High Value", IF(Walmart[[#This Row],[Sales]]&gt;=500,"Medium Value","Low Value"))</f>
        <v>Low Value</v>
      </c>
    </row>
    <row r="636" spans="1:16" x14ac:dyDescent="0.3">
      <c r="A636" t="s">
        <v>2352</v>
      </c>
      <c r="B636" s="1">
        <v>41912</v>
      </c>
      <c r="C636" s="1" t="str">
        <f>TEXT(Walmart[[#This Row],[Order Date]],"mmmm")</f>
        <v>September</v>
      </c>
      <c r="D636" s="1">
        <v>41915</v>
      </c>
      <c r="E636" s="1" t="str">
        <f>IF(DATEDIF(Walmart[[#This Row],[Order Date]],Walmart[[#This Row],[Ship Date]],"D")&lt;7,"On time","Delayed")</f>
        <v>On time</v>
      </c>
      <c r="F636" t="s">
        <v>440</v>
      </c>
      <c r="G636" t="s">
        <v>14</v>
      </c>
      <c r="H636" t="s">
        <v>1323</v>
      </c>
      <c r="I636" t="s">
        <v>16</v>
      </c>
      <c r="J636" t="s">
        <v>191</v>
      </c>
      <c r="K636" t="s">
        <v>1097</v>
      </c>
      <c r="L636">
        <v>35</v>
      </c>
      <c r="M636">
        <v>7</v>
      </c>
      <c r="N636" t="str">
        <f>IF(Walmart[[#This Row],[Quantity]]&gt;=7,"Bulk",IF(Walmart[[#This Row],[Quantity]]&gt;=2,"Multi","Single"))</f>
        <v>Bulk</v>
      </c>
      <c r="O636">
        <v>16.8</v>
      </c>
      <c r="P636" t="str">
        <f>IF(Walmart[[#This Row],[Sales]]&gt;=1000,"High Value", IF(Walmart[[#This Row],[Sales]]&gt;=500,"Medium Value","Low Value"))</f>
        <v>Low Value</v>
      </c>
    </row>
    <row r="637" spans="1:16" hidden="1" x14ac:dyDescent="0.3">
      <c r="A637" t="s">
        <v>1761</v>
      </c>
      <c r="B637" s="1">
        <v>41229</v>
      </c>
      <c r="C637" s="1" t="str">
        <f>TEXT(Walmart[[#This Row],[Order Date]],"mmmm")</f>
        <v>November</v>
      </c>
      <c r="D637" s="1">
        <v>41233</v>
      </c>
      <c r="E637" s="1" t="str">
        <f>IF(DATEDIF(Walmart[[#This Row],[Order Date]],Walmart[[#This Row],[Ship Date]],"D")&lt;7,"On time","Delayed")</f>
        <v>On time</v>
      </c>
      <c r="F637" t="s">
        <v>1054</v>
      </c>
      <c r="G637" t="s">
        <v>14</v>
      </c>
      <c r="H637" t="s">
        <v>1762</v>
      </c>
      <c r="I637" t="s">
        <v>1438</v>
      </c>
      <c r="J637" t="s">
        <v>43</v>
      </c>
      <c r="K637" t="s">
        <v>44</v>
      </c>
      <c r="L637">
        <v>696.42</v>
      </c>
      <c r="M637">
        <v>2</v>
      </c>
      <c r="N637" t="str">
        <f>IF(Walmart[[#This Row],[Quantity]]&gt;=7,"Bulk",IF(Walmart[[#This Row],[Quantity]]&gt;=2,"Multi","Single"))</f>
        <v>Multi</v>
      </c>
      <c r="O637">
        <v>160.18</v>
      </c>
      <c r="P637" t="str">
        <f>IF(Walmart[[#This Row],[Sales]]&gt;=1000,"High Value", IF(Walmart[[#This Row],[Sales]]&gt;=500,"Medium Value","Low Value"))</f>
        <v>Medium Value</v>
      </c>
    </row>
    <row r="638" spans="1:16" hidden="1" x14ac:dyDescent="0.3">
      <c r="A638" t="s">
        <v>1763</v>
      </c>
      <c r="B638" s="1">
        <v>41078</v>
      </c>
      <c r="C638" s="1" t="str">
        <f>TEXT(Walmart[[#This Row],[Order Date]],"mmmm")</f>
        <v>June</v>
      </c>
      <c r="D638" s="1">
        <v>41082</v>
      </c>
      <c r="E638" s="1" t="str">
        <f>IF(DATEDIF(Walmart[[#This Row],[Order Date]],Walmart[[#This Row],[Ship Date]],"D")&lt;7,"On time","Delayed")</f>
        <v>On time</v>
      </c>
      <c r="F638" t="s">
        <v>1764</v>
      </c>
      <c r="G638" t="s">
        <v>14</v>
      </c>
      <c r="H638" t="s">
        <v>160</v>
      </c>
      <c r="I638" t="s">
        <v>16</v>
      </c>
      <c r="J638" t="s">
        <v>38</v>
      </c>
      <c r="K638" t="s">
        <v>1765</v>
      </c>
      <c r="L638">
        <v>51.98</v>
      </c>
      <c r="M638">
        <v>2</v>
      </c>
      <c r="N638" t="str">
        <f>IF(Walmart[[#This Row],[Quantity]]&gt;=7,"Bulk",IF(Walmart[[#This Row],[Quantity]]&gt;=2,"Multi","Single"))</f>
        <v>Multi</v>
      </c>
      <c r="O638">
        <v>15.07</v>
      </c>
      <c r="P638" t="str">
        <f>IF(Walmart[[#This Row],[Sales]]&gt;=1000,"High Value", IF(Walmart[[#This Row],[Sales]]&gt;=500,"Medium Value","Low Value"))</f>
        <v>Low Value</v>
      </c>
    </row>
    <row r="639" spans="1:16" hidden="1" x14ac:dyDescent="0.3">
      <c r="A639" t="s">
        <v>1766</v>
      </c>
      <c r="B639" s="1">
        <v>41373</v>
      </c>
      <c r="C639" s="1" t="str">
        <f>TEXT(Walmart[[#This Row],[Order Date]],"mmmm")</f>
        <v>April</v>
      </c>
      <c r="D639" s="1">
        <v>41379</v>
      </c>
      <c r="E639" s="1" t="str">
        <f>IF(DATEDIF(Walmart[[#This Row],[Order Date]],Walmart[[#This Row],[Ship Date]],"D")&lt;7,"On time","Delayed")</f>
        <v>On time</v>
      </c>
      <c r="F639" t="s">
        <v>1009</v>
      </c>
      <c r="G639" t="s">
        <v>14</v>
      </c>
      <c r="H639" t="s">
        <v>15</v>
      </c>
      <c r="I639" t="s">
        <v>16</v>
      </c>
      <c r="J639" t="s">
        <v>21</v>
      </c>
      <c r="K639" t="s">
        <v>839</v>
      </c>
      <c r="L639">
        <v>24.7</v>
      </c>
      <c r="M639">
        <v>5</v>
      </c>
      <c r="N639" t="str">
        <f>IF(Walmart[[#This Row],[Quantity]]&gt;=7,"Bulk",IF(Walmart[[#This Row],[Quantity]]&gt;=2,"Multi","Single"))</f>
        <v>Multi</v>
      </c>
      <c r="O639">
        <v>10.37</v>
      </c>
      <c r="P639" t="str">
        <f>IF(Walmart[[#This Row],[Sales]]&gt;=1000,"High Value", IF(Walmart[[#This Row],[Sales]]&gt;=500,"Medium Value","Low Value"))</f>
        <v>Low Value</v>
      </c>
    </row>
    <row r="640" spans="1:16" hidden="1" x14ac:dyDescent="0.3">
      <c r="A640" t="s">
        <v>1767</v>
      </c>
      <c r="B640" s="1">
        <v>40957</v>
      </c>
      <c r="C640" s="1" t="str">
        <f>TEXT(Walmart[[#This Row],[Order Date]],"mmmm")</f>
        <v>February</v>
      </c>
      <c r="D640" s="1">
        <v>40961</v>
      </c>
      <c r="E640" s="1" t="str">
        <f>IF(DATEDIF(Walmart[[#This Row],[Order Date]],Walmart[[#This Row],[Ship Date]],"D")&lt;7,"On time","Delayed")</f>
        <v>On time</v>
      </c>
      <c r="F640" t="s">
        <v>663</v>
      </c>
      <c r="G640" t="s">
        <v>14</v>
      </c>
      <c r="H640" t="s">
        <v>15</v>
      </c>
      <c r="I640" t="s">
        <v>16</v>
      </c>
      <c r="J640" t="s">
        <v>17</v>
      </c>
      <c r="K640" t="s">
        <v>1768</v>
      </c>
      <c r="L640">
        <v>9.24</v>
      </c>
      <c r="M640">
        <v>3</v>
      </c>
      <c r="N640" t="str">
        <f>IF(Walmart[[#This Row],[Quantity]]&gt;=7,"Bulk",IF(Walmart[[#This Row],[Quantity]]&gt;=2,"Multi","Single"))</f>
        <v>Multi</v>
      </c>
      <c r="O640">
        <v>4.4400000000000004</v>
      </c>
      <c r="P640" t="str">
        <f>IF(Walmart[[#This Row],[Sales]]&gt;=1000,"High Value", IF(Walmart[[#This Row],[Sales]]&gt;=500,"Medium Value","Low Value"))</f>
        <v>Low Value</v>
      </c>
    </row>
    <row r="641" spans="1:16" x14ac:dyDescent="0.3">
      <c r="A641" t="s">
        <v>2920</v>
      </c>
      <c r="B641" s="1">
        <v>41912</v>
      </c>
      <c r="C641" s="1" t="str">
        <f>TEXT(Walmart[[#This Row],[Order Date]],"mmmm")</f>
        <v>September</v>
      </c>
      <c r="D641" s="1">
        <v>41914</v>
      </c>
      <c r="E641" s="1" t="str">
        <f>IF(DATEDIF(Walmart[[#This Row],[Order Date]],Walmart[[#This Row],[Ship Date]],"D")&lt;7,"On time","Delayed")</f>
        <v>On time</v>
      </c>
      <c r="F641" t="s">
        <v>2921</v>
      </c>
      <c r="G641" t="s">
        <v>14</v>
      </c>
      <c r="H641" t="s">
        <v>15</v>
      </c>
      <c r="I641" t="s">
        <v>16</v>
      </c>
      <c r="J641" t="s">
        <v>38</v>
      </c>
      <c r="K641" t="s">
        <v>906</v>
      </c>
      <c r="L641">
        <v>99.2</v>
      </c>
      <c r="M641">
        <v>5</v>
      </c>
      <c r="N641" t="str">
        <f>IF(Walmart[[#This Row],[Quantity]]&gt;=7,"Bulk",IF(Walmart[[#This Row],[Quantity]]&gt;=2,"Multi","Single"))</f>
        <v>Multi</v>
      </c>
      <c r="O641">
        <v>25.79</v>
      </c>
      <c r="P641" t="str">
        <f>IF(Walmart[[#This Row],[Sales]]&gt;=1000,"High Value", IF(Walmart[[#This Row],[Sales]]&gt;=500,"Medium Value","Low Value"))</f>
        <v>Low Value</v>
      </c>
    </row>
    <row r="642" spans="1:16" x14ac:dyDescent="0.3">
      <c r="A642" t="s">
        <v>3512</v>
      </c>
      <c r="B642" s="1">
        <v>41912</v>
      </c>
      <c r="C642" s="1" t="str">
        <f>TEXT(Walmart[[#This Row],[Order Date]],"mmmm")</f>
        <v>September</v>
      </c>
      <c r="D642" s="1">
        <v>41919</v>
      </c>
      <c r="E642" s="1" t="str">
        <f>IF(DATEDIF(Walmart[[#This Row],[Order Date]],Walmart[[#This Row],[Ship Date]],"D")&lt;7,"On time","Delayed")</f>
        <v>Delayed</v>
      </c>
      <c r="F642" t="s">
        <v>2370</v>
      </c>
      <c r="G642" t="s">
        <v>14</v>
      </c>
      <c r="H642" t="s">
        <v>3513</v>
      </c>
      <c r="I642" t="s">
        <v>16</v>
      </c>
      <c r="J642" t="s">
        <v>334</v>
      </c>
      <c r="K642" t="s">
        <v>3514</v>
      </c>
      <c r="L642">
        <v>97.3</v>
      </c>
      <c r="M642">
        <v>7</v>
      </c>
      <c r="N642" t="str">
        <f>IF(Walmart[[#This Row],[Quantity]]&gt;=7,"Bulk",IF(Walmart[[#This Row],[Quantity]]&gt;=2,"Multi","Single"))</f>
        <v>Bulk</v>
      </c>
      <c r="O642">
        <v>28.22</v>
      </c>
      <c r="P642" t="str">
        <f>IF(Walmart[[#This Row],[Sales]]&gt;=1000,"High Value", IF(Walmart[[#This Row],[Sales]]&gt;=500,"Medium Value","Low Value"))</f>
        <v>Low Value</v>
      </c>
    </row>
    <row r="643" spans="1:16" hidden="1" x14ac:dyDescent="0.3">
      <c r="A643" t="s">
        <v>1774</v>
      </c>
      <c r="B643" s="1">
        <v>40913</v>
      </c>
      <c r="C643" s="1" t="str">
        <f>TEXT(Walmart[[#This Row],[Order Date]],"mmmm")</f>
        <v>January</v>
      </c>
      <c r="D643" s="1">
        <v>40918</v>
      </c>
      <c r="E643" s="1" t="str">
        <f>IF(DATEDIF(Walmart[[#This Row],[Order Date]],Walmart[[#This Row],[Ship Date]],"D")&lt;7,"On time","Delayed")</f>
        <v>On time</v>
      </c>
      <c r="F643" t="s">
        <v>1775</v>
      </c>
      <c r="G643" t="s">
        <v>14</v>
      </c>
      <c r="H643" t="s">
        <v>25</v>
      </c>
      <c r="I643" t="s">
        <v>26</v>
      </c>
      <c r="J643" t="s">
        <v>88</v>
      </c>
      <c r="K643" t="s">
        <v>1371</v>
      </c>
      <c r="L643">
        <v>61.58</v>
      </c>
      <c r="M643">
        <v>1</v>
      </c>
      <c r="N643" t="str">
        <f>IF(Walmart[[#This Row],[Quantity]]&gt;=7,"Bulk",IF(Walmart[[#This Row],[Quantity]]&gt;=2,"Multi","Single"))</f>
        <v>Single</v>
      </c>
      <c r="O643">
        <v>-6.93</v>
      </c>
      <c r="P643" t="str">
        <f>IF(Walmart[[#This Row],[Sales]]&gt;=1000,"High Value", IF(Walmart[[#This Row],[Sales]]&gt;=500,"Medium Value","Low Value"))</f>
        <v>Low Value</v>
      </c>
    </row>
    <row r="644" spans="1:16" x14ac:dyDescent="0.3">
      <c r="A644" t="s">
        <v>1856</v>
      </c>
      <c r="B644" s="1">
        <v>41911</v>
      </c>
      <c r="C644" s="1" t="str">
        <f>TEXT(Walmart[[#This Row],[Order Date]],"mmmm")</f>
        <v>September</v>
      </c>
      <c r="D644" s="1">
        <v>41914</v>
      </c>
      <c r="E644" s="1" t="str">
        <f>IF(DATEDIF(Walmart[[#This Row],[Order Date]],Walmart[[#This Row],[Ship Date]],"D")&lt;7,"On time","Delayed")</f>
        <v>On time</v>
      </c>
      <c r="F644" t="s">
        <v>390</v>
      </c>
      <c r="G644" t="s">
        <v>14</v>
      </c>
      <c r="H644" t="s">
        <v>76</v>
      </c>
      <c r="I644" t="s">
        <v>77</v>
      </c>
      <c r="J644" t="s">
        <v>21</v>
      </c>
      <c r="K644" t="s">
        <v>1721</v>
      </c>
      <c r="L644">
        <v>32.78</v>
      </c>
      <c r="M644">
        <v>1</v>
      </c>
      <c r="N644" t="str">
        <f>IF(Walmart[[#This Row],[Quantity]]&gt;=7,"Bulk",IF(Walmart[[#This Row],[Quantity]]&gt;=2,"Multi","Single"))</f>
        <v>Single</v>
      </c>
      <c r="O644">
        <v>3.28</v>
      </c>
      <c r="P644" t="str">
        <f>IF(Walmart[[#This Row],[Sales]]&gt;=1000,"High Value", IF(Walmart[[#This Row],[Sales]]&gt;=500,"Medium Value","Low Value"))</f>
        <v>Low Value</v>
      </c>
    </row>
    <row r="645" spans="1:16" hidden="1" x14ac:dyDescent="0.3">
      <c r="A645" t="s">
        <v>1778</v>
      </c>
      <c r="B645" s="1">
        <v>40806</v>
      </c>
      <c r="C645" s="1" t="str">
        <f>TEXT(Walmart[[#This Row],[Order Date]],"mmmm")</f>
        <v>September</v>
      </c>
      <c r="D645" s="1">
        <v>40812</v>
      </c>
      <c r="E645" s="1" t="str">
        <f>IF(DATEDIF(Walmart[[#This Row],[Order Date]],Walmart[[#This Row],[Ship Date]],"D")&lt;7,"On time","Delayed")</f>
        <v>On time</v>
      </c>
      <c r="F645" t="s">
        <v>1779</v>
      </c>
      <c r="G645" t="s">
        <v>14</v>
      </c>
      <c r="H645" t="s">
        <v>15</v>
      </c>
      <c r="I645" t="s">
        <v>16</v>
      </c>
      <c r="J645" t="s">
        <v>105</v>
      </c>
      <c r="K645" t="s">
        <v>125</v>
      </c>
      <c r="L645">
        <v>43.92</v>
      </c>
      <c r="M645">
        <v>4</v>
      </c>
      <c r="N645" t="str">
        <f>IF(Walmart[[#This Row],[Quantity]]&gt;=7,"Bulk",IF(Walmart[[#This Row],[Quantity]]&gt;=2,"Multi","Single"))</f>
        <v>Multi</v>
      </c>
      <c r="O645">
        <v>11.86</v>
      </c>
      <c r="P645" t="str">
        <f>IF(Walmart[[#This Row],[Sales]]&gt;=1000,"High Value", IF(Walmart[[#This Row],[Sales]]&gt;=500,"Medium Value","Low Value"))</f>
        <v>Low Value</v>
      </c>
    </row>
    <row r="646" spans="1:16" hidden="1" x14ac:dyDescent="0.3">
      <c r="A646" t="s">
        <v>1780</v>
      </c>
      <c r="B646" s="1">
        <v>40628</v>
      </c>
      <c r="C646" s="1" t="str">
        <f>TEXT(Walmart[[#This Row],[Order Date]],"mmmm")</f>
        <v>March</v>
      </c>
      <c r="D646" s="1">
        <v>40632</v>
      </c>
      <c r="E646" s="1" t="str">
        <f>IF(DATEDIF(Walmart[[#This Row],[Order Date]],Walmart[[#This Row],[Ship Date]],"D")&lt;7,"On time","Delayed")</f>
        <v>On time</v>
      </c>
      <c r="F646" t="s">
        <v>1647</v>
      </c>
      <c r="G646" t="s">
        <v>14</v>
      </c>
      <c r="H646" t="s">
        <v>15</v>
      </c>
      <c r="I646" t="s">
        <v>16</v>
      </c>
      <c r="J646" t="s">
        <v>53</v>
      </c>
      <c r="K646" t="s">
        <v>134</v>
      </c>
      <c r="L646">
        <v>66.3</v>
      </c>
      <c r="M646">
        <v>3</v>
      </c>
      <c r="N646" t="str">
        <f>IF(Walmart[[#This Row],[Quantity]]&gt;=7,"Bulk",IF(Walmart[[#This Row],[Quantity]]&gt;=2,"Multi","Single"))</f>
        <v>Multi</v>
      </c>
      <c r="O646">
        <v>8.6199999999999992</v>
      </c>
      <c r="P646" t="str">
        <f>IF(Walmart[[#This Row],[Sales]]&gt;=1000,"High Value", IF(Walmart[[#This Row],[Sales]]&gt;=500,"Medium Value","Low Value"))</f>
        <v>Low Value</v>
      </c>
    </row>
    <row r="647" spans="1:16" hidden="1" x14ac:dyDescent="0.3">
      <c r="A647" t="s">
        <v>1781</v>
      </c>
      <c r="B647" s="1">
        <v>41156</v>
      </c>
      <c r="C647" s="1" t="str">
        <f>TEXT(Walmart[[#This Row],[Order Date]],"mmmm")</f>
        <v>September</v>
      </c>
      <c r="D647" s="1">
        <v>41161</v>
      </c>
      <c r="E647" s="1" t="str">
        <f>IF(DATEDIF(Walmart[[#This Row],[Order Date]],Walmart[[#This Row],[Ship Date]],"D")&lt;7,"On time","Delayed")</f>
        <v>On time</v>
      </c>
      <c r="F647" t="s">
        <v>1782</v>
      </c>
      <c r="G647" t="s">
        <v>14</v>
      </c>
      <c r="H647" t="s">
        <v>920</v>
      </c>
      <c r="I647" t="s">
        <v>69</v>
      </c>
      <c r="J647" t="s">
        <v>27</v>
      </c>
      <c r="K647" t="s">
        <v>1783</v>
      </c>
      <c r="L647">
        <v>9.76</v>
      </c>
      <c r="M647">
        <v>2</v>
      </c>
      <c r="N647" t="str">
        <f>IF(Walmart[[#This Row],[Quantity]]&gt;=7,"Bulk",IF(Walmart[[#This Row],[Quantity]]&gt;=2,"Multi","Single"))</f>
        <v>Multi</v>
      </c>
      <c r="O647">
        <v>-6.83</v>
      </c>
      <c r="P647" t="str">
        <f>IF(Walmart[[#This Row],[Sales]]&gt;=1000,"High Value", IF(Walmart[[#This Row],[Sales]]&gt;=500,"Medium Value","Low Value"))</f>
        <v>Low Value</v>
      </c>
    </row>
    <row r="648" spans="1:16" hidden="1" x14ac:dyDescent="0.3">
      <c r="A648" t="s">
        <v>1784</v>
      </c>
      <c r="B648" s="1">
        <v>41348</v>
      </c>
      <c r="C648" s="1" t="str">
        <f>TEXT(Walmart[[#This Row],[Order Date]],"mmmm")</f>
        <v>March</v>
      </c>
      <c r="D648" s="1">
        <v>41350</v>
      </c>
      <c r="E648" s="1" t="str">
        <f>IF(DATEDIF(Walmart[[#This Row],[Order Date]],Walmart[[#This Row],[Ship Date]],"D")&lt;7,"On time","Delayed")</f>
        <v>On time</v>
      </c>
      <c r="F648" t="s">
        <v>1785</v>
      </c>
      <c r="G648" t="s">
        <v>14</v>
      </c>
      <c r="H648" t="s">
        <v>25</v>
      </c>
      <c r="I648" t="s">
        <v>26</v>
      </c>
      <c r="J648" t="s">
        <v>88</v>
      </c>
      <c r="K648" t="s">
        <v>912</v>
      </c>
      <c r="L648">
        <v>196.78</v>
      </c>
      <c r="M648">
        <v>2</v>
      </c>
      <c r="N648" t="str">
        <f>IF(Walmart[[#This Row],[Quantity]]&gt;=7,"Bulk",IF(Walmart[[#This Row],[Quantity]]&gt;=2,"Multi","Single"))</f>
        <v>Multi</v>
      </c>
      <c r="O648">
        <v>-22.14</v>
      </c>
      <c r="P648" t="str">
        <f>IF(Walmart[[#This Row],[Sales]]&gt;=1000,"High Value", IF(Walmart[[#This Row],[Sales]]&gt;=500,"Medium Value","Low Value"))</f>
        <v>Low Value</v>
      </c>
    </row>
    <row r="649" spans="1:16" x14ac:dyDescent="0.3">
      <c r="A649" t="s">
        <v>2227</v>
      </c>
      <c r="B649" s="1">
        <v>41911</v>
      </c>
      <c r="C649" s="1" t="str">
        <f>TEXT(Walmart[[#This Row],[Order Date]],"mmmm")</f>
        <v>September</v>
      </c>
      <c r="D649" s="1">
        <v>41917</v>
      </c>
      <c r="E649" s="1" t="str">
        <f>IF(DATEDIF(Walmart[[#This Row],[Order Date]],Walmart[[#This Row],[Ship Date]],"D")&lt;7,"On time","Delayed")</f>
        <v>On time</v>
      </c>
      <c r="F649" t="s">
        <v>1914</v>
      </c>
      <c r="G649" t="s">
        <v>14</v>
      </c>
      <c r="H649" t="s">
        <v>15</v>
      </c>
      <c r="I649" t="s">
        <v>16</v>
      </c>
      <c r="J649" t="s">
        <v>21</v>
      </c>
      <c r="K649" t="s">
        <v>2228</v>
      </c>
      <c r="L649">
        <v>9.24</v>
      </c>
      <c r="M649">
        <v>3</v>
      </c>
      <c r="N649" t="str">
        <f>IF(Walmart[[#This Row],[Quantity]]&gt;=7,"Bulk",IF(Walmart[[#This Row],[Quantity]]&gt;=2,"Multi","Single"))</f>
        <v>Multi</v>
      </c>
      <c r="O649">
        <v>4.4400000000000004</v>
      </c>
      <c r="P649" t="str">
        <f>IF(Walmart[[#This Row],[Sales]]&gt;=1000,"High Value", IF(Walmart[[#This Row],[Sales]]&gt;=500,"Medium Value","Low Value"))</f>
        <v>Low Value</v>
      </c>
    </row>
    <row r="650" spans="1:16" x14ac:dyDescent="0.3">
      <c r="A650" t="s">
        <v>2885</v>
      </c>
      <c r="B650" s="1">
        <v>41909</v>
      </c>
      <c r="C650" s="1" t="str">
        <f>TEXT(Walmart[[#This Row],[Order Date]],"mmmm")</f>
        <v>September</v>
      </c>
      <c r="D650" s="1">
        <v>41909</v>
      </c>
      <c r="E650" s="1" t="str">
        <f>IF(DATEDIF(Walmart[[#This Row],[Order Date]],Walmart[[#This Row],[Ship Date]],"D")&lt;7,"On time","Delayed")</f>
        <v>On time</v>
      </c>
      <c r="F650" t="s">
        <v>49</v>
      </c>
      <c r="G650" t="s">
        <v>14</v>
      </c>
      <c r="H650" t="s">
        <v>37</v>
      </c>
      <c r="I650" t="s">
        <v>16</v>
      </c>
      <c r="J650" t="s">
        <v>124</v>
      </c>
      <c r="K650" t="s">
        <v>125</v>
      </c>
      <c r="L650">
        <v>71.88</v>
      </c>
      <c r="M650">
        <v>6</v>
      </c>
      <c r="N650" t="str">
        <f>IF(Walmart[[#This Row],[Quantity]]&gt;=7,"Bulk",IF(Walmart[[#This Row],[Quantity]]&gt;=2,"Multi","Single"))</f>
        <v>Multi</v>
      </c>
      <c r="O650">
        <v>33.06</v>
      </c>
      <c r="P650" t="str">
        <f>IF(Walmart[[#This Row],[Sales]]&gt;=1000,"High Value", IF(Walmart[[#This Row],[Sales]]&gt;=500,"Medium Value","Low Value"))</f>
        <v>Low Value</v>
      </c>
    </row>
    <row r="651" spans="1:16" hidden="1" x14ac:dyDescent="0.3">
      <c r="A651" t="s">
        <v>1790</v>
      </c>
      <c r="B651" s="1">
        <v>41205</v>
      </c>
      <c r="C651" s="1" t="str">
        <f>TEXT(Walmart[[#This Row],[Order Date]],"mmmm")</f>
        <v>October</v>
      </c>
      <c r="D651" s="1">
        <v>41210</v>
      </c>
      <c r="E651" s="1" t="str">
        <f>IF(DATEDIF(Walmart[[#This Row],[Order Date]],Walmart[[#This Row],[Ship Date]],"D")&lt;7,"On time","Delayed")</f>
        <v>On time</v>
      </c>
      <c r="F651" t="s">
        <v>1791</v>
      </c>
      <c r="G651" t="s">
        <v>14</v>
      </c>
      <c r="H651" t="s">
        <v>25</v>
      </c>
      <c r="I651" t="s">
        <v>26</v>
      </c>
      <c r="J651" t="s">
        <v>27</v>
      </c>
      <c r="K651" t="s">
        <v>1256</v>
      </c>
      <c r="L651">
        <v>3.59</v>
      </c>
      <c r="M651">
        <v>1</v>
      </c>
      <c r="N651" t="str">
        <f>IF(Walmart[[#This Row],[Quantity]]&gt;=7,"Bulk",IF(Walmart[[#This Row],[Quantity]]&gt;=2,"Multi","Single"))</f>
        <v>Single</v>
      </c>
      <c r="O651">
        <v>1.1200000000000001</v>
      </c>
      <c r="P651" t="str">
        <f>IF(Walmart[[#This Row],[Sales]]&gt;=1000,"High Value", IF(Walmart[[#This Row],[Sales]]&gt;=500,"Medium Value","Low Value"))</f>
        <v>Low Value</v>
      </c>
    </row>
    <row r="652" spans="1:16" x14ac:dyDescent="0.3">
      <c r="A652" t="s">
        <v>2954</v>
      </c>
      <c r="B652" s="1">
        <v>41909</v>
      </c>
      <c r="C652" s="1" t="str">
        <f>TEXT(Walmart[[#This Row],[Order Date]],"mmmm")</f>
        <v>September</v>
      </c>
      <c r="D652" s="1">
        <v>41911</v>
      </c>
      <c r="E652" s="1" t="str">
        <f>IF(DATEDIF(Walmart[[#This Row],[Order Date]],Walmart[[#This Row],[Ship Date]],"D")&lt;7,"On time","Delayed")</f>
        <v>On time</v>
      </c>
      <c r="F652" t="s">
        <v>2955</v>
      </c>
      <c r="G652" t="s">
        <v>14</v>
      </c>
      <c r="H652" t="s">
        <v>341</v>
      </c>
      <c r="I652" t="s">
        <v>69</v>
      </c>
      <c r="J652" t="s">
        <v>38</v>
      </c>
      <c r="K652" t="s">
        <v>1288</v>
      </c>
      <c r="L652">
        <v>2.2200000000000002</v>
      </c>
      <c r="M652">
        <v>1</v>
      </c>
      <c r="N652" t="str">
        <f>IF(Walmart[[#This Row],[Quantity]]&gt;=7,"Bulk",IF(Walmart[[#This Row],[Quantity]]&gt;=2,"Multi","Single"))</f>
        <v>Single</v>
      </c>
      <c r="O652">
        <v>0.56000000000000005</v>
      </c>
      <c r="P652" t="str">
        <f>IF(Walmart[[#This Row],[Sales]]&gt;=1000,"High Value", IF(Walmart[[#This Row],[Sales]]&gt;=500,"Medium Value","Low Value"))</f>
        <v>Low Value</v>
      </c>
    </row>
    <row r="653" spans="1:16" x14ac:dyDescent="0.3">
      <c r="A653" t="s">
        <v>2102</v>
      </c>
      <c r="B653" s="1">
        <v>41908</v>
      </c>
      <c r="C653" s="1" t="str">
        <f>TEXT(Walmart[[#This Row],[Order Date]],"mmmm")</f>
        <v>September</v>
      </c>
      <c r="D653" s="1">
        <v>41911</v>
      </c>
      <c r="E653" s="1" t="str">
        <f>IF(DATEDIF(Walmart[[#This Row],[Order Date]],Walmart[[#This Row],[Ship Date]],"D")&lt;7,"On time","Delayed")</f>
        <v>On time</v>
      </c>
      <c r="F653" t="s">
        <v>2103</v>
      </c>
      <c r="G653" t="s">
        <v>14</v>
      </c>
      <c r="H653" t="s">
        <v>2104</v>
      </c>
      <c r="I653" t="s">
        <v>286</v>
      </c>
      <c r="J653" t="s">
        <v>33</v>
      </c>
      <c r="K653" t="s">
        <v>1749</v>
      </c>
      <c r="L653">
        <v>39.9</v>
      </c>
      <c r="M653">
        <v>5</v>
      </c>
      <c r="N653" t="str">
        <f>IF(Walmart[[#This Row],[Quantity]]&gt;=7,"Bulk",IF(Walmart[[#This Row],[Quantity]]&gt;=2,"Multi","Single"))</f>
        <v>Multi</v>
      </c>
      <c r="O653">
        <v>10.37</v>
      </c>
      <c r="P653" t="str">
        <f>IF(Walmart[[#This Row],[Sales]]&gt;=1000,"High Value", IF(Walmart[[#This Row],[Sales]]&gt;=500,"Medium Value","Low Value"))</f>
        <v>Low Value</v>
      </c>
    </row>
    <row r="654" spans="1:16" x14ac:dyDescent="0.3">
      <c r="A654" t="s">
        <v>2436</v>
      </c>
      <c r="B654" s="1">
        <v>41907</v>
      </c>
      <c r="C654" s="1" t="str">
        <f>TEXT(Walmart[[#This Row],[Order Date]],"mmmm")</f>
        <v>September</v>
      </c>
      <c r="D654" s="1">
        <v>41912</v>
      </c>
      <c r="E654" s="1" t="str">
        <f>IF(DATEDIF(Walmart[[#This Row],[Order Date]],Walmart[[#This Row],[Ship Date]],"D")&lt;7,"On time","Delayed")</f>
        <v>On time</v>
      </c>
      <c r="F654" t="s">
        <v>189</v>
      </c>
      <c r="G654" t="s">
        <v>14</v>
      </c>
      <c r="H654" t="s">
        <v>15</v>
      </c>
      <c r="I654" t="s">
        <v>16</v>
      </c>
      <c r="J654" t="s">
        <v>146</v>
      </c>
      <c r="K654" t="s">
        <v>2437</v>
      </c>
      <c r="L654">
        <v>859.2</v>
      </c>
      <c r="M654">
        <v>3</v>
      </c>
      <c r="N654" t="str">
        <f>IF(Walmart[[#This Row],[Quantity]]&gt;=7,"Bulk",IF(Walmart[[#This Row],[Quantity]]&gt;=2,"Multi","Single"))</f>
        <v>Multi</v>
      </c>
      <c r="O654">
        <v>75.180000000000007</v>
      </c>
      <c r="P654" t="str">
        <f>IF(Walmart[[#This Row],[Sales]]&gt;=1000,"High Value", IF(Walmart[[#This Row],[Sales]]&gt;=500,"Medium Value","Low Value"))</f>
        <v>Medium Value</v>
      </c>
    </row>
    <row r="655" spans="1:16" x14ac:dyDescent="0.3">
      <c r="A655" t="s">
        <v>3131</v>
      </c>
      <c r="B655" s="1">
        <v>41907</v>
      </c>
      <c r="C655" s="1" t="str">
        <f>TEXT(Walmart[[#This Row],[Order Date]],"mmmm")</f>
        <v>September</v>
      </c>
      <c r="D655" s="1">
        <v>41907</v>
      </c>
      <c r="E655" s="1" t="str">
        <f>IF(DATEDIF(Walmart[[#This Row],[Order Date]],Walmart[[#This Row],[Ship Date]],"D")&lt;7,"On time","Delayed")</f>
        <v>On time</v>
      </c>
      <c r="F655" t="s">
        <v>240</v>
      </c>
      <c r="G655" t="s">
        <v>14</v>
      </c>
      <c r="H655" t="s">
        <v>25</v>
      </c>
      <c r="I655" t="s">
        <v>26</v>
      </c>
      <c r="J655" t="s">
        <v>21</v>
      </c>
      <c r="K655" t="s">
        <v>403</v>
      </c>
      <c r="L655">
        <v>199.8</v>
      </c>
      <c r="M655">
        <v>10</v>
      </c>
      <c r="N655" t="str">
        <f>IF(Walmart[[#This Row],[Quantity]]&gt;=7,"Bulk",IF(Walmart[[#This Row],[Quantity]]&gt;=2,"Multi","Single"))</f>
        <v>Bulk</v>
      </c>
      <c r="O655">
        <v>71.930000000000007</v>
      </c>
      <c r="P655" t="str">
        <f>IF(Walmart[[#This Row],[Sales]]&gt;=1000,"High Value", IF(Walmart[[#This Row],[Sales]]&gt;=500,"Medium Value","Low Value"))</f>
        <v>Low Value</v>
      </c>
    </row>
    <row r="656" spans="1:16" x14ac:dyDescent="0.3">
      <c r="A656" t="s">
        <v>3484</v>
      </c>
      <c r="B656" s="1">
        <v>41907</v>
      </c>
      <c r="C656" s="1" t="str">
        <f>TEXT(Walmart[[#This Row],[Order Date]],"mmmm")</f>
        <v>September</v>
      </c>
      <c r="D656" s="1">
        <v>41911</v>
      </c>
      <c r="E656" s="1" t="str">
        <f>IF(DATEDIF(Walmart[[#This Row],[Order Date]],Walmart[[#This Row],[Ship Date]],"D")&lt;7,"On time","Delayed")</f>
        <v>On time</v>
      </c>
      <c r="F656" t="s">
        <v>112</v>
      </c>
      <c r="G656" t="s">
        <v>14</v>
      </c>
      <c r="H656" t="s">
        <v>37</v>
      </c>
      <c r="I656" t="s">
        <v>16</v>
      </c>
      <c r="J656" t="s">
        <v>93</v>
      </c>
      <c r="K656" t="s">
        <v>2185</v>
      </c>
      <c r="L656">
        <v>31.08</v>
      </c>
      <c r="M656">
        <v>6</v>
      </c>
      <c r="N656" t="str">
        <f>IF(Walmart[[#This Row],[Quantity]]&gt;=7,"Bulk",IF(Walmart[[#This Row],[Quantity]]&gt;=2,"Multi","Single"))</f>
        <v>Multi</v>
      </c>
      <c r="O656">
        <v>15.23</v>
      </c>
      <c r="P656" t="str">
        <f>IF(Walmart[[#This Row],[Sales]]&gt;=1000,"High Value", IF(Walmart[[#This Row],[Sales]]&gt;=500,"Medium Value","Low Value"))</f>
        <v>Low Value</v>
      </c>
    </row>
    <row r="657" spans="1:16" hidden="1" x14ac:dyDescent="0.3">
      <c r="A657" t="s">
        <v>1803</v>
      </c>
      <c r="B657" s="1">
        <v>40842</v>
      </c>
      <c r="C657" s="1" t="str">
        <f>TEXT(Walmart[[#This Row],[Order Date]],"mmmm")</f>
        <v>October</v>
      </c>
      <c r="D657" s="1">
        <v>40846</v>
      </c>
      <c r="E657" s="1" t="str">
        <f>IF(DATEDIF(Walmart[[#This Row],[Order Date]],Walmart[[#This Row],[Ship Date]],"D")&lt;7,"On time","Delayed")</f>
        <v>On time</v>
      </c>
      <c r="F657" t="s">
        <v>1804</v>
      </c>
      <c r="G657" t="s">
        <v>14</v>
      </c>
      <c r="H657" t="s">
        <v>25</v>
      </c>
      <c r="I657" t="s">
        <v>26</v>
      </c>
      <c r="J657" t="s">
        <v>21</v>
      </c>
      <c r="K657" t="s">
        <v>296</v>
      </c>
      <c r="L657">
        <v>63.92</v>
      </c>
      <c r="M657">
        <v>4</v>
      </c>
      <c r="N657" t="str">
        <f>IF(Walmart[[#This Row],[Quantity]]&gt;=7,"Bulk",IF(Walmart[[#This Row],[Quantity]]&gt;=2,"Multi","Single"))</f>
        <v>Multi</v>
      </c>
      <c r="O657">
        <v>3.2</v>
      </c>
      <c r="P657" t="str">
        <f>IF(Walmart[[#This Row],[Sales]]&gt;=1000,"High Value", IF(Walmart[[#This Row],[Sales]]&gt;=500,"Medium Value","Low Value"))</f>
        <v>Low Value</v>
      </c>
    </row>
    <row r="658" spans="1:16" hidden="1" x14ac:dyDescent="0.3">
      <c r="A658" t="s">
        <v>1805</v>
      </c>
      <c r="B658" s="1">
        <v>41454</v>
      </c>
      <c r="C658" s="1" t="str">
        <f>TEXT(Walmart[[#This Row],[Order Date]],"mmmm")</f>
        <v>June</v>
      </c>
      <c r="D658" s="1">
        <v>41454</v>
      </c>
      <c r="E658" s="1" t="str">
        <f>IF(DATEDIF(Walmart[[#This Row],[Order Date]],Walmart[[#This Row],[Ship Date]],"D")&lt;7,"On time","Delayed")</f>
        <v>On time</v>
      </c>
      <c r="F658" t="s">
        <v>1806</v>
      </c>
      <c r="G658" t="s">
        <v>14</v>
      </c>
      <c r="H658" t="s">
        <v>15</v>
      </c>
      <c r="I658" t="s">
        <v>16</v>
      </c>
      <c r="J658" t="s">
        <v>27</v>
      </c>
      <c r="K658" t="s">
        <v>1807</v>
      </c>
      <c r="L658">
        <v>7.75</v>
      </c>
      <c r="M658">
        <v>3</v>
      </c>
      <c r="N658" t="str">
        <f>IF(Walmart[[#This Row],[Quantity]]&gt;=7,"Bulk",IF(Walmart[[#This Row],[Quantity]]&gt;=2,"Multi","Single"))</f>
        <v>Multi</v>
      </c>
      <c r="O658">
        <v>2.81</v>
      </c>
      <c r="P658" t="str">
        <f>IF(Walmart[[#This Row],[Sales]]&gt;=1000,"High Value", IF(Walmart[[#This Row],[Sales]]&gt;=500,"Medium Value","Low Value"))</f>
        <v>Low Value</v>
      </c>
    </row>
    <row r="659" spans="1:16" hidden="1" x14ac:dyDescent="0.3">
      <c r="A659" t="s">
        <v>1808</v>
      </c>
      <c r="B659" s="1">
        <v>40851</v>
      </c>
      <c r="C659" s="1" t="str">
        <f>TEXT(Walmart[[#This Row],[Order Date]],"mmmm")</f>
        <v>November</v>
      </c>
      <c r="D659" s="1">
        <v>40858</v>
      </c>
      <c r="E659" s="1" t="str">
        <f>IF(DATEDIF(Walmart[[#This Row],[Order Date]],Walmart[[#This Row],[Ship Date]],"D")&lt;7,"On time","Delayed")</f>
        <v>Delayed</v>
      </c>
      <c r="F659" t="s">
        <v>1035</v>
      </c>
      <c r="G659" t="s">
        <v>14</v>
      </c>
      <c r="H659" t="s">
        <v>15</v>
      </c>
      <c r="I659" t="s">
        <v>16</v>
      </c>
      <c r="J659" t="s">
        <v>146</v>
      </c>
      <c r="K659" t="s">
        <v>1809</v>
      </c>
      <c r="L659">
        <v>666.34</v>
      </c>
      <c r="M659">
        <v>7</v>
      </c>
      <c r="N659" t="str">
        <f>IF(Walmart[[#This Row],[Quantity]]&gt;=7,"Bulk",IF(Walmart[[#This Row],[Quantity]]&gt;=2,"Multi","Single"))</f>
        <v>Bulk</v>
      </c>
      <c r="O659">
        <v>66.63</v>
      </c>
      <c r="P659" t="str">
        <f>IF(Walmart[[#This Row],[Sales]]&gt;=1000,"High Value", IF(Walmart[[#This Row],[Sales]]&gt;=500,"Medium Value","Low Value"))</f>
        <v>Medium Value</v>
      </c>
    </row>
    <row r="660" spans="1:16" hidden="1" x14ac:dyDescent="0.3">
      <c r="A660" t="s">
        <v>1810</v>
      </c>
      <c r="B660" s="1">
        <v>41085</v>
      </c>
      <c r="C660" s="1" t="str">
        <f>TEXT(Walmart[[#This Row],[Order Date]],"mmmm")</f>
        <v>June</v>
      </c>
      <c r="D660" s="1">
        <v>41091</v>
      </c>
      <c r="E660" s="1" t="str">
        <f>IF(DATEDIF(Walmart[[#This Row],[Order Date]],Walmart[[#This Row],[Ship Date]],"D")&lt;7,"On time","Delayed")</f>
        <v>On time</v>
      </c>
      <c r="F660" t="s">
        <v>373</v>
      </c>
      <c r="G660" t="s">
        <v>14</v>
      </c>
      <c r="H660" t="s">
        <v>15</v>
      </c>
      <c r="I660" t="s">
        <v>16</v>
      </c>
      <c r="J660" t="s">
        <v>38</v>
      </c>
      <c r="K660" t="s">
        <v>125</v>
      </c>
      <c r="L660">
        <v>20.96</v>
      </c>
      <c r="M660">
        <v>2</v>
      </c>
      <c r="N660" t="str">
        <f>IF(Walmart[[#This Row],[Quantity]]&gt;=7,"Bulk",IF(Walmart[[#This Row],[Quantity]]&gt;=2,"Multi","Single"))</f>
        <v>Multi</v>
      </c>
      <c r="O660">
        <v>5.24</v>
      </c>
      <c r="P660" t="str">
        <f>IF(Walmart[[#This Row],[Sales]]&gt;=1000,"High Value", IF(Walmart[[#This Row],[Sales]]&gt;=500,"Medium Value","Low Value"))</f>
        <v>Low Value</v>
      </c>
    </row>
    <row r="661" spans="1:16" hidden="1" x14ac:dyDescent="0.3">
      <c r="A661" t="s">
        <v>1811</v>
      </c>
      <c r="B661" s="1">
        <v>41116</v>
      </c>
      <c r="C661" s="1" t="str">
        <f>TEXT(Walmart[[#This Row],[Order Date]],"mmmm")</f>
        <v>July</v>
      </c>
      <c r="D661" s="1">
        <v>41123</v>
      </c>
      <c r="E661" s="1" t="str">
        <f>IF(DATEDIF(Walmart[[#This Row],[Order Date]],Walmart[[#This Row],[Ship Date]],"D")&lt;7,"On time","Delayed")</f>
        <v>Delayed</v>
      </c>
      <c r="F661" t="s">
        <v>99</v>
      </c>
      <c r="G661" t="s">
        <v>14</v>
      </c>
      <c r="H661" t="s">
        <v>37</v>
      </c>
      <c r="I661" t="s">
        <v>16</v>
      </c>
      <c r="J661" t="s">
        <v>124</v>
      </c>
      <c r="K661" t="s">
        <v>1812</v>
      </c>
      <c r="L661">
        <v>167.86</v>
      </c>
      <c r="M661">
        <v>2</v>
      </c>
      <c r="N661" t="str">
        <f>IF(Walmart[[#This Row],[Quantity]]&gt;=7,"Bulk",IF(Walmart[[#This Row],[Quantity]]&gt;=2,"Multi","Single"))</f>
        <v>Multi</v>
      </c>
      <c r="O661">
        <v>78.89</v>
      </c>
      <c r="P661" t="str">
        <f>IF(Walmart[[#This Row],[Sales]]&gt;=1000,"High Value", IF(Walmart[[#This Row],[Sales]]&gt;=500,"Medium Value","Low Value"))</f>
        <v>Low Value</v>
      </c>
    </row>
    <row r="662" spans="1:16" hidden="1" x14ac:dyDescent="0.3">
      <c r="A662" t="s">
        <v>1813</v>
      </c>
      <c r="B662" s="1">
        <v>40906</v>
      </c>
      <c r="C662" s="1" t="str">
        <f>TEXT(Walmart[[#This Row],[Order Date]],"mmmm")</f>
        <v>December</v>
      </c>
      <c r="D662" s="1">
        <v>40911</v>
      </c>
      <c r="E662" s="1" t="str">
        <f>IF(DATEDIF(Walmart[[#This Row],[Order Date]],Walmart[[#This Row],[Ship Date]],"D")&lt;7,"On time","Delayed")</f>
        <v>On time</v>
      </c>
      <c r="F662" t="s">
        <v>1814</v>
      </c>
      <c r="G662" t="s">
        <v>14</v>
      </c>
      <c r="H662" t="s">
        <v>1163</v>
      </c>
      <c r="I662" t="s">
        <v>123</v>
      </c>
      <c r="J662" t="s">
        <v>146</v>
      </c>
      <c r="K662" t="s">
        <v>1815</v>
      </c>
      <c r="L662">
        <v>23.98</v>
      </c>
      <c r="M662">
        <v>3</v>
      </c>
      <c r="N662" t="str">
        <f>IF(Walmart[[#This Row],[Quantity]]&gt;=7,"Bulk",IF(Walmart[[#This Row],[Quantity]]&gt;=2,"Multi","Single"))</f>
        <v>Multi</v>
      </c>
      <c r="O662">
        <v>-5.69</v>
      </c>
      <c r="P662" t="str">
        <f>IF(Walmart[[#This Row],[Sales]]&gt;=1000,"High Value", IF(Walmart[[#This Row],[Sales]]&gt;=500,"Medium Value","Low Value"))</f>
        <v>Low Value</v>
      </c>
    </row>
    <row r="663" spans="1:16" x14ac:dyDescent="0.3">
      <c r="A663" t="s">
        <v>551</v>
      </c>
      <c r="B663" s="1">
        <v>41906</v>
      </c>
      <c r="C663" s="1" t="str">
        <f>TEXT(Walmart[[#This Row],[Order Date]],"mmmm")</f>
        <v>September</v>
      </c>
      <c r="D663" s="1">
        <v>41908</v>
      </c>
      <c r="E663" s="1" t="str">
        <f>IF(DATEDIF(Walmart[[#This Row],[Order Date]],Walmart[[#This Row],[Ship Date]],"D")&lt;7,"On time","Delayed")</f>
        <v>On time</v>
      </c>
      <c r="F663" t="s">
        <v>552</v>
      </c>
      <c r="G663" t="s">
        <v>14</v>
      </c>
      <c r="H663" t="s">
        <v>25</v>
      </c>
      <c r="I663" t="s">
        <v>26</v>
      </c>
      <c r="J663" t="s">
        <v>105</v>
      </c>
      <c r="K663" t="s">
        <v>553</v>
      </c>
      <c r="L663">
        <v>119.96</v>
      </c>
      <c r="M663">
        <v>2</v>
      </c>
      <c r="N663" t="str">
        <f>IF(Walmart[[#This Row],[Quantity]]&gt;=7,"Bulk",IF(Walmart[[#This Row],[Quantity]]&gt;=2,"Multi","Single"))</f>
        <v>Multi</v>
      </c>
      <c r="O663">
        <v>33.590000000000003</v>
      </c>
      <c r="P663" t="str">
        <f>IF(Walmart[[#This Row],[Sales]]&gt;=1000,"High Value", IF(Walmart[[#This Row],[Sales]]&gt;=500,"Medium Value","Low Value"))</f>
        <v>Low Value</v>
      </c>
    </row>
    <row r="664" spans="1:16" hidden="1" x14ac:dyDescent="0.3">
      <c r="A664" t="s">
        <v>1819</v>
      </c>
      <c r="B664" s="1">
        <v>41263</v>
      </c>
      <c r="C664" s="1" t="str">
        <f>TEXT(Walmart[[#This Row],[Order Date]],"mmmm")</f>
        <v>December</v>
      </c>
      <c r="D664" s="1">
        <v>41267</v>
      </c>
      <c r="E664" s="1" t="str">
        <f>IF(DATEDIF(Walmart[[#This Row],[Order Date]],Walmart[[#This Row],[Ship Date]],"D")&lt;7,"On time","Delayed")</f>
        <v>On time</v>
      </c>
      <c r="F664" t="s">
        <v>393</v>
      </c>
      <c r="G664" t="s">
        <v>14</v>
      </c>
      <c r="H664" t="s">
        <v>1820</v>
      </c>
      <c r="I664" t="s">
        <v>58</v>
      </c>
      <c r="J664" t="s">
        <v>124</v>
      </c>
      <c r="K664" t="s">
        <v>1821</v>
      </c>
      <c r="L664">
        <v>7.92</v>
      </c>
      <c r="M664">
        <v>1</v>
      </c>
      <c r="N664" t="str">
        <f>IF(Walmart[[#This Row],[Quantity]]&gt;=7,"Bulk",IF(Walmart[[#This Row],[Quantity]]&gt;=2,"Multi","Single"))</f>
        <v>Single</v>
      </c>
      <c r="O664">
        <v>2.77</v>
      </c>
      <c r="P664" t="str">
        <f>IF(Walmart[[#This Row],[Sales]]&gt;=1000,"High Value", IF(Walmart[[#This Row],[Sales]]&gt;=500,"Medium Value","Low Value"))</f>
        <v>Low Value</v>
      </c>
    </row>
    <row r="665" spans="1:16" hidden="1" x14ac:dyDescent="0.3">
      <c r="A665" t="s">
        <v>1822</v>
      </c>
      <c r="B665" s="1">
        <v>41240</v>
      </c>
      <c r="C665" s="1" t="str">
        <f>TEXT(Walmart[[#This Row],[Order Date]],"mmmm")</f>
        <v>November</v>
      </c>
      <c r="D665" s="1">
        <v>41244</v>
      </c>
      <c r="E665" s="1" t="str">
        <f>IF(DATEDIF(Walmart[[#This Row],[Order Date]],Walmart[[#This Row],[Ship Date]],"D")&lt;7,"On time","Delayed")</f>
        <v>On time</v>
      </c>
      <c r="F665" t="s">
        <v>1714</v>
      </c>
      <c r="G665" t="s">
        <v>14</v>
      </c>
      <c r="H665" t="s">
        <v>15</v>
      </c>
      <c r="I665" t="s">
        <v>16</v>
      </c>
      <c r="J665" t="s">
        <v>53</v>
      </c>
      <c r="K665" t="s">
        <v>231</v>
      </c>
      <c r="L665">
        <v>107.97</v>
      </c>
      <c r="M665">
        <v>3</v>
      </c>
      <c r="N665" t="str">
        <f>IF(Walmart[[#This Row],[Quantity]]&gt;=7,"Bulk",IF(Walmart[[#This Row],[Quantity]]&gt;=2,"Multi","Single"))</f>
        <v>Multi</v>
      </c>
      <c r="O665">
        <v>22.67</v>
      </c>
      <c r="P665" t="str">
        <f>IF(Walmart[[#This Row],[Sales]]&gt;=1000,"High Value", IF(Walmart[[#This Row],[Sales]]&gt;=500,"Medium Value","Low Value"))</f>
        <v>Low Value</v>
      </c>
    </row>
    <row r="666" spans="1:16" x14ac:dyDescent="0.3">
      <c r="A666" t="s">
        <v>621</v>
      </c>
      <c r="B666" s="1">
        <v>41906</v>
      </c>
      <c r="C666" s="1" t="str">
        <f>TEXT(Walmart[[#This Row],[Order Date]],"mmmm")</f>
        <v>September</v>
      </c>
      <c r="D666" s="1">
        <v>41910</v>
      </c>
      <c r="E666" s="1" t="str">
        <f>IF(DATEDIF(Walmart[[#This Row],[Order Date]],Walmart[[#This Row],[Ship Date]],"D")&lt;7,"On time","Delayed")</f>
        <v>On time</v>
      </c>
      <c r="F666" t="s">
        <v>622</v>
      </c>
      <c r="G666" t="s">
        <v>14</v>
      </c>
      <c r="H666" t="s">
        <v>247</v>
      </c>
      <c r="I666" t="s">
        <v>77</v>
      </c>
      <c r="J666" t="s">
        <v>21</v>
      </c>
      <c r="K666" t="s">
        <v>623</v>
      </c>
      <c r="L666">
        <v>29.33</v>
      </c>
      <c r="M666">
        <v>3</v>
      </c>
      <c r="N666" t="str">
        <f>IF(Walmart[[#This Row],[Quantity]]&gt;=7,"Bulk",IF(Walmart[[#This Row],[Quantity]]&gt;=2,"Multi","Single"))</f>
        <v>Multi</v>
      </c>
      <c r="O666">
        <v>3.67</v>
      </c>
      <c r="P666" t="str">
        <f>IF(Walmart[[#This Row],[Sales]]&gt;=1000,"High Value", IF(Walmart[[#This Row],[Sales]]&gt;=500,"Medium Value","Low Value"))</f>
        <v>Low Value</v>
      </c>
    </row>
    <row r="667" spans="1:16" x14ac:dyDescent="0.3">
      <c r="A667" t="s">
        <v>1122</v>
      </c>
      <c r="B667" s="1">
        <v>41906</v>
      </c>
      <c r="C667" s="1" t="str">
        <f>TEXT(Walmart[[#This Row],[Order Date]],"mmmm")</f>
        <v>September</v>
      </c>
      <c r="D667" s="1">
        <v>41909</v>
      </c>
      <c r="E667" s="1" t="str">
        <f>IF(DATEDIF(Walmart[[#This Row],[Order Date]],Walmart[[#This Row],[Ship Date]],"D")&lt;7,"On time","Delayed")</f>
        <v>On time</v>
      </c>
      <c r="F667" t="s">
        <v>1123</v>
      </c>
      <c r="G667" t="s">
        <v>14</v>
      </c>
      <c r="H667" t="s">
        <v>1124</v>
      </c>
      <c r="I667" t="s">
        <v>77</v>
      </c>
      <c r="J667" t="s">
        <v>124</v>
      </c>
      <c r="K667" t="s">
        <v>1125</v>
      </c>
      <c r="L667">
        <v>14.35</v>
      </c>
      <c r="M667">
        <v>3</v>
      </c>
      <c r="N667" t="str">
        <f>IF(Walmart[[#This Row],[Quantity]]&gt;=7,"Bulk",IF(Walmart[[#This Row],[Quantity]]&gt;=2,"Multi","Single"))</f>
        <v>Multi</v>
      </c>
      <c r="O667">
        <v>5.2</v>
      </c>
      <c r="P667" t="str">
        <f>IF(Walmart[[#This Row],[Sales]]&gt;=1000,"High Value", IF(Walmart[[#This Row],[Sales]]&gt;=500,"Medium Value","Low Value"))</f>
        <v>Low Value</v>
      </c>
    </row>
    <row r="668" spans="1:16" x14ac:dyDescent="0.3">
      <c r="A668" t="s">
        <v>1470</v>
      </c>
      <c r="B668" s="1">
        <v>41906</v>
      </c>
      <c r="C668" s="1" t="str">
        <f>TEXT(Walmart[[#This Row],[Order Date]],"mmmm")</f>
        <v>September</v>
      </c>
      <c r="D668" s="1">
        <v>41912</v>
      </c>
      <c r="E668" s="1" t="str">
        <f>IF(DATEDIF(Walmart[[#This Row],[Order Date]],Walmart[[#This Row],[Ship Date]],"D")&lt;7,"On time","Delayed")</f>
        <v>On time</v>
      </c>
      <c r="F668" t="s">
        <v>580</v>
      </c>
      <c r="G668" t="s">
        <v>14</v>
      </c>
      <c r="H668" t="s">
        <v>1124</v>
      </c>
      <c r="I668" t="s">
        <v>77</v>
      </c>
      <c r="J668" t="s">
        <v>671</v>
      </c>
      <c r="K668" t="s">
        <v>1471</v>
      </c>
      <c r="L668">
        <v>180.59</v>
      </c>
      <c r="M668">
        <v>2</v>
      </c>
      <c r="N668" t="str">
        <f>IF(Walmart[[#This Row],[Quantity]]&gt;=7,"Bulk",IF(Walmart[[#This Row],[Quantity]]&gt;=2,"Multi","Single"))</f>
        <v>Multi</v>
      </c>
      <c r="O668">
        <v>-240.78</v>
      </c>
      <c r="P668" t="str">
        <f>IF(Walmart[[#This Row],[Sales]]&gt;=1000,"High Value", IF(Walmart[[#This Row],[Sales]]&gt;=500,"Medium Value","Low Value"))</f>
        <v>Low Value</v>
      </c>
    </row>
    <row r="669" spans="1:16" hidden="1" x14ac:dyDescent="0.3">
      <c r="A669" t="s">
        <v>1829</v>
      </c>
      <c r="B669" s="1">
        <v>40658</v>
      </c>
      <c r="C669" s="1" t="str">
        <f>TEXT(Walmart[[#This Row],[Order Date]],"mmmm")</f>
        <v>April</v>
      </c>
      <c r="D669" s="1">
        <v>40663</v>
      </c>
      <c r="E669" s="1" t="str">
        <f>IF(DATEDIF(Walmart[[#This Row],[Order Date]],Walmart[[#This Row],[Ship Date]],"D")&lt;7,"On time","Delayed")</f>
        <v>On time</v>
      </c>
      <c r="F669" t="s">
        <v>686</v>
      </c>
      <c r="G669" t="s">
        <v>14</v>
      </c>
      <c r="H669" t="s">
        <v>1830</v>
      </c>
      <c r="I669" t="s">
        <v>16</v>
      </c>
      <c r="J669" t="s">
        <v>21</v>
      </c>
      <c r="K669" t="s">
        <v>1179</v>
      </c>
      <c r="L669">
        <v>303.25</v>
      </c>
      <c r="M669">
        <v>5</v>
      </c>
      <c r="N669" t="str">
        <f>IF(Walmart[[#This Row],[Quantity]]&gt;=7,"Bulk",IF(Walmart[[#This Row],[Quantity]]&gt;=2,"Multi","Single"))</f>
        <v>Multi</v>
      </c>
      <c r="O669">
        <v>63.68</v>
      </c>
      <c r="P669" t="str">
        <f>IF(Walmart[[#This Row],[Sales]]&gt;=1000,"High Value", IF(Walmart[[#This Row],[Sales]]&gt;=500,"Medium Value","Low Value"))</f>
        <v>Low Value</v>
      </c>
    </row>
    <row r="670" spans="1:16" hidden="1" x14ac:dyDescent="0.3">
      <c r="A670" t="s">
        <v>1831</v>
      </c>
      <c r="B670" s="1">
        <v>41207</v>
      </c>
      <c r="C670" s="1" t="str">
        <f>TEXT(Walmart[[#This Row],[Order Date]],"mmmm")</f>
        <v>October</v>
      </c>
      <c r="D670" s="1">
        <v>41212</v>
      </c>
      <c r="E670" s="1" t="str">
        <f>IF(DATEDIF(Walmart[[#This Row],[Order Date]],Walmart[[#This Row],[Ship Date]],"D")&lt;7,"On time","Delayed")</f>
        <v>On time</v>
      </c>
      <c r="F670" t="s">
        <v>1832</v>
      </c>
      <c r="G670" t="s">
        <v>14</v>
      </c>
      <c r="H670" t="s">
        <v>37</v>
      </c>
      <c r="I670" t="s">
        <v>16</v>
      </c>
      <c r="J670" t="s">
        <v>38</v>
      </c>
      <c r="K670" t="s">
        <v>1520</v>
      </c>
      <c r="L670">
        <v>60.45</v>
      </c>
      <c r="M670">
        <v>3</v>
      </c>
      <c r="N670" t="str">
        <f>IF(Walmart[[#This Row],[Quantity]]&gt;=7,"Bulk",IF(Walmart[[#This Row],[Quantity]]&gt;=2,"Multi","Single"))</f>
        <v>Multi</v>
      </c>
      <c r="O670">
        <v>16.32</v>
      </c>
      <c r="P670" t="str">
        <f>IF(Walmart[[#This Row],[Sales]]&gt;=1000,"High Value", IF(Walmart[[#This Row],[Sales]]&gt;=500,"Medium Value","Low Value"))</f>
        <v>Low Value</v>
      </c>
    </row>
    <row r="671" spans="1:16" hidden="1" x14ac:dyDescent="0.3">
      <c r="A671" t="s">
        <v>1833</v>
      </c>
      <c r="B671" s="1">
        <v>41575</v>
      </c>
      <c r="C671" s="1" t="str">
        <f>TEXT(Walmart[[#This Row],[Order Date]],"mmmm")</f>
        <v>October</v>
      </c>
      <c r="D671" s="1">
        <v>41581</v>
      </c>
      <c r="E671" s="1" t="str">
        <f>IF(DATEDIF(Walmart[[#This Row],[Order Date]],Walmart[[#This Row],[Ship Date]],"D")&lt;7,"On time","Delayed")</f>
        <v>On time</v>
      </c>
      <c r="F671" t="s">
        <v>1834</v>
      </c>
      <c r="G671" t="s">
        <v>14</v>
      </c>
      <c r="H671" t="s">
        <v>37</v>
      </c>
      <c r="I671" t="s">
        <v>16</v>
      </c>
      <c r="J671" t="s">
        <v>105</v>
      </c>
      <c r="K671" t="s">
        <v>125</v>
      </c>
      <c r="L671">
        <v>43.92</v>
      </c>
      <c r="M671">
        <v>4</v>
      </c>
      <c r="N671" t="str">
        <f>IF(Walmart[[#This Row],[Quantity]]&gt;=7,"Bulk",IF(Walmart[[#This Row],[Quantity]]&gt;=2,"Multi","Single"))</f>
        <v>Multi</v>
      </c>
      <c r="O671">
        <v>11.86</v>
      </c>
      <c r="P671" t="str">
        <f>IF(Walmart[[#This Row],[Sales]]&gt;=1000,"High Value", IF(Walmart[[#This Row],[Sales]]&gt;=500,"Medium Value","Low Value"))</f>
        <v>Low Value</v>
      </c>
    </row>
    <row r="672" spans="1:16" hidden="1" x14ac:dyDescent="0.3">
      <c r="A672" t="s">
        <v>1835</v>
      </c>
      <c r="B672" s="1">
        <v>41594</v>
      </c>
      <c r="C672" s="1" t="str">
        <f>TEXT(Walmart[[#This Row],[Order Date]],"mmmm")</f>
        <v>November</v>
      </c>
      <c r="D672" s="1">
        <v>41598</v>
      </c>
      <c r="E672" s="1" t="str">
        <f>IF(DATEDIF(Walmart[[#This Row],[Order Date]],Walmart[[#This Row],[Ship Date]],"D")&lt;7,"On time","Delayed")</f>
        <v>On time</v>
      </c>
      <c r="F672" t="s">
        <v>1836</v>
      </c>
      <c r="G672" t="s">
        <v>14</v>
      </c>
      <c r="H672" t="s">
        <v>160</v>
      </c>
      <c r="I672" t="s">
        <v>16</v>
      </c>
      <c r="J672" t="s">
        <v>146</v>
      </c>
      <c r="K672" t="s">
        <v>1837</v>
      </c>
      <c r="L672">
        <v>361.38</v>
      </c>
      <c r="M672">
        <v>2</v>
      </c>
      <c r="N672" t="str">
        <f>IF(Walmart[[#This Row],[Quantity]]&gt;=7,"Bulk",IF(Walmart[[#This Row],[Quantity]]&gt;=2,"Multi","Single"))</f>
        <v>Multi</v>
      </c>
      <c r="O672">
        <v>27.1</v>
      </c>
      <c r="P672" t="str">
        <f>IF(Walmart[[#This Row],[Sales]]&gt;=1000,"High Value", IF(Walmart[[#This Row],[Sales]]&gt;=500,"Medium Value","Low Value"))</f>
        <v>Low Value</v>
      </c>
    </row>
    <row r="673" spans="1:16" hidden="1" x14ac:dyDescent="0.3">
      <c r="A673" t="s">
        <v>1838</v>
      </c>
      <c r="B673" s="1">
        <v>41635</v>
      </c>
      <c r="C673" s="1" t="str">
        <f>TEXT(Walmart[[#This Row],[Order Date]],"mmmm")</f>
        <v>December</v>
      </c>
      <c r="D673" s="1">
        <v>41636</v>
      </c>
      <c r="E673" s="1" t="str">
        <f>IF(DATEDIF(Walmart[[#This Row],[Order Date]],Walmart[[#This Row],[Ship Date]],"D")&lt;7,"On time","Delayed")</f>
        <v>On time</v>
      </c>
      <c r="F673" t="s">
        <v>641</v>
      </c>
      <c r="G673" t="s">
        <v>14</v>
      </c>
      <c r="H673" t="s">
        <v>182</v>
      </c>
      <c r="I673" t="s">
        <v>77</v>
      </c>
      <c r="J673" t="s">
        <v>38</v>
      </c>
      <c r="K673" t="s">
        <v>1839</v>
      </c>
      <c r="L673">
        <v>11.33</v>
      </c>
      <c r="M673">
        <v>2</v>
      </c>
      <c r="N673" t="str">
        <f>IF(Walmart[[#This Row],[Quantity]]&gt;=7,"Bulk",IF(Walmart[[#This Row],[Quantity]]&gt;=2,"Multi","Single"))</f>
        <v>Multi</v>
      </c>
      <c r="O673">
        <v>2.5499999999999998</v>
      </c>
      <c r="P673" t="str">
        <f>IF(Walmart[[#This Row],[Sales]]&gt;=1000,"High Value", IF(Walmart[[#This Row],[Sales]]&gt;=500,"Medium Value","Low Value"))</f>
        <v>Low Value</v>
      </c>
    </row>
    <row r="674" spans="1:16" hidden="1" x14ac:dyDescent="0.3">
      <c r="A674" t="s">
        <v>1840</v>
      </c>
      <c r="B674" s="1">
        <v>40669</v>
      </c>
      <c r="C674" s="1" t="str">
        <f>TEXT(Walmart[[#This Row],[Order Date]],"mmmm")</f>
        <v>May</v>
      </c>
      <c r="D674" s="1">
        <v>40674</v>
      </c>
      <c r="E674" s="1" t="str">
        <f>IF(DATEDIF(Walmart[[#This Row],[Order Date]],Walmart[[#This Row],[Ship Date]],"D")&lt;7,"On time","Delayed")</f>
        <v>On time</v>
      </c>
      <c r="F674" t="s">
        <v>1714</v>
      </c>
      <c r="G674" t="s">
        <v>14</v>
      </c>
      <c r="H674" t="s">
        <v>15</v>
      </c>
      <c r="I674" t="s">
        <v>16</v>
      </c>
      <c r="J674" t="s">
        <v>17</v>
      </c>
      <c r="K674" t="s">
        <v>125</v>
      </c>
      <c r="L674">
        <v>5.78</v>
      </c>
      <c r="M674">
        <v>2</v>
      </c>
      <c r="N674" t="str">
        <f>IF(Walmart[[#This Row],[Quantity]]&gt;=7,"Bulk",IF(Walmart[[#This Row],[Quantity]]&gt;=2,"Multi","Single"))</f>
        <v>Multi</v>
      </c>
      <c r="O674">
        <v>2.72</v>
      </c>
      <c r="P674" t="str">
        <f>IF(Walmart[[#This Row],[Sales]]&gt;=1000,"High Value", IF(Walmart[[#This Row],[Sales]]&gt;=500,"Medium Value","Low Value"))</f>
        <v>Low Value</v>
      </c>
    </row>
    <row r="675" spans="1:16" hidden="1" x14ac:dyDescent="0.3">
      <c r="A675" t="s">
        <v>1841</v>
      </c>
      <c r="B675" s="1">
        <v>40876</v>
      </c>
      <c r="C675" s="1" t="str">
        <f>TEXT(Walmart[[#This Row],[Order Date]],"mmmm")</f>
        <v>November</v>
      </c>
      <c r="D675" s="1">
        <v>40883</v>
      </c>
      <c r="E675" s="1" t="str">
        <f>IF(DATEDIF(Walmart[[#This Row],[Order Date]],Walmart[[#This Row],[Ship Date]],"D")&lt;7,"On time","Delayed")</f>
        <v>Delayed</v>
      </c>
      <c r="F675" t="s">
        <v>163</v>
      </c>
      <c r="G675" t="s">
        <v>14</v>
      </c>
      <c r="H675" t="s">
        <v>37</v>
      </c>
      <c r="I675" t="s">
        <v>16</v>
      </c>
      <c r="J675" t="s">
        <v>146</v>
      </c>
      <c r="K675" t="s">
        <v>1842</v>
      </c>
      <c r="L675">
        <v>575.91999999999996</v>
      </c>
      <c r="M675">
        <v>2</v>
      </c>
      <c r="N675" t="str">
        <f>IF(Walmart[[#This Row],[Quantity]]&gt;=7,"Bulk",IF(Walmart[[#This Row],[Quantity]]&gt;=2,"Multi","Single"))</f>
        <v>Multi</v>
      </c>
      <c r="O675">
        <v>71.989999999999995</v>
      </c>
      <c r="P675" t="str">
        <f>IF(Walmart[[#This Row],[Sales]]&gt;=1000,"High Value", IF(Walmart[[#This Row],[Sales]]&gt;=500,"Medium Value","Low Value"))</f>
        <v>Medium Value</v>
      </c>
    </row>
    <row r="676" spans="1:16" x14ac:dyDescent="0.3">
      <c r="A676" t="s">
        <v>1537</v>
      </c>
      <c r="B676" s="1">
        <v>41906</v>
      </c>
      <c r="C676" s="1" t="str">
        <f>TEXT(Walmart[[#This Row],[Order Date]],"mmmm")</f>
        <v>September</v>
      </c>
      <c r="D676" s="1">
        <v>41913</v>
      </c>
      <c r="E676" s="1" t="str">
        <f>IF(DATEDIF(Walmart[[#This Row],[Order Date]],Walmart[[#This Row],[Ship Date]],"D")&lt;7,"On time","Delayed")</f>
        <v>Delayed</v>
      </c>
      <c r="F676" t="s">
        <v>140</v>
      </c>
      <c r="G676" t="s">
        <v>14</v>
      </c>
      <c r="H676" t="s">
        <v>37</v>
      </c>
      <c r="I676" t="s">
        <v>16</v>
      </c>
      <c r="J676" t="s">
        <v>27</v>
      </c>
      <c r="K676" t="s">
        <v>1538</v>
      </c>
      <c r="L676">
        <v>25.82</v>
      </c>
      <c r="M676">
        <v>6</v>
      </c>
      <c r="N676" t="str">
        <f>IF(Walmart[[#This Row],[Quantity]]&gt;=7,"Bulk",IF(Walmart[[#This Row],[Quantity]]&gt;=2,"Multi","Single"))</f>
        <v>Multi</v>
      </c>
      <c r="O676">
        <v>9.0399999999999991</v>
      </c>
      <c r="P676" t="str">
        <f>IF(Walmart[[#This Row],[Sales]]&gt;=1000,"High Value", IF(Walmart[[#This Row],[Sales]]&gt;=500,"Medium Value","Low Value"))</f>
        <v>Low Value</v>
      </c>
    </row>
    <row r="677" spans="1:16" hidden="1" x14ac:dyDescent="0.3">
      <c r="A677" t="s">
        <v>1845</v>
      </c>
      <c r="B677" s="1">
        <v>41079</v>
      </c>
      <c r="C677" s="1" t="str">
        <f>TEXT(Walmart[[#This Row],[Order Date]],"mmmm")</f>
        <v>June</v>
      </c>
      <c r="D677" s="1">
        <v>41083</v>
      </c>
      <c r="E677" s="1" t="str">
        <f>IF(DATEDIF(Walmart[[#This Row],[Order Date]],Walmart[[#This Row],[Ship Date]],"D")&lt;7,"On time","Delayed")</f>
        <v>On time</v>
      </c>
      <c r="F677" t="s">
        <v>156</v>
      </c>
      <c r="G677" t="s">
        <v>14</v>
      </c>
      <c r="H677" t="s">
        <v>15</v>
      </c>
      <c r="I677" t="s">
        <v>16</v>
      </c>
      <c r="J677" t="s">
        <v>21</v>
      </c>
      <c r="K677" t="s">
        <v>1846</v>
      </c>
      <c r="L677">
        <v>12.56</v>
      </c>
      <c r="M677">
        <v>2</v>
      </c>
      <c r="N677" t="str">
        <f>IF(Walmart[[#This Row],[Quantity]]&gt;=7,"Bulk",IF(Walmart[[#This Row],[Quantity]]&gt;=2,"Multi","Single"))</f>
        <v>Multi</v>
      </c>
      <c r="O677">
        <v>4.0199999999999996</v>
      </c>
      <c r="P677" t="str">
        <f>IF(Walmart[[#This Row],[Sales]]&gt;=1000,"High Value", IF(Walmart[[#This Row],[Sales]]&gt;=500,"Medium Value","Low Value"))</f>
        <v>Low Value</v>
      </c>
    </row>
    <row r="678" spans="1:16" hidden="1" x14ac:dyDescent="0.3">
      <c r="A678" t="s">
        <v>1847</v>
      </c>
      <c r="B678" s="1">
        <v>41460</v>
      </c>
      <c r="C678" s="1" t="str">
        <f>TEXT(Walmart[[#This Row],[Order Date]],"mmmm")</f>
        <v>July</v>
      </c>
      <c r="D678" s="1">
        <v>41462</v>
      </c>
      <c r="E678" s="1" t="str">
        <f>IF(DATEDIF(Walmart[[#This Row],[Order Date]],Walmart[[#This Row],[Ship Date]],"D")&lt;7,"On time","Delayed")</f>
        <v>On time</v>
      </c>
      <c r="F678" t="s">
        <v>1848</v>
      </c>
      <c r="G678" t="s">
        <v>14</v>
      </c>
      <c r="H678" t="s">
        <v>37</v>
      </c>
      <c r="I678" t="s">
        <v>16</v>
      </c>
      <c r="J678" t="s">
        <v>21</v>
      </c>
      <c r="K678" t="s">
        <v>1849</v>
      </c>
      <c r="L678">
        <v>25.4</v>
      </c>
      <c r="M678">
        <v>5</v>
      </c>
      <c r="N678" t="str">
        <f>IF(Walmart[[#This Row],[Quantity]]&gt;=7,"Bulk",IF(Walmart[[#This Row],[Quantity]]&gt;=2,"Multi","Single"))</f>
        <v>Multi</v>
      </c>
      <c r="O678">
        <v>8.64</v>
      </c>
      <c r="P678" t="str">
        <f>IF(Walmart[[#This Row],[Sales]]&gt;=1000,"High Value", IF(Walmart[[#This Row],[Sales]]&gt;=500,"Medium Value","Low Value"))</f>
        <v>Low Value</v>
      </c>
    </row>
    <row r="679" spans="1:16" hidden="1" x14ac:dyDescent="0.3">
      <c r="A679" t="s">
        <v>1850</v>
      </c>
      <c r="B679" s="1">
        <v>41155</v>
      </c>
      <c r="C679" s="1" t="str">
        <f>TEXT(Walmart[[#This Row],[Order Date]],"mmmm")</f>
        <v>September</v>
      </c>
      <c r="D679" s="1">
        <v>41160</v>
      </c>
      <c r="E679" s="1" t="str">
        <f>IF(DATEDIF(Walmart[[#This Row],[Order Date]],Walmart[[#This Row],[Ship Date]],"D")&lt;7,"On time","Delayed")</f>
        <v>On time</v>
      </c>
      <c r="F679" t="s">
        <v>1851</v>
      </c>
      <c r="G679" t="s">
        <v>14</v>
      </c>
      <c r="H679" t="s">
        <v>37</v>
      </c>
      <c r="I679" t="s">
        <v>16</v>
      </c>
      <c r="J679" t="s">
        <v>88</v>
      </c>
      <c r="K679" t="s">
        <v>1023</v>
      </c>
      <c r="L679">
        <v>129.57</v>
      </c>
      <c r="M679">
        <v>2</v>
      </c>
      <c r="N679" t="str">
        <f>IF(Walmart[[#This Row],[Quantity]]&gt;=7,"Bulk",IF(Walmart[[#This Row],[Quantity]]&gt;=2,"Multi","Single"))</f>
        <v>Multi</v>
      </c>
      <c r="O679">
        <v>-12.96</v>
      </c>
      <c r="P679" t="str">
        <f>IF(Walmart[[#This Row],[Sales]]&gt;=1000,"High Value", IF(Walmart[[#This Row],[Sales]]&gt;=500,"Medium Value","Low Value"))</f>
        <v>Low Value</v>
      </c>
    </row>
    <row r="680" spans="1:16" x14ac:dyDescent="0.3">
      <c r="A680" t="s">
        <v>3364</v>
      </c>
      <c r="B680" s="1">
        <v>41906</v>
      </c>
      <c r="C680" s="1" t="str">
        <f>TEXT(Walmart[[#This Row],[Order Date]],"mmmm")</f>
        <v>September</v>
      </c>
      <c r="D680" s="1">
        <v>41912</v>
      </c>
      <c r="E680" s="1" t="str">
        <f>IF(DATEDIF(Walmart[[#This Row],[Order Date]],Walmart[[#This Row],[Ship Date]],"D")&lt;7,"On time","Delayed")</f>
        <v>On time</v>
      </c>
      <c r="F680" t="s">
        <v>3365</v>
      </c>
      <c r="G680" t="s">
        <v>14</v>
      </c>
      <c r="H680" t="s">
        <v>15</v>
      </c>
      <c r="I680" t="s">
        <v>16</v>
      </c>
      <c r="J680" t="s">
        <v>93</v>
      </c>
      <c r="K680" t="s">
        <v>3366</v>
      </c>
      <c r="L680">
        <v>211.04</v>
      </c>
      <c r="M680">
        <v>8</v>
      </c>
      <c r="N680" t="str">
        <f>IF(Walmart[[#This Row],[Quantity]]&gt;=7,"Bulk",IF(Walmart[[#This Row],[Quantity]]&gt;=2,"Multi","Single"))</f>
        <v>Bulk</v>
      </c>
      <c r="O680">
        <v>97.08</v>
      </c>
      <c r="P680" t="str">
        <f>IF(Walmart[[#This Row],[Sales]]&gt;=1000,"High Value", IF(Walmart[[#This Row],[Sales]]&gt;=500,"Medium Value","Low Value"))</f>
        <v>Low Value</v>
      </c>
    </row>
    <row r="681" spans="1:16" x14ac:dyDescent="0.3">
      <c r="A681" t="s">
        <v>1843</v>
      </c>
      <c r="B681" s="1">
        <v>41905</v>
      </c>
      <c r="C681" s="1" t="str">
        <f>TEXT(Walmart[[#This Row],[Order Date]],"mmmm")</f>
        <v>September</v>
      </c>
      <c r="D681" s="1">
        <v>41911</v>
      </c>
      <c r="E681" s="1" t="str">
        <f>IF(DATEDIF(Walmart[[#This Row],[Order Date]],Walmart[[#This Row],[Ship Date]],"D")&lt;7,"On time","Delayed")</f>
        <v>On time</v>
      </c>
      <c r="F681" t="s">
        <v>1797</v>
      </c>
      <c r="G681" t="s">
        <v>14</v>
      </c>
      <c r="H681" t="s">
        <v>1163</v>
      </c>
      <c r="I681" t="s">
        <v>123</v>
      </c>
      <c r="J681" t="s">
        <v>93</v>
      </c>
      <c r="K681" t="s">
        <v>1844</v>
      </c>
      <c r="L681">
        <v>27.18</v>
      </c>
      <c r="M681">
        <v>3</v>
      </c>
      <c r="N681" t="str">
        <f>IF(Walmart[[#This Row],[Quantity]]&gt;=7,"Bulk",IF(Walmart[[#This Row],[Quantity]]&gt;=2,"Multi","Single"))</f>
        <v>Multi</v>
      </c>
      <c r="O681">
        <v>12.23</v>
      </c>
      <c r="P681" t="str">
        <f>IF(Walmart[[#This Row],[Sales]]&gt;=1000,"High Value", IF(Walmart[[#This Row],[Sales]]&gt;=500,"Medium Value","Low Value"))</f>
        <v>Low Value</v>
      </c>
    </row>
    <row r="682" spans="1:16" x14ac:dyDescent="0.3">
      <c r="A682" t="s">
        <v>3289</v>
      </c>
      <c r="B682" s="1">
        <v>41905</v>
      </c>
      <c r="C682" s="1" t="str">
        <f>TEXT(Walmart[[#This Row],[Order Date]],"mmmm")</f>
        <v>September</v>
      </c>
      <c r="D682" s="1">
        <v>41911</v>
      </c>
      <c r="E682" s="1" t="str">
        <f>IF(DATEDIF(Walmart[[#This Row],[Order Date]],Walmart[[#This Row],[Ship Date]],"D")&lt;7,"On time","Delayed")</f>
        <v>On time</v>
      </c>
      <c r="F682" t="s">
        <v>969</v>
      </c>
      <c r="G682" t="s">
        <v>14</v>
      </c>
      <c r="H682" t="s">
        <v>438</v>
      </c>
      <c r="I682" t="s">
        <v>16</v>
      </c>
      <c r="J682" t="s">
        <v>334</v>
      </c>
      <c r="K682" t="s">
        <v>628</v>
      </c>
      <c r="L682">
        <v>21.96</v>
      </c>
      <c r="M682">
        <v>2</v>
      </c>
      <c r="N682" t="str">
        <f>IF(Walmart[[#This Row],[Quantity]]&gt;=7,"Bulk",IF(Walmart[[#This Row],[Quantity]]&gt;=2,"Multi","Single"))</f>
        <v>Multi</v>
      </c>
      <c r="O682">
        <v>6.15</v>
      </c>
      <c r="P682" t="str">
        <f>IF(Walmart[[#This Row],[Sales]]&gt;=1000,"High Value", IF(Walmart[[#This Row],[Sales]]&gt;=500,"Medium Value","Low Value"))</f>
        <v>Low Value</v>
      </c>
    </row>
    <row r="683" spans="1:16" hidden="1" x14ac:dyDescent="0.3">
      <c r="A683" t="s">
        <v>1857</v>
      </c>
      <c r="B683" s="1">
        <v>41128</v>
      </c>
      <c r="C683" s="1" t="str">
        <f>TEXT(Walmart[[#This Row],[Order Date]],"mmmm")</f>
        <v>August</v>
      </c>
      <c r="D683" s="1">
        <v>41132</v>
      </c>
      <c r="E683" s="1" t="str">
        <f>IF(DATEDIF(Walmart[[#This Row],[Order Date]],Walmart[[#This Row],[Ship Date]],"D")&lt;7,"On time","Delayed")</f>
        <v>On time</v>
      </c>
      <c r="F683" t="s">
        <v>562</v>
      </c>
      <c r="G683" t="s">
        <v>14</v>
      </c>
      <c r="H683" t="s">
        <v>1762</v>
      </c>
      <c r="I683" t="s">
        <v>1438</v>
      </c>
      <c r="J683" t="s">
        <v>27</v>
      </c>
      <c r="K683" t="s">
        <v>626</v>
      </c>
      <c r="L683">
        <v>3.3</v>
      </c>
      <c r="M683">
        <v>1</v>
      </c>
      <c r="N683" t="str">
        <f>IF(Walmart[[#This Row],[Quantity]]&gt;=7,"Bulk",IF(Walmart[[#This Row],[Quantity]]&gt;=2,"Multi","Single"))</f>
        <v>Single</v>
      </c>
      <c r="O683">
        <v>1.1200000000000001</v>
      </c>
      <c r="P683" t="str">
        <f>IF(Walmart[[#This Row],[Sales]]&gt;=1000,"High Value", IF(Walmart[[#This Row],[Sales]]&gt;=500,"Medium Value","Low Value"))</f>
        <v>Low Value</v>
      </c>
    </row>
    <row r="684" spans="1:16" hidden="1" x14ac:dyDescent="0.3">
      <c r="A684" t="s">
        <v>1858</v>
      </c>
      <c r="B684" s="1">
        <v>41582</v>
      </c>
      <c r="C684" s="1" t="str">
        <f>TEXT(Walmart[[#This Row],[Order Date]],"mmmm")</f>
        <v>November</v>
      </c>
      <c r="D684" s="1">
        <v>41587</v>
      </c>
      <c r="E684" s="1" t="str">
        <f>IF(DATEDIF(Walmart[[#This Row],[Order Date]],Walmart[[#This Row],[Ship Date]],"D")&lt;7,"On time","Delayed")</f>
        <v>On time</v>
      </c>
      <c r="F684" t="s">
        <v>265</v>
      </c>
      <c r="G684" t="s">
        <v>14</v>
      </c>
      <c r="H684" t="s">
        <v>15</v>
      </c>
      <c r="I684" t="s">
        <v>16</v>
      </c>
      <c r="J684" t="s">
        <v>191</v>
      </c>
      <c r="K684" t="s">
        <v>1859</v>
      </c>
      <c r="L684">
        <v>15.26</v>
      </c>
      <c r="M684">
        <v>7</v>
      </c>
      <c r="N684" t="str">
        <f>IF(Walmart[[#This Row],[Quantity]]&gt;=7,"Bulk",IF(Walmart[[#This Row],[Quantity]]&gt;=2,"Multi","Single"))</f>
        <v>Bulk</v>
      </c>
      <c r="O684">
        <v>5.04</v>
      </c>
      <c r="P684" t="str">
        <f>IF(Walmart[[#This Row],[Sales]]&gt;=1000,"High Value", IF(Walmart[[#This Row],[Sales]]&gt;=500,"Medium Value","Low Value"))</f>
        <v>Low Value</v>
      </c>
    </row>
    <row r="685" spans="1:16" x14ac:dyDescent="0.3">
      <c r="A685" t="s">
        <v>2197</v>
      </c>
      <c r="B685" s="1">
        <v>41904</v>
      </c>
      <c r="C685" s="1" t="str">
        <f>TEXT(Walmart[[#This Row],[Order Date]],"mmmm")</f>
        <v>September</v>
      </c>
      <c r="D685" s="1">
        <v>41906</v>
      </c>
      <c r="E685" s="1" t="str">
        <f>IF(DATEDIF(Walmart[[#This Row],[Order Date]],Walmart[[#This Row],[Ship Date]],"D")&lt;7,"On time","Delayed")</f>
        <v>On time</v>
      </c>
      <c r="F685" t="s">
        <v>2198</v>
      </c>
      <c r="G685" t="s">
        <v>14</v>
      </c>
      <c r="H685" t="s">
        <v>25</v>
      </c>
      <c r="I685" t="s">
        <v>26</v>
      </c>
      <c r="J685" t="s">
        <v>53</v>
      </c>
      <c r="K685" t="s">
        <v>231</v>
      </c>
      <c r="L685">
        <v>71.98</v>
      </c>
      <c r="M685">
        <v>2</v>
      </c>
      <c r="N685" t="str">
        <f>IF(Walmart[[#This Row],[Quantity]]&gt;=7,"Bulk",IF(Walmart[[#This Row],[Quantity]]&gt;=2,"Multi","Single"))</f>
        <v>Multi</v>
      </c>
      <c r="O685">
        <v>15.12</v>
      </c>
      <c r="P685" t="str">
        <f>IF(Walmart[[#This Row],[Sales]]&gt;=1000,"High Value", IF(Walmart[[#This Row],[Sales]]&gt;=500,"Medium Value","Low Value"))</f>
        <v>Low Value</v>
      </c>
    </row>
    <row r="686" spans="1:16" x14ac:dyDescent="0.3">
      <c r="A686" t="s">
        <v>2829</v>
      </c>
      <c r="B686" s="1">
        <v>41904</v>
      </c>
      <c r="C686" s="1" t="str">
        <f>TEXT(Walmart[[#This Row],[Order Date]],"mmmm")</f>
        <v>September</v>
      </c>
      <c r="D686" s="1">
        <v>41906</v>
      </c>
      <c r="E686" s="1" t="str">
        <f>IF(DATEDIF(Walmart[[#This Row],[Order Date]],Walmart[[#This Row],[Ship Date]],"D")&lt;7,"On time","Delayed")</f>
        <v>On time</v>
      </c>
      <c r="F686" t="s">
        <v>2650</v>
      </c>
      <c r="G686" t="s">
        <v>14</v>
      </c>
      <c r="H686" t="s">
        <v>15</v>
      </c>
      <c r="I686" t="s">
        <v>16</v>
      </c>
      <c r="J686" t="s">
        <v>33</v>
      </c>
      <c r="K686" t="s">
        <v>2830</v>
      </c>
      <c r="L686">
        <v>15.51</v>
      </c>
      <c r="M686">
        <v>1</v>
      </c>
      <c r="N686" t="str">
        <f>IF(Walmart[[#This Row],[Quantity]]&gt;=7,"Bulk",IF(Walmart[[#This Row],[Quantity]]&gt;=2,"Multi","Single"))</f>
        <v>Single</v>
      </c>
      <c r="O686">
        <v>3.88</v>
      </c>
      <c r="P686" t="str">
        <f>IF(Walmart[[#This Row],[Sales]]&gt;=1000,"High Value", IF(Walmart[[#This Row],[Sales]]&gt;=500,"Medium Value","Low Value"))</f>
        <v>Low Value</v>
      </c>
    </row>
    <row r="687" spans="1:16" hidden="1" x14ac:dyDescent="0.3">
      <c r="A687" t="s">
        <v>1864</v>
      </c>
      <c r="B687" s="1">
        <v>40868</v>
      </c>
      <c r="C687" s="1" t="str">
        <f>TEXT(Walmart[[#This Row],[Order Date]],"mmmm")</f>
        <v>November</v>
      </c>
      <c r="D687" s="1">
        <v>40873</v>
      </c>
      <c r="E687" s="1" t="str">
        <f>IF(DATEDIF(Walmart[[#This Row],[Order Date]],Walmart[[#This Row],[Ship Date]],"D")&lt;7,"On time","Delayed")</f>
        <v>On time</v>
      </c>
      <c r="F687" t="s">
        <v>1865</v>
      </c>
      <c r="G687" t="s">
        <v>14</v>
      </c>
      <c r="H687" t="s">
        <v>37</v>
      </c>
      <c r="I687" t="s">
        <v>16</v>
      </c>
      <c r="J687" t="s">
        <v>93</v>
      </c>
      <c r="K687" t="s">
        <v>1866</v>
      </c>
      <c r="L687">
        <v>12.96</v>
      </c>
      <c r="M687">
        <v>2</v>
      </c>
      <c r="N687" t="str">
        <f>IF(Walmart[[#This Row],[Quantity]]&gt;=7,"Bulk",IF(Walmart[[#This Row],[Quantity]]&gt;=2,"Multi","Single"))</f>
        <v>Multi</v>
      </c>
      <c r="O687">
        <v>6.22</v>
      </c>
      <c r="P687" t="str">
        <f>IF(Walmart[[#This Row],[Sales]]&gt;=1000,"High Value", IF(Walmart[[#This Row],[Sales]]&gt;=500,"Medium Value","Low Value"))</f>
        <v>Low Value</v>
      </c>
    </row>
    <row r="688" spans="1:16" hidden="1" x14ac:dyDescent="0.3">
      <c r="A688" t="s">
        <v>1867</v>
      </c>
      <c r="B688" s="1">
        <v>41375</v>
      </c>
      <c r="C688" s="1" t="str">
        <f>TEXT(Walmart[[#This Row],[Order Date]],"mmmm")</f>
        <v>April</v>
      </c>
      <c r="D688" s="1">
        <v>41381</v>
      </c>
      <c r="E688" s="1" t="str">
        <f>IF(DATEDIF(Walmart[[#This Row],[Order Date]],Walmart[[#This Row],[Ship Date]],"D")&lt;7,"On time","Delayed")</f>
        <v>On time</v>
      </c>
      <c r="F688" t="s">
        <v>894</v>
      </c>
      <c r="G688" t="s">
        <v>14</v>
      </c>
      <c r="H688" t="s">
        <v>1323</v>
      </c>
      <c r="I688" t="s">
        <v>16</v>
      </c>
      <c r="J688" t="s">
        <v>93</v>
      </c>
      <c r="K688" t="s">
        <v>1868</v>
      </c>
      <c r="L688">
        <v>12.96</v>
      </c>
      <c r="M688">
        <v>2</v>
      </c>
      <c r="N688" t="str">
        <f>IF(Walmart[[#This Row],[Quantity]]&gt;=7,"Bulk",IF(Walmart[[#This Row],[Quantity]]&gt;=2,"Multi","Single"))</f>
        <v>Multi</v>
      </c>
      <c r="O688">
        <v>6.22</v>
      </c>
      <c r="P688" t="str">
        <f>IF(Walmart[[#This Row],[Sales]]&gt;=1000,"High Value", IF(Walmart[[#This Row],[Sales]]&gt;=500,"Medium Value","Low Value"))</f>
        <v>Low Value</v>
      </c>
    </row>
    <row r="689" spans="1:16" hidden="1" x14ac:dyDescent="0.3">
      <c r="A689" t="s">
        <v>1869</v>
      </c>
      <c r="B689" s="1">
        <v>40901</v>
      </c>
      <c r="C689" s="1" t="str">
        <f>TEXT(Walmart[[#This Row],[Order Date]],"mmmm")</f>
        <v>December</v>
      </c>
      <c r="D689" s="1">
        <v>40906</v>
      </c>
      <c r="E689" s="1" t="str">
        <f>IF(DATEDIF(Walmart[[#This Row],[Order Date]],Walmart[[#This Row],[Ship Date]],"D")&lt;7,"On time","Delayed")</f>
        <v>On time</v>
      </c>
      <c r="F689" t="s">
        <v>605</v>
      </c>
      <c r="G689" t="s">
        <v>14</v>
      </c>
      <c r="H689" t="s">
        <v>15</v>
      </c>
      <c r="I689" t="s">
        <v>16</v>
      </c>
      <c r="J689" t="s">
        <v>146</v>
      </c>
      <c r="K689" t="s">
        <v>1870</v>
      </c>
      <c r="L689">
        <v>173.66</v>
      </c>
      <c r="M689">
        <v>7</v>
      </c>
      <c r="N689" t="str">
        <f>IF(Walmart[[#This Row],[Quantity]]&gt;=7,"Bulk",IF(Walmart[[#This Row],[Quantity]]&gt;=2,"Multi","Single"))</f>
        <v>Bulk</v>
      </c>
      <c r="O689">
        <v>17.37</v>
      </c>
      <c r="P689" t="str">
        <f>IF(Walmart[[#This Row],[Sales]]&gt;=1000,"High Value", IF(Walmart[[#This Row],[Sales]]&gt;=500,"Medium Value","Low Value"))</f>
        <v>Low Value</v>
      </c>
    </row>
    <row r="690" spans="1:16" x14ac:dyDescent="0.3">
      <c r="A690" t="s">
        <v>3141</v>
      </c>
      <c r="B690" s="1">
        <v>41904</v>
      </c>
      <c r="C690" s="1" t="str">
        <f>TEXT(Walmart[[#This Row],[Order Date]],"mmmm")</f>
        <v>September</v>
      </c>
      <c r="D690" s="1">
        <v>41908</v>
      </c>
      <c r="E690" s="1" t="str">
        <f>IF(DATEDIF(Walmart[[#This Row],[Order Date]],Walmart[[#This Row],[Ship Date]],"D")&lt;7,"On time","Delayed")</f>
        <v>On time</v>
      </c>
      <c r="F690" t="s">
        <v>198</v>
      </c>
      <c r="G690" t="s">
        <v>14</v>
      </c>
      <c r="H690" t="s">
        <v>37</v>
      </c>
      <c r="I690" t="s">
        <v>16</v>
      </c>
      <c r="J690" t="s">
        <v>93</v>
      </c>
      <c r="K690" t="s">
        <v>3142</v>
      </c>
      <c r="L690">
        <v>55.86</v>
      </c>
      <c r="M690">
        <v>7</v>
      </c>
      <c r="N690" t="str">
        <f>IF(Walmart[[#This Row],[Quantity]]&gt;=7,"Bulk",IF(Walmart[[#This Row],[Quantity]]&gt;=2,"Multi","Single"))</f>
        <v>Bulk</v>
      </c>
      <c r="O690">
        <v>27.93</v>
      </c>
      <c r="P690" t="str">
        <f>IF(Walmart[[#This Row],[Sales]]&gt;=1000,"High Value", IF(Walmart[[#This Row],[Sales]]&gt;=500,"Medium Value","Low Value"))</f>
        <v>Low Value</v>
      </c>
    </row>
    <row r="691" spans="1:16" hidden="1" x14ac:dyDescent="0.3">
      <c r="A691" t="s">
        <v>1873</v>
      </c>
      <c r="B691" s="1">
        <v>41550</v>
      </c>
      <c r="C691" s="1" t="str">
        <f>TEXT(Walmart[[#This Row],[Order Date]],"mmmm")</f>
        <v>October</v>
      </c>
      <c r="D691" s="1">
        <v>41551</v>
      </c>
      <c r="E691" s="1" t="str">
        <f>IF(DATEDIF(Walmart[[#This Row],[Order Date]],Walmart[[#This Row],[Ship Date]],"D")&lt;7,"On time","Delayed")</f>
        <v>On time</v>
      </c>
      <c r="F691" t="s">
        <v>1874</v>
      </c>
      <c r="G691" t="s">
        <v>14</v>
      </c>
      <c r="H691" t="s">
        <v>84</v>
      </c>
      <c r="I691" t="s">
        <v>58</v>
      </c>
      <c r="J691" t="s">
        <v>27</v>
      </c>
      <c r="K691" t="s">
        <v>1875</v>
      </c>
      <c r="L691">
        <v>54.79</v>
      </c>
      <c r="M691">
        <v>6</v>
      </c>
      <c r="N691" t="str">
        <f>IF(Walmart[[#This Row],[Quantity]]&gt;=7,"Bulk",IF(Walmart[[#This Row],[Quantity]]&gt;=2,"Multi","Single"))</f>
        <v>Multi</v>
      </c>
      <c r="O691">
        <v>-40.18</v>
      </c>
      <c r="P691" t="str">
        <f>IF(Walmart[[#This Row],[Sales]]&gt;=1000,"High Value", IF(Walmart[[#This Row],[Sales]]&gt;=500,"Medium Value","Low Value"))</f>
        <v>Low Value</v>
      </c>
    </row>
    <row r="692" spans="1:16" hidden="1" x14ac:dyDescent="0.3">
      <c r="A692" t="s">
        <v>1876</v>
      </c>
      <c r="B692" s="1">
        <v>41533</v>
      </c>
      <c r="C692" s="1" t="str">
        <f>TEXT(Walmart[[#This Row],[Order Date]],"mmmm")</f>
        <v>September</v>
      </c>
      <c r="D692" s="1">
        <v>41538</v>
      </c>
      <c r="E692" s="1" t="str">
        <f>IF(DATEDIF(Walmart[[#This Row],[Order Date]],Walmart[[#This Row],[Ship Date]],"D")&lt;7,"On time","Delayed")</f>
        <v>On time</v>
      </c>
      <c r="F692" t="s">
        <v>1877</v>
      </c>
      <c r="G692" t="s">
        <v>14</v>
      </c>
      <c r="H692" t="s">
        <v>25</v>
      </c>
      <c r="I692" t="s">
        <v>26</v>
      </c>
      <c r="J692" t="s">
        <v>93</v>
      </c>
      <c r="K692" t="s">
        <v>1878</v>
      </c>
      <c r="L692">
        <v>21.4</v>
      </c>
      <c r="M692">
        <v>5</v>
      </c>
      <c r="N692" t="str">
        <f>IF(Walmart[[#This Row],[Quantity]]&gt;=7,"Bulk",IF(Walmart[[#This Row],[Quantity]]&gt;=2,"Multi","Single"))</f>
        <v>Multi</v>
      </c>
      <c r="O692">
        <v>10.06</v>
      </c>
      <c r="P692" t="str">
        <f>IF(Walmart[[#This Row],[Sales]]&gt;=1000,"High Value", IF(Walmart[[#This Row],[Sales]]&gt;=500,"Medium Value","Low Value"))</f>
        <v>Low Value</v>
      </c>
    </row>
    <row r="693" spans="1:16" hidden="1" x14ac:dyDescent="0.3">
      <c r="A693" t="s">
        <v>1879</v>
      </c>
      <c r="B693" s="1">
        <v>41543</v>
      </c>
      <c r="C693" s="1" t="str">
        <f>TEXT(Walmart[[#This Row],[Order Date]],"mmmm")</f>
        <v>September</v>
      </c>
      <c r="D693" s="1">
        <v>41549</v>
      </c>
      <c r="E693" s="1" t="str">
        <f>IF(DATEDIF(Walmart[[#This Row],[Order Date]],Walmart[[#This Row],[Ship Date]],"D")&lt;7,"On time","Delayed")</f>
        <v>On time</v>
      </c>
      <c r="F693" t="s">
        <v>1880</v>
      </c>
      <c r="G693" t="s">
        <v>14</v>
      </c>
      <c r="H693" t="s">
        <v>37</v>
      </c>
      <c r="I693" t="s">
        <v>16</v>
      </c>
      <c r="J693" t="s">
        <v>38</v>
      </c>
      <c r="K693" t="s">
        <v>1881</v>
      </c>
      <c r="L693">
        <v>16.559999999999999</v>
      </c>
      <c r="M693">
        <v>4</v>
      </c>
      <c r="N693" t="str">
        <f>IF(Walmart[[#This Row],[Quantity]]&gt;=7,"Bulk",IF(Walmart[[#This Row],[Quantity]]&gt;=2,"Multi","Single"))</f>
        <v>Multi</v>
      </c>
      <c r="O693">
        <v>6.96</v>
      </c>
      <c r="P693" t="str">
        <f>IF(Walmart[[#This Row],[Sales]]&gt;=1000,"High Value", IF(Walmart[[#This Row],[Sales]]&gt;=500,"Medium Value","Low Value"))</f>
        <v>Low Value</v>
      </c>
    </row>
    <row r="694" spans="1:16" x14ac:dyDescent="0.3">
      <c r="A694" t="s">
        <v>2449</v>
      </c>
      <c r="B694" s="1">
        <v>41902</v>
      </c>
      <c r="C694" s="1" t="str">
        <f>TEXT(Walmart[[#This Row],[Order Date]],"mmmm")</f>
        <v>September</v>
      </c>
      <c r="D694" s="1">
        <v>41908</v>
      </c>
      <c r="E694" s="1" t="str">
        <f>IF(DATEDIF(Walmart[[#This Row],[Order Date]],Walmart[[#This Row],[Ship Date]],"D")&lt;7,"On time","Delayed")</f>
        <v>On time</v>
      </c>
      <c r="F694" t="s">
        <v>2450</v>
      </c>
      <c r="G694" t="s">
        <v>14</v>
      </c>
      <c r="H694" t="s">
        <v>926</v>
      </c>
      <c r="I694" t="s">
        <v>69</v>
      </c>
      <c r="J694" t="s">
        <v>146</v>
      </c>
      <c r="K694" t="s">
        <v>2407</v>
      </c>
      <c r="L694">
        <v>191.98</v>
      </c>
      <c r="M694">
        <v>3</v>
      </c>
      <c r="N694" t="str">
        <f>IF(Walmart[[#This Row],[Quantity]]&gt;=7,"Bulk",IF(Walmart[[#This Row],[Quantity]]&gt;=2,"Multi","Single"))</f>
        <v>Multi</v>
      </c>
      <c r="O694">
        <v>19.2</v>
      </c>
      <c r="P694" t="str">
        <f>IF(Walmart[[#This Row],[Sales]]&gt;=1000,"High Value", IF(Walmart[[#This Row],[Sales]]&gt;=500,"Medium Value","Low Value"))</f>
        <v>Low Value</v>
      </c>
    </row>
    <row r="695" spans="1:16" hidden="1" x14ac:dyDescent="0.3">
      <c r="A695" t="s">
        <v>1883</v>
      </c>
      <c r="B695" s="1">
        <v>40826</v>
      </c>
      <c r="C695" s="1" t="str">
        <f>TEXT(Walmart[[#This Row],[Order Date]],"mmmm")</f>
        <v>October</v>
      </c>
      <c r="D695" s="1">
        <v>40826</v>
      </c>
      <c r="E695" s="1" t="str">
        <f>IF(DATEDIF(Walmart[[#This Row],[Order Date]],Walmart[[#This Row],[Ship Date]],"D")&lt;7,"On time","Delayed")</f>
        <v>On time</v>
      </c>
      <c r="F695" t="s">
        <v>257</v>
      </c>
      <c r="G695" t="s">
        <v>14</v>
      </c>
      <c r="H695" t="s">
        <v>1044</v>
      </c>
      <c r="I695" t="s">
        <v>16</v>
      </c>
      <c r="J695" t="s">
        <v>88</v>
      </c>
      <c r="K695" t="s">
        <v>1264</v>
      </c>
      <c r="L695">
        <v>122.35</v>
      </c>
      <c r="M695">
        <v>3</v>
      </c>
      <c r="N695" t="str">
        <f>IF(Walmart[[#This Row],[Quantity]]&gt;=7,"Bulk",IF(Walmart[[#This Row],[Quantity]]&gt;=2,"Multi","Single"))</f>
        <v>Multi</v>
      </c>
      <c r="O695">
        <v>13.76</v>
      </c>
      <c r="P695" t="str">
        <f>IF(Walmart[[#This Row],[Sales]]&gt;=1000,"High Value", IF(Walmart[[#This Row],[Sales]]&gt;=500,"Medium Value","Low Value"))</f>
        <v>Low Value</v>
      </c>
    </row>
    <row r="696" spans="1:16" hidden="1" x14ac:dyDescent="0.3">
      <c r="A696" t="s">
        <v>1884</v>
      </c>
      <c r="B696" s="1">
        <v>40987</v>
      </c>
      <c r="C696" s="1" t="str">
        <f>TEXT(Walmart[[#This Row],[Order Date]],"mmmm")</f>
        <v>March</v>
      </c>
      <c r="D696" s="1">
        <v>40994</v>
      </c>
      <c r="E696" s="1" t="str">
        <f>IF(DATEDIF(Walmart[[#This Row],[Order Date]],Walmart[[#This Row],[Ship Date]],"D")&lt;7,"On time","Delayed")</f>
        <v>Delayed</v>
      </c>
      <c r="F696" t="s">
        <v>1885</v>
      </c>
      <c r="G696" t="s">
        <v>14</v>
      </c>
      <c r="H696" t="s">
        <v>15</v>
      </c>
      <c r="I696" t="s">
        <v>16</v>
      </c>
      <c r="J696" t="s">
        <v>93</v>
      </c>
      <c r="K696" t="s">
        <v>1160</v>
      </c>
      <c r="L696">
        <v>11.96</v>
      </c>
      <c r="M696">
        <v>2</v>
      </c>
      <c r="N696" t="str">
        <f>IF(Walmart[[#This Row],[Quantity]]&gt;=7,"Bulk",IF(Walmart[[#This Row],[Quantity]]&gt;=2,"Multi","Single"))</f>
        <v>Multi</v>
      </c>
      <c r="O696">
        <v>5.86</v>
      </c>
      <c r="P696" t="str">
        <f>IF(Walmart[[#This Row],[Sales]]&gt;=1000,"High Value", IF(Walmart[[#This Row],[Sales]]&gt;=500,"Medium Value","Low Value"))</f>
        <v>Low Value</v>
      </c>
    </row>
    <row r="697" spans="1:16" x14ac:dyDescent="0.3">
      <c r="A697" t="s">
        <v>2624</v>
      </c>
      <c r="B697" s="1">
        <v>41902</v>
      </c>
      <c r="C697" s="1" t="str">
        <f>TEXT(Walmart[[#This Row],[Order Date]],"mmmm")</f>
        <v>September</v>
      </c>
      <c r="D697" s="1">
        <v>41907</v>
      </c>
      <c r="E697" s="1" t="str">
        <f>IF(DATEDIF(Walmart[[#This Row],[Order Date]],Walmart[[#This Row],[Ship Date]],"D")&lt;7,"On time","Delayed")</f>
        <v>On time</v>
      </c>
      <c r="F697" t="s">
        <v>446</v>
      </c>
      <c r="G697" t="s">
        <v>14</v>
      </c>
      <c r="H697" t="s">
        <v>15</v>
      </c>
      <c r="I697" t="s">
        <v>16</v>
      </c>
      <c r="J697" t="s">
        <v>53</v>
      </c>
      <c r="K697" t="s">
        <v>2625</v>
      </c>
      <c r="L697">
        <v>149.94999999999999</v>
      </c>
      <c r="M697">
        <v>5</v>
      </c>
      <c r="N697" t="str">
        <f>IF(Walmart[[#This Row],[Quantity]]&gt;=7,"Bulk",IF(Walmart[[#This Row],[Quantity]]&gt;=2,"Multi","Single"))</f>
        <v>Multi</v>
      </c>
      <c r="O697">
        <v>31.49</v>
      </c>
      <c r="P697" t="str">
        <f>IF(Walmart[[#This Row],[Sales]]&gt;=1000,"High Value", IF(Walmart[[#This Row],[Sales]]&gt;=500,"Medium Value","Low Value"))</f>
        <v>Low Value</v>
      </c>
    </row>
    <row r="698" spans="1:16" hidden="1" x14ac:dyDescent="0.3">
      <c r="A698" t="s">
        <v>1888</v>
      </c>
      <c r="B698" s="1">
        <v>40737</v>
      </c>
      <c r="C698" s="1" t="str">
        <f>TEXT(Walmart[[#This Row],[Order Date]],"mmmm")</f>
        <v>July</v>
      </c>
      <c r="D698" s="1">
        <v>40741</v>
      </c>
      <c r="E698" s="1" t="str">
        <f>IF(DATEDIF(Walmart[[#This Row],[Order Date]],Walmart[[#This Row],[Ship Date]],"D")&lt;7,"On time","Delayed")</f>
        <v>On time</v>
      </c>
      <c r="F698" t="s">
        <v>194</v>
      </c>
      <c r="G698" t="s">
        <v>14</v>
      </c>
      <c r="H698" t="s">
        <v>15</v>
      </c>
      <c r="I698" t="s">
        <v>16</v>
      </c>
      <c r="J698" t="s">
        <v>43</v>
      </c>
      <c r="K698" t="s">
        <v>1889</v>
      </c>
      <c r="L698">
        <v>351.22</v>
      </c>
      <c r="M698">
        <v>3</v>
      </c>
      <c r="N698" t="str">
        <f>IF(Walmart[[#This Row],[Quantity]]&gt;=7,"Bulk",IF(Walmart[[#This Row],[Quantity]]&gt;=2,"Multi","Single"))</f>
        <v>Multi</v>
      </c>
      <c r="O698">
        <v>4.3899999999999997</v>
      </c>
      <c r="P698" t="str">
        <f>IF(Walmart[[#This Row],[Sales]]&gt;=1000,"High Value", IF(Walmart[[#This Row],[Sales]]&gt;=500,"Medium Value","Low Value"))</f>
        <v>Low Value</v>
      </c>
    </row>
    <row r="699" spans="1:16" hidden="1" x14ac:dyDescent="0.3">
      <c r="A699" t="s">
        <v>1890</v>
      </c>
      <c r="B699" s="1">
        <v>40904</v>
      </c>
      <c r="C699" s="1" t="str">
        <f>TEXT(Walmart[[#This Row],[Order Date]],"mmmm")</f>
        <v>December</v>
      </c>
      <c r="D699" s="1">
        <v>40910</v>
      </c>
      <c r="E699" s="1" t="str">
        <f>IF(DATEDIF(Walmart[[#This Row],[Order Date]],Walmart[[#This Row],[Ship Date]],"D")&lt;7,"On time","Delayed")</f>
        <v>On time</v>
      </c>
      <c r="F699" t="s">
        <v>318</v>
      </c>
      <c r="G699" t="s">
        <v>14</v>
      </c>
      <c r="H699" t="s">
        <v>37</v>
      </c>
      <c r="I699" t="s">
        <v>16</v>
      </c>
      <c r="J699" t="s">
        <v>88</v>
      </c>
      <c r="K699" t="s">
        <v>241</v>
      </c>
      <c r="L699">
        <v>230.28</v>
      </c>
      <c r="M699">
        <v>3</v>
      </c>
      <c r="N699" t="str">
        <f>IF(Walmart[[#This Row],[Quantity]]&gt;=7,"Bulk",IF(Walmart[[#This Row],[Quantity]]&gt;=2,"Multi","Single"))</f>
        <v>Multi</v>
      </c>
      <c r="O699">
        <v>23.03</v>
      </c>
      <c r="P699" t="str">
        <f>IF(Walmart[[#This Row],[Sales]]&gt;=1000,"High Value", IF(Walmart[[#This Row],[Sales]]&gt;=500,"Medium Value","Low Value"))</f>
        <v>Low Value</v>
      </c>
    </row>
    <row r="700" spans="1:16" x14ac:dyDescent="0.3">
      <c r="A700" t="s">
        <v>2714</v>
      </c>
      <c r="B700" s="1">
        <v>41902</v>
      </c>
      <c r="C700" s="1" t="str">
        <f>TEXT(Walmart[[#This Row],[Order Date]],"mmmm")</f>
        <v>September</v>
      </c>
      <c r="D700" s="1">
        <v>41908</v>
      </c>
      <c r="E700" s="1" t="str">
        <f>IF(DATEDIF(Walmart[[#This Row],[Order Date]],Walmart[[#This Row],[Ship Date]],"D")&lt;7,"On time","Delayed")</f>
        <v>On time</v>
      </c>
      <c r="F700" t="s">
        <v>684</v>
      </c>
      <c r="G700" t="s">
        <v>14</v>
      </c>
      <c r="H700" t="s">
        <v>84</v>
      </c>
      <c r="I700" t="s">
        <v>58</v>
      </c>
      <c r="J700" t="s">
        <v>33</v>
      </c>
      <c r="K700" t="s">
        <v>2715</v>
      </c>
      <c r="L700">
        <v>12.62</v>
      </c>
      <c r="M700">
        <v>2</v>
      </c>
      <c r="N700" t="str">
        <f>IF(Walmart[[#This Row],[Quantity]]&gt;=7,"Bulk",IF(Walmart[[#This Row],[Quantity]]&gt;=2,"Multi","Single"))</f>
        <v>Multi</v>
      </c>
      <c r="O700">
        <v>-2.52</v>
      </c>
      <c r="P700" t="str">
        <f>IF(Walmart[[#This Row],[Sales]]&gt;=1000,"High Value", IF(Walmart[[#This Row],[Sales]]&gt;=500,"Medium Value","Low Value"))</f>
        <v>Low Value</v>
      </c>
    </row>
    <row r="701" spans="1:16" hidden="1" x14ac:dyDescent="0.3">
      <c r="A701" t="s">
        <v>1893</v>
      </c>
      <c r="B701" s="1">
        <v>41247</v>
      </c>
      <c r="C701" s="1" t="str">
        <f>TEXT(Walmart[[#This Row],[Order Date]],"mmmm")</f>
        <v>December</v>
      </c>
      <c r="D701" s="1">
        <v>41252</v>
      </c>
      <c r="E701" s="1" t="str">
        <f>IF(DATEDIF(Walmart[[#This Row],[Order Date]],Walmart[[#This Row],[Ship Date]],"D")&lt;7,"On time","Delayed")</f>
        <v>On time</v>
      </c>
      <c r="F701" t="s">
        <v>1177</v>
      </c>
      <c r="G701" t="s">
        <v>14</v>
      </c>
      <c r="H701" t="s">
        <v>15</v>
      </c>
      <c r="I701" t="s">
        <v>16</v>
      </c>
      <c r="J701" t="s">
        <v>124</v>
      </c>
      <c r="K701" t="s">
        <v>1894</v>
      </c>
      <c r="L701">
        <v>271.44</v>
      </c>
      <c r="M701">
        <v>3</v>
      </c>
      <c r="N701" t="str">
        <f>IF(Walmart[[#This Row],[Quantity]]&gt;=7,"Bulk",IF(Walmart[[#This Row],[Quantity]]&gt;=2,"Multi","Single"))</f>
        <v>Multi</v>
      </c>
      <c r="O701">
        <v>122.15</v>
      </c>
      <c r="P701" t="str">
        <f>IF(Walmart[[#This Row],[Sales]]&gt;=1000,"High Value", IF(Walmart[[#This Row],[Sales]]&gt;=500,"Medium Value","Low Value"))</f>
        <v>Low Value</v>
      </c>
    </row>
    <row r="702" spans="1:16" hidden="1" x14ac:dyDescent="0.3">
      <c r="A702" t="s">
        <v>1895</v>
      </c>
      <c r="B702" s="1">
        <v>40886</v>
      </c>
      <c r="C702" s="1" t="str">
        <f>TEXT(Walmart[[#This Row],[Order Date]],"mmmm")</f>
        <v>December</v>
      </c>
      <c r="D702" s="1">
        <v>40891</v>
      </c>
      <c r="E702" s="1" t="str">
        <f>IF(DATEDIF(Walmart[[#This Row],[Order Date]],Walmart[[#This Row],[Ship Date]],"D")&lt;7,"On time","Delayed")</f>
        <v>On time</v>
      </c>
      <c r="F702" t="s">
        <v>1575</v>
      </c>
      <c r="G702" t="s">
        <v>14</v>
      </c>
      <c r="H702" t="s">
        <v>299</v>
      </c>
      <c r="I702" t="s">
        <v>58</v>
      </c>
      <c r="J702" t="s">
        <v>33</v>
      </c>
      <c r="K702" t="s">
        <v>1896</v>
      </c>
      <c r="L702">
        <v>100.7</v>
      </c>
      <c r="M702">
        <v>6</v>
      </c>
      <c r="N702" t="str">
        <f>IF(Walmart[[#This Row],[Quantity]]&gt;=7,"Bulk",IF(Walmart[[#This Row],[Quantity]]&gt;=2,"Multi","Single"))</f>
        <v>Multi</v>
      </c>
      <c r="O702">
        <v>-1.26</v>
      </c>
      <c r="P702" t="str">
        <f>IF(Walmart[[#This Row],[Sales]]&gt;=1000,"High Value", IF(Walmart[[#This Row],[Sales]]&gt;=500,"Medium Value","Low Value"))</f>
        <v>Low Value</v>
      </c>
    </row>
    <row r="703" spans="1:16" hidden="1" x14ac:dyDescent="0.3">
      <c r="A703" t="s">
        <v>1897</v>
      </c>
      <c r="B703" s="1">
        <v>40652</v>
      </c>
      <c r="C703" s="1" t="str">
        <f>TEXT(Walmart[[#This Row],[Order Date]],"mmmm")</f>
        <v>April</v>
      </c>
      <c r="D703" s="1">
        <v>40654</v>
      </c>
      <c r="E703" s="1" t="str">
        <f>IF(DATEDIF(Walmart[[#This Row],[Order Date]],Walmart[[#This Row],[Ship Date]],"D")&lt;7,"On time","Delayed")</f>
        <v>On time</v>
      </c>
      <c r="F703" t="s">
        <v>1793</v>
      </c>
      <c r="G703" t="s">
        <v>14</v>
      </c>
      <c r="H703" t="s">
        <v>109</v>
      </c>
      <c r="I703" t="s">
        <v>16</v>
      </c>
      <c r="J703" t="s">
        <v>21</v>
      </c>
      <c r="K703" t="s">
        <v>1898</v>
      </c>
      <c r="L703">
        <v>76.14</v>
      </c>
      <c r="M703">
        <v>3</v>
      </c>
      <c r="N703" t="str">
        <f>IF(Walmart[[#This Row],[Quantity]]&gt;=7,"Bulk",IF(Walmart[[#This Row],[Quantity]]&gt;=2,"Multi","Single"))</f>
        <v>Multi</v>
      </c>
      <c r="O703">
        <v>26.65</v>
      </c>
      <c r="P703" t="str">
        <f>IF(Walmart[[#This Row],[Sales]]&gt;=1000,"High Value", IF(Walmart[[#This Row],[Sales]]&gt;=500,"Medium Value","Low Value"))</f>
        <v>Low Value</v>
      </c>
    </row>
    <row r="704" spans="1:16" x14ac:dyDescent="0.3">
      <c r="A704" t="s">
        <v>95</v>
      </c>
      <c r="B704" s="1">
        <v>41901</v>
      </c>
      <c r="C704" s="1" t="str">
        <f>TEXT(Walmart[[#This Row],[Order Date]],"mmmm")</f>
        <v>September</v>
      </c>
      <c r="D704" s="1">
        <v>41906</v>
      </c>
      <c r="E704" s="1" t="str">
        <f>IF(DATEDIF(Walmart[[#This Row],[Order Date]],Walmart[[#This Row],[Ship Date]],"D")&lt;7,"On time","Delayed")</f>
        <v>On time</v>
      </c>
      <c r="F704" t="s">
        <v>96</v>
      </c>
      <c r="G704" t="s">
        <v>14</v>
      </c>
      <c r="H704" t="s">
        <v>37</v>
      </c>
      <c r="I704" t="s">
        <v>16</v>
      </c>
      <c r="J704" t="s">
        <v>38</v>
      </c>
      <c r="K704" t="s">
        <v>97</v>
      </c>
      <c r="L704">
        <v>8.82</v>
      </c>
      <c r="M704">
        <v>3</v>
      </c>
      <c r="N704" t="str">
        <f>IF(Walmart[[#This Row],[Quantity]]&gt;=7,"Bulk",IF(Walmart[[#This Row],[Quantity]]&gt;=2,"Multi","Single"))</f>
        <v>Multi</v>
      </c>
      <c r="O704">
        <v>2.38</v>
      </c>
      <c r="P704" t="str">
        <f>IF(Walmart[[#This Row],[Sales]]&gt;=1000,"High Value", IF(Walmart[[#This Row],[Sales]]&gt;=500,"Medium Value","Low Value"))</f>
        <v>Low Value</v>
      </c>
    </row>
    <row r="705" spans="1:16" hidden="1" x14ac:dyDescent="0.3">
      <c r="A705" t="s">
        <v>1901</v>
      </c>
      <c r="B705" s="1">
        <v>40644</v>
      </c>
      <c r="C705" s="1" t="str">
        <f>TEXT(Walmart[[#This Row],[Order Date]],"mmmm")</f>
        <v>April</v>
      </c>
      <c r="D705" s="1">
        <v>40649</v>
      </c>
      <c r="E705" s="1" t="str">
        <f>IF(DATEDIF(Walmart[[#This Row],[Order Date]],Walmart[[#This Row],[Ship Date]],"D")&lt;7,"On time","Delayed")</f>
        <v>On time</v>
      </c>
      <c r="F705" t="s">
        <v>1290</v>
      </c>
      <c r="G705" t="s">
        <v>14</v>
      </c>
      <c r="H705" t="s">
        <v>1902</v>
      </c>
      <c r="I705" t="s">
        <v>1438</v>
      </c>
      <c r="J705" t="s">
        <v>27</v>
      </c>
      <c r="K705" t="s">
        <v>989</v>
      </c>
      <c r="L705">
        <v>9.58</v>
      </c>
      <c r="M705">
        <v>1</v>
      </c>
      <c r="N705" t="str">
        <f>IF(Walmart[[#This Row],[Quantity]]&gt;=7,"Bulk",IF(Walmart[[#This Row],[Quantity]]&gt;=2,"Multi","Single"))</f>
        <v>Single</v>
      </c>
      <c r="O705">
        <v>3.35</v>
      </c>
      <c r="P705" t="str">
        <f>IF(Walmart[[#This Row],[Sales]]&gt;=1000,"High Value", IF(Walmart[[#This Row],[Sales]]&gt;=500,"Medium Value","Low Value"))</f>
        <v>Low Value</v>
      </c>
    </row>
    <row r="706" spans="1:16" hidden="1" x14ac:dyDescent="0.3">
      <c r="A706" t="s">
        <v>1903</v>
      </c>
      <c r="B706" s="1">
        <v>41513</v>
      </c>
      <c r="C706" s="1" t="str">
        <f>TEXT(Walmart[[#This Row],[Order Date]],"mmmm")</f>
        <v>August</v>
      </c>
      <c r="D706" s="1">
        <v>41515</v>
      </c>
      <c r="E706" s="1" t="str">
        <f>IF(DATEDIF(Walmart[[#This Row],[Order Date]],Walmart[[#This Row],[Ship Date]],"D")&lt;7,"On time","Delayed")</f>
        <v>On time</v>
      </c>
      <c r="F706" t="s">
        <v>1904</v>
      </c>
      <c r="G706" t="s">
        <v>14</v>
      </c>
      <c r="H706" t="s">
        <v>15</v>
      </c>
      <c r="I706" t="s">
        <v>16</v>
      </c>
      <c r="J706" t="s">
        <v>38</v>
      </c>
      <c r="K706" t="s">
        <v>1905</v>
      </c>
      <c r="L706">
        <v>8.26</v>
      </c>
      <c r="M706">
        <v>2</v>
      </c>
      <c r="N706" t="str">
        <f>IF(Walmart[[#This Row],[Quantity]]&gt;=7,"Bulk",IF(Walmart[[#This Row],[Quantity]]&gt;=2,"Multi","Single"))</f>
        <v>Multi</v>
      </c>
      <c r="O706">
        <v>3.8</v>
      </c>
      <c r="P706" t="str">
        <f>IF(Walmart[[#This Row],[Sales]]&gt;=1000,"High Value", IF(Walmart[[#This Row],[Sales]]&gt;=500,"Medium Value","Low Value"))</f>
        <v>Low Value</v>
      </c>
    </row>
    <row r="707" spans="1:16" x14ac:dyDescent="0.3">
      <c r="A707" t="s">
        <v>2204</v>
      </c>
      <c r="B707" s="1">
        <v>41901</v>
      </c>
      <c r="C707" s="1" t="str">
        <f>TEXT(Walmart[[#This Row],[Order Date]],"mmmm")</f>
        <v>September</v>
      </c>
      <c r="D707" s="1">
        <v>41905</v>
      </c>
      <c r="E707" s="1" t="str">
        <f>IF(DATEDIF(Walmart[[#This Row],[Order Date]],Walmart[[#This Row],[Ship Date]],"D")&lt;7,"On time","Delayed")</f>
        <v>On time</v>
      </c>
      <c r="F707" t="s">
        <v>1587</v>
      </c>
      <c r="G707" t="s">
        <v>14</v>
      </c>
      <c r="H707" t="s">
        <v>2205</v>
      </c>
      <c r="I707" t="s">
        <v>123</v>
      </c>
      <c r="J707" t="s">
        <v>27</v>
      </c>
      <c r="K707" t="s">
        <v>500</v>
      </c>
      <c r="L707">
        <v>10.08</v>
      </c>
      <c r="M707">
        <v>7</v>
      </c>
      <c r="N707" t="str">
        <f>IF(Walmart[[#This Row],[Quantity]]&gt;=7,"Bulk",IF(Walmart[[#This Row],[Quantity]]&gt;=2,"Multi","Single"))</f>
        <v>Bulk</v>
      </c>
      <c r="O707">
        <v>3.53</v>
      </c>
      <c r="P707" t="str">
        <f>IF(Walmart[[#This Row],[Sales]]&gt;=1000,"High Value", IF(Walmart[[#This Row],[Sales]]&gt;=500,"Medium Value","Low Value"))</f>
        <v>Low Value</v>
      </c>
    </row>
    <row r="708" spans="1:16" hidden="1" x14ac:dyDescent="0.3">
      <c r="A708" t="s">
        <v>1908</v>
      </c>
      <c r="B708" s="1">
        <v>41635</v>
      </c>
      <c r="C708" s="1" t="str">
        <f>TEXT(Walmart[[#This Row],[Order Date]],"mmmm")</f>
        <v>December</v>
      </c>
      <c r="D708" s="1">
        <v>41640</v>
      </c>
      <c r="E708" s="1" t="str">
        <f>IF(DATEDIF(Walmart[[#This Row],[Order Date]],Walmart[[#This Row],[Ship Date]],"D")&lt;7,"On time","Delayed")</f>
        <v>On time</v>
      </c>
      <c r="F708" t="s">
        <v>1885</v>
      </c>
      <c r="G708" t="s">
        <v>14</v>
      </c>
      <c r="H708" t="s">
        <v>15</v>
      </c>
      <c r="I708" t="s">
        <v>16</v>
      </c>
      <c r="J708" t="s">
        <v>334</v>
      </c>
      <c r="K708" t="s">
        <v>1079</v>
      </c>
      <c r="L708">
        <v>17.760000000000002</v>
      </c>
      <c r="M708">
        <v>2</v>
      </c>
      <c r="N708" t="str">
        <f>IF(Walmart[[#This Row],[Quantity]]&gt;=7,"Bulk",IF(Walmart[[#This Row],[Quantity]]&gt;=2,"Multi","Single"))</f>
        <v>Multi</v>
      </c>
      <c r="O708">
        <v>4.97</v>
      </c>
      <c r="P708" t="str">
        <f>IF(Walmart[[#This Row],[Sales]]&gt;=1000,"High Value", IF(Walmart[[#This Row],[Sales]]&gt;=500,"Medium Value","Low Value"))</f>
        <v>Low Value</v>
      </c>
    </row>
    <row r="709" spans="1:16" x14ac:dyDescent="0.3">
      <c r="A709" t="s">
        <v>1098</v>
      </c>
      <c r="B709" s="1">
        <v>41900</v>
      </c>
      <c r="C709" s="1" t="str">
        <f>TEXT(Walmart[[#This Row],[Order Date]],"mmmm")</f>
        <v>September</v>
      </c>
      <c r="D709" s="1">
        <v>41900</v>
      </c>
      <c r="E709" s="1" t="str">
        <f>IF(DATEDIF(Walmart[[#This Row],[Order Date]],Walmart[[#This Row],[Ship Date]],"D")&lt;7,"On time","Delayed")</f>
        <v>On time</v>
      </c>
      <c r="F709" t="s">
        <v>1099</v>
      </c>
      <c r="G709" t="s">
        <v>14</v>
      </c>
      <c r="H709" t="s">
        <v>25</v>
      </c>
      <c r="I709" t="s">
        <v>26</v>
      </c>
      <c r="J709" t="s">
        <v>93</v>
      </c>
      <c r="K709" t="s">
        <v>1100</v>
      </c>
      <c r="L709">
        <v>12.96</v>
      </c>
      <c r="M709">
        <v>2</v>
      </c>
      <c r="N709" t="str">
        <f>IF(Walmart[[#This Row],[Quantity]]&gt;=7,"Bulk",IF(Walmart[[#This Row],[Quantity]]&gt;=2,"Multi","Single"))</f>
        <v>Multi</v>
      </c>
      <c r="O709">
        <v>6.35</v>
      </c>
      <c r="P709" t="str">
        <f>IF(Walmart[[#This Row],[Sales]]&gt;=1000,"High Value", IF(Walmart[[#This Row],[Sales]]&gt;=500,"Medium Value","Low Value"))</f>
        <v>Low Value</v>
      </c>
    </row>
    <row r="710" spans="1:16" x14ac:dyDescent="0.3">
      <c r="A710" t="s">
        <v>1254</v>
      </c>
      <c r="B710" s="1">
        <v>41900</v>
      </c>
      <c r="C710" s="1" t="str">
        <f>TEXT(Walmart[[#This Row],[Order Date]],"mmmm")</f>
        <v>September</v>
      </c>
      <c r="D710" s="1">
        <v>41904</v>
      </c>
      <c r="E710" s="1" t="str">
        <f>IF(DATEDIF(Walmart[[#This Row],[Order Date]],Walmart[[#This Row],[Ship Date]],"D")&lt;7,"On time","Delayed")</f>
        <v>On time</v>
      </c>
      <c r="F710" t="s">
        <v>1255</v>
      </c>
      <c r="G710" t="s">
        <v>14</v>
      </c>
      <c r="H710" t="s">
        <v>677</v>
      </c>
      <c r="I710" t="s">
        <v>32</v>
      </c>
      <c r="J710" t="s">
        <v>27</v>
      </c>
      <c r="K710" t="s">
        <v>1256</v>
      </c>
      <c r="L710">
        <v>10.78</v>
      </c>
      <c r="M710">
        <v>3</v>
      </c>
      <c r="N710" t="str">
        <f>IF(Walmart[[#This Row],[Quantity]]&gt;=7,"Bulk",IF(Walmart[[#This Row],[Quantity]]&gt;=2,"Multi","Single"))</f>
        <v>Multi</v>
      </c>
      <c r="O710">
        <v>3.5</v>
      </c>
      <c r="P710" t="str">
        <f>IF(Walmart[[#This Row],[Sales]]&gt;=1000,"High Value", IF(Walmart[[#This Row],[Sales]]&gt;=500,"Medium Value","Low Value"))</f>
        <v>Low Value</v>
      </c>
    </row>
    <row r="711" spans="1:16" x14ac:dyDescent="0.3">
      <c r="A711" t="s">
        <v>3496</v>
      </c>
      <c r="B711" s="1">
        <v>41900</v>
      </c>
      <c r="C711" s="1" t="str">
        <f>TEXT(Walmart[[#This Row],[Order Date]],"mmmm")</f>
        <v>September</v>
      </c>
      <c r="D711" s="1">
        <v>41903</v>
      </c>
      <c r="E711" s="1" t="str">
        <f>IF(DATEDIF(Walmart[[#This Row],[Order Date]],Walmart[[#This Row],[Ship Date]],"D")&lt;7,"On time","Delayed")</f>
        <v>On time</v>
      </c>
      <c r="F711" t="s">
        <v>1189</v>
      </c>
      <c r="G711" t="s">
        <v>14</v>
      </c>
      <c r="H711" t="s">
        <v>1762</v>
      </c>
      <c r="I711" t="s">
        <v>1438</v>
      </c>
      <c r="J711" t="s">
        <v>53</v>
      </c>
      <c r="K711" t="s">
        <v>3497</v>
      </c>
      <c r="L711">
        <v>89.97</v>
      </c>
      <c r="M711">
        <v>3</v>
      </c>
      <c r="N711" t="str">
        <f>IF(Walmart[[#This Row],[Quantity]]&gt;=7,"Bulk",IF(Walmart[[#This Row],[Quantity]]&gt;=2,"Multi","Single"))</f>
        <v>Multi</v>
      </c>
      <c r="O711">
        <v>37.79</v>
      </c>
      <c r="P711" t="str">
        <f>IF(Walmart[[#This Row],[Sales]]&gt;=1000,"High Value", IF(Walmart[[#This Row],[Sales]]&gt;=500,"Medium Value","Low Value"))</f>
        <v>Low Value</v>
      </c>
    </row>
    <row r="712" spans="1:16" hidden="1" x14ac:dyDescent="0.3">
      <c r="A712" t="s">
        <v>1915</v>
      </c>
      <c r="B712" s="1">
        <v>41142</v>
      </c>
      <c r="C712" s="1" t="str">
        <f>TEXT(Walmart[[#This Row],[Order Date]],"mmmm")</f>
        <v>August</v>
      </c>
      <c r="D712" s="1">
        <v>41147</v>
      </c>
      <c r="E712" s="1" t="str">
        <f>IF(DATEDIF(Walmart[[#This Row],[Order Date]],Walmart[[#This Row],[Ship Date]],"D")&lt;7,"On time","Delayed")</f>
        <v>On time</v>
      </c>
      <c r="F712" t="s">
        <v>1916</v>
      </c>
      <c r="G712" t="s">
        <v>14</v>
      </c>
      <c r="H712" t="s">
        <v>37</v>
      </c>
      <c r="I712" t="s">
        <v>16</v>
      </c>
      <c r="J712" t="s">
        <v>671</v>
      </c>
      <c r="K712" t="s">
        <v>1917</v>
      </c>
      <c r="L712">
        <v>586.4</v>
      </c>
      <c r="M712">
        <v>6</v>
      </c>
      <c r="N712" t="str">
        <f>IF(Walmart[[#This Row],[Quantity]]&gt;=7,"Bulk",IF(Walmart[[#This Row],[Quantity]]&gt;=2,"Multi","Single"))</f>
        <v>Multi</v>
      </c>
      <c r="O712">
        <v>34.49</v>
      </c>
      <c r="P712" t="str">
        <f>IF(Walmart[[#This Row],[Sales]]&gt;=1000,"High Value", IF(Walmart[[#This Row],[Sales]]&gt;=500,"Medium Value","Low Value"))</f>
        <v>Medium Value</v>
      </c>
    </row>
    <row r="713" spans="1:16" x14ac:dyDescent="0.3">
      <c r="A713" t="s">
        <v>171</v>
      </c>
      <c r="B713" s="1">
        <v>41899</v>
      </c>
      <c r="C713" s="1" t="str">
        <f>TEXT(Walmart[[#This Row],[Order Date]],"mmmm")</f>
        <v>September</v>
      </c>
      <c r="D713" s="1">
        <v>41900</v>
      </c>
      <c r="E713" s="1" t="str">
        <f>IF(DATEDIF(Walmart[[#This Row],[Order Date]],Walmart[[#This Row],[Ship Date]],"D")&lt;7,"On time","Delayed")</f>
        <v>On time</v>
      </c>
      <c r="F713" t="s">
        <v>172</v>
      </c>
      <c r="G713" t="s">
        <v>14</v>
      </c>
      <c r="H713" t="s">
        <v>173</v>
      </c>
      <c r="I713" t="s">
        <v>16</v>
      </c>
      <c r="J713" t="s">
        <v>93</v>
      </c>
      <c r="K713" t="s">
        <v>174</v>
      </c>
      <c r="L713">
        <v>8.82</v>
      </c>
      <c r="M713">
        <v>2</v>
      </c>
      <c r="N713" t="str">
        <f>IF(Walmart[[#This Row],[Quantity]]&gt;=7,"Bulk",IF(Walmart[[#This Row],[Quantity]]&gt;=2,"Multi","Single"))</f>
        <v>Multi</v>
      </c>
      <c r="O713">
        <v>4.0599999999999996</v>
      </c>
      <c r="P713" t="str">
        <f>IF(Walmart[[#This Row],[Sales]]&gt;=1000,"High Value", IF(Walmart[[#This Row],[Sales]]&gt;=500,"Medium Value","Low Value"))</f>
        <v>Low Value</v>
      </c>
    </row>
    <row r="714" spans="1:16" x14ac:dyDescent="0.3">
      <c r="A714" t="s">
        <v>3373</v>
      </c>
      <c r="B714" s="1">
        <v>41899</v>
      </c>
      <c r="C714" s="1" t="str">
        <f>TEXT(Walmart[[#This Row],[Order Date]],"mmmm")</f>
        <v>September</v>
      </c>
      <c r="D714" s="1">
        <v>41903</v>
      </c>
      <c r="E714" s="1" t="str">
        <f>IF(DATEDIF(Walmart[[#This Row],[Order Date]],Walmart[[#This Row],[Ship Date]],"D")&lt;7,"On time","Delayed")</f>
        <v>On time</v>
      </c>
      <c r="F714" t="s">
        <v>555</v>
      </c>
      <c r="G714" t="s">
        <v>14</v>
      </c>
      <c r="H714" t="s">
        <v>37</v>
      </c>
      <c r="I714" t="s">
        <v>16</v>
      </c>
      <c r="J714" t="s">
        <v>191</v>
      </c>
      <c r="K714" t="s">
        <v>3374</v>
      </c>
      <c r="L714">
        <v>17.899999999999999</v>
      </c>
      <c r="M714">
        <v>5</v>
      </c>
      <c r="N714" t="str">
        <f>IF(Walmart[[#This Row],[Quantity]]&gt;=7,"Bulk",IF(Walmart[[#This Row],[Quantity]]&gt;=2,"Multi","Single"))</f>
        <v>Multi</v>
      </c>
      <c r="O714">
        <v>8.77</v>
      </c>
      <c r="P714" t="str">
        <f>IF(Walmart[[#This Row],[Sales]]&gt;=1000,"High Value", IF(Walmart[[#This Row],[Sales]]&gt;=500,"Medium Value","Low Value"))</f>
        <v>Low Value</v>
      </c>
    </row>
    <row r="715" spans="1:16" x14ac:dyDescent="0.3">
      <c r="A715" t="s">
        <v>2416</v>
      </c>
      <c r="B715" s="1">
        <v>41898</v>
      </c>
      <c r="C715" s="1" t="str">
        <f>TEXT(Walmart[[#This Row],[Order Date]],"mmmm")</f>
        <v>September</v>
      </c>
      <c r="D715" s="1">
        <v>41904</v>
      </c>
      <c r="E715" s="1" t="str">
        <f>IF(DATEDIF(Walmart[[#This Row],[Order Date]],Walmart[[#This Row],[Ship Date]],"D")&lt;7,"On time","Delayed")</f>
        <v>On time</v>
      </c>
      <c r="F715" t="s">
        <v>418</v>
      </c>
      <c r="G715" t="s">
        <v>14</v>
      </c>
      <c r="H715" t="s">
        <v>15</v>
      </c>
      <c r="I715" t="s">
        <v>16</v>
      </c>
      <c r="J715" t="s">
        <v>27</v>
      </c>
      <c r="K715" t="s">
        <v>1073</v>
      </c>
      <c r="L715">
        <v>2357.4899999999998</v>
      </c>
      <c r="M715">
        <v>7</v>
      </c>
      <c r="N715" t="str">
        <f>IF(Walmart[[#This Row],[Quantity]]&gt;=7,"Bulk",IF(Walmart[[#This Row],[Quantity]]&gt;=2,"Multi","Single"))</f>
        <v>Bulk</v>
      </c>
      <c r="O715">
        <v>884.06</v>
      </c>
      <c r="P715" t="str">
        <f>IF(Walmart[[#This Row],[Sales]]&gt;=1000,"High Value", IF(Walmart[[#This Row],[Sales]]&gt;=500,"Medium Value","Low Value"))</f>
        <v>High Value</v>
      </c>
    </row>
    <row r="716" spans="1:16" hidden="1" x14ac:dyDescent="0.3">
      <c r="A716" t="s">
        <v>1925</v>
      </c>
      <c r="B716" s="1">
        <v>41123</v>
      </c>
      <c r="C716" s="1" t="str">
        <f>TEXT(Walmart[[#This Row],[Order Date]],"mmmm")</f>
        <v>August</v>
      </c>
      <c r="D716" s="1">
        <v>41127</v>
      </c>
      <c r="E716" s="1" t="str">
        <f>IF(DATEDIF(Walmart[[#This Row],[Order Date]],Walmart[[#This Row],[Ship Date]],"D")&lt;7,"On time","Delayed")</f>
        <v>On time</v>
      </c>
      <c r="F716" t="s">
        <v>1926</v>
      </c>
      <c r="G716" t="s">
        <v>14</v>
      </c>
      <c r="H716" t="s">
        <v>25</v>
      </c>
      <c r="I716" t="s">
        <v>26</v>
      </c>
      <c r="J716" t="s">
        <v>27</v>
      </c>
      <c r="K716" t="s">
        <v>1927</v>
      </c>
      <c r="L716">
        <v>6.37</v>
      </c>
      <c r="M716">
        <v>2</v>
      </c>
      <c r="N716" t="str">
        <f>IF(Walmart[[#This Row],[Quantity]]&gt;=7,"Bulk",IF(Walmart[[#This Row],[Quantity]]&gt;=2,"Multi","Single"))</f>
        <v>Multi</v>
      </c>
      <c r="O716">
        <v>2.15</v>
      </c>
      <c r="P716" t="str">
        <f>IF(Walmart[[#This Row],[Sales]]&gt;=1000,"High Value", IF(Walmart[[#This Row],[Sales]]&gt;=500,"Medium Value","Low Value"))</f>
        <v>Low Value</v>
      </c>
    </row>
    <row r="717" spans="1:16" x14ac:dyDescent="0.3">
      <c r="A717" t="s">
        <v>2563</v>
      </c>
      <c r="B717" s="1">
        <v>41898</v>
      </c>
      <c r="C717" s="1" t="str">
        <f>TEXT(Walmart[[#This Row],[Order Date]],"mmmm")</f>
        <v>September</v>
      </c>
      <c r="D717" s="1">
        <v>41902</v>
      </c>
      <c r="E717" s="1" t="str">
        <f>IF(DATEDIF(Walmart[[#This Row],[Order Date]],Walmart[[#This Row],[Ship Date]],"D")&lt;7,"On time","Delayed")</f>
        <v>On time</v>
      </c>
      <c r="F717" t="s">
        <v>791</v>
      </c>
      <c r="G717" t="s">
        <v>14</v>
      </c>
      <c r="H717" t="s">
        <v>37</v>
      </c>
      <c r="I717" t="s">
        <v>16</v>
      </c>
      <c r="J717" t="s">
        <v>88</v>
      </c>
      <c r="K717" t="s">
        <v>661</v>
      </c>
      <c r="L717">
        <v>218.35</v>
      </c>
      <c r="M717">
        <v>3</v>
      </c>
      <c r="N717" t="str">
        <f>IF(Walmart[[#This Row],[Quantity]]&gt;=7,"Bulk",IF(Walmart[[#This Row],[Quantity]]&gt;=2,"Multi","Single"))</f>
        <v>Multi</v>
      </c>
      <c r="O717">
        <v>0</v>
      </c>
      <c r="P717" t="str">
        <f>IF(Walmart[[#This Row],[Sales]]&gt;=1000,"High Value", IF(Walmart[[#This Row],[Sales]]&gt;=500,"Medium Value","Low Value"))</f>
        <v>Low Value</v>
      </c>
    </row>
    <row r="718" spans="1:16" x14ac:dyDescent="0.3">
      <c r="A718" t="s">
        <v>2944</v>
      </c>
      <c r="B718" s="1">
        <v>41898</v>
      </c>
      <c r="C718" s="1" t="str">
        <f>TEXT(Walmart[[#This Row],[Order Date]],"mmmm")</f>
        <v>September</v>
      </c>
      <c r="D718" s="1">
        <v>41903</v>
      </c>
      <c r="E718" s="1" t="str">
        <f>IF(DATEDIF(Walmart[[#This Row],[Order Date]],Walmart[[#This Row],[Ship Date]],"D")&lt;7,"On time","Delayed")</f>
        <v>On time</v>
      </c>
      <c r="F718" t="s">
        <v>973</v>
      </c>
      <c r="G718" t="s">
        <v>14</v>
      </c>
      <c r="H718" t="s">
        <v>25</v>
      </c>
      <c r="I718" t="s">
        <v>26</v>
      </c>
      <c r="J718" t="s">
        <v>38</v>
      </c>
      <c r="K718" t="s">
        <v>1881</v>
      </c>
      <c r="L718">
        <v>12.42</v>
      </c>
      <c r="M718">
        <v>3</v>
      </c>
      <c r="N718" t="str">
        <f>IF(Walmart[[#This Row],[Quantity]]&gt;=7,"Bulk",IF(Walmart[[#This Row],[Quantity]]&gt;=2,"Multi","Single"))</f>
        <v>Multi</v>
      </c>
      <c r="O718">
        <v>5.22</v>
      </c>
      <c r="P718" t="str">
        <f>IF(Walmart[[#This Row],[Sales]]&gt;=1000,"High Value", IF(Walmart[[#This Row],[Sales]]&gt;=500,"Medium Value","Low Value"))</f>
        <v>Low Value</v>
      </c>
    </row>
    <row r="719" spans="1:16" x14ac:dyDescent="0.3">
      <c r="A719" t="s">
        <v>3022</v>
      </c>
      <c r="B719" s="1">
        <v>41898</v>
      </c>
      <c r="C719" s="1" t="str">
        <f>TEXT(Walmart[[#This Row],[Order Date]],"mmmm")</f>
        <v>September</v>
      </c>
      <c r="D719" s="1">
        <v>41900</v>
      </c>
      <c r="E719" s="1" t="str">
        <f>IF(DATEDIF(Walmart[[#This Row],[Order Date]],Walmart[[#This Row],[Ship Date]],"D")&lt;7,"On time","Delayed")</f>
        <v>On time</v>
      </c>
      <c r="F719" t="s">
        <v>2362</v>
      </c>
      <c r="G719" t="s">
        <v>14</v>
      </c>
      <c r="H719" t="s">
        <v>1051</v>
      </c>
      <c r="I719" t="s">
        <v>32</v>
      </c>
      <c r="J719" t="s">
        <v>27</v>
      </c>
      <c r="K719" t="s">
        <v>2307</v>
      </c>
      <c r="L719">
        <v>295.06</v>
      </c>
      <c r="M719">
        <v>9</v>
      </c>
      <c r="N719" t="str">
        <f>IF(Walmart[[#This Row],[Quantity]]&gt;=7,"Bulk",IF(Walmart[[#This Row],[Quantity]]&gt;=2,"Multi","Single"))</f>
        <v>Bulk</v>
      </c>
      <c r="O719">
        <v>106.96</v>
      </c>
      <c r="P719" t="str">
        <f>IF(Walmart[[#This Row],[Sales]]&gt;=1000,"High Value", IF(Walmart[[#This Row],[Sales]]&gt;=500,"Medium Value","Low Value"))</f>
        <v>Low Value</v>
      </c>
    </row>
    <row r="720" spans="1:16" hidden="1" x14ac:dyDescent="0.3">
      <c r="A720" t="s">
        <v>1933</v>
      </c>
      <c r="B720" s="1">
        <v>41284</v>
      </c>
      <c r="C720" s="1" t="str">
        <f>TEXT(Walmart[[#This Row],[Order Date]],"mmmm")</f>
        <v>January</v>
      </c>
      <c r="D720" s="1">
        <v>41291</v>
      </c>
      <c r="E720" s="1" t="str">
        <f>IF(DATEDIF(Walmart[[#This Row],[Order Date]],Walmart[[#This Row],[Ship Date]],"D")&lt;7,"On time","Delayed")</f>
        <v>Delayed</v>
      </c>
      <c r="F720" t="s">
        <v>1782</v>
      </c>
      <c r="G720" t="s">
        <v>14</v>
      </c>
      <c r="H720" t="s">
        <v>25</v>
      </c>
      <c r="I720" t="s">
        <v>26</v>
      </c>
      <c r="J720" t="s">
        <v>21</v>
      </c>
      <c r="K720" t="s">
        <v>1249</v>
      </c>
      <c r="L720">
        <v>79.92</v>
      </c>
      <c r="M720">
        <v>4</v>
      </c>
      <c r="N720" t="str">
        <f>IF(Walmart[[#This Row],[Quantity]]&gt;=7,"Bulk",IF(Walmart[[#This Row],[Quantity]]&gt;=2,"Multi","Single"))</f>
        <v>Multi</v>
      </c>
      <c r="O720">
        <v>34.369999999999997</v>
      </c>
      <c r="P720" t="str">
        <f>IF(Walmart[[#This Row],[Sales]]&gt;=1000,"High Value", IF(Walmart[[#This Row],[Sales]]&gt;=500,"Medium Value","Low Value"))</f>
        <v>Low Value</v>
      </c>
    </row>
    <row r="721" spans="1:16" hidden="1" x14ac:dyDescent="0.3">
      <c r="A721" t="s">
        <v>1934</v>
      </c>
      <c r="B721" s="1">
        <v>40616</v>
      </c>
      <c r="C721" s="1" t="str">
        <f>TEXT(Walmart[[#This Row],[Order Date]],"mmmm")</f>
        <v>March</v>
      </c>
      <c r="D721" s="1">
        <v>40621</v>
      </c>
      <c r="E721" s="1" t="str">
        <f>IF(DATEDIF(Walmart[[#This Row],[Order Date]],Walmart[[#This Row],[Ship Date]],"D")&lt;7,"On time","Delayed")</f>
        <v>On time</v>
      </c>
      <c r="F721" t="s">
        <v>1248</v>
      </c>
      <c r="G721" t="s">
        <v>14</v>
      </c>
      <c r="H721" t="s">
        <v>1935</v>
      </c>
      <c r="I721" t="s">
        <v>32</v>
      </c>
      <c r="J721" t="s">
        <v>27</v>
      </c>
      <c r="K721" t="s">
        <v>1554</v>
      </c>
      <c r="L721">
        <v>33.090000000000003</v>
      </c>
      <c r="M721">
        <v>4</v>
      </c>
      <c r="N721" t="str">
        <f>IF(Walmart[[#This Row],[Quantity]]&gt;=7,"Bulk",IF(Walmart[[#This Row],[Quantity]]&gt;=2,"Multi","Single"))</f>
        <v>Multi</v>
      </c>
      <c r="O721">
        <v>11.17</v>
      </c>
      <c r="P721" t="str">
        <f>IF(Walmart[[#This Row],[Sales]]&gt;=1000,"High Value", IF(Walmart[[#This Row],[Sales]]&gt;=500,"Medium Value","Low Value"))</f>
        <v>Low Value</v>
      </c>
    </row>
    <row r="722" spans="1:16" hidden="1" x14ac:dyDescent="0.3">
      <c r="A722" t="s">
        <v>1936</v>
      </c>
      <c r="B722" s="1">
        <v>40897</v>
      </c>
      <c r="C722" s="1" t="str">
        <f>TEXT(Walmart[[#This Row],[Order Date]],"mmmm")</f>
        <v>December</v>
      </c>
      <c r="D722" s="1">
        <v>40899</v>
      </c>
      <c r="E722" s="1" t="str">
        <f>IF(DATEDIF(Walmart[[#This Row],[Order Date]],Walmart[[#This Row],[Ship Date]],"D")&lt;7,"On time","Delayed")</f>
        <v>On time</v>
      </c>
      <c r="F722" t="s">
        <v>1272</v>
      </c>
      <c r="G722" t="s">
        <v>14</v>
      </c>
      <c r="H722" t="s">
        <v>215</v>
      </c>
      <c r="I722" t="s">
        <v>58</v>
      </c>
      <c r="J722" t="s">
        <v>21</v>
      </c>
      <c r="K722" t="s">
        <v>1286</v>
      </c>
      <c r="L722">
        <v>51.97</v>
      </c>
      <c r="M722">
        <v>2</v>
      </c>
      <c r="N722" t="str">
        <f>IF(Walmart[[#This Row],[Quantity]]&gt;=7,"Bulk",IF(Walmart[[#This Row],[Quantity]]&gt;=2,"Multi","Single"))</f>
        <v>Multi</v>
      </c>
      <c r="O722">
        <v>10.39</v>
      </c>
      <c r="P722" t="str">
        <f>IF(Walmart[[#This Row],[Sales]]&gt;=1000,"High Value", IF(Walmart[[#This Row],[Sales]]&gt;=500,"Medium Value","Low Value"))</f>
        <v>Low Value</v>
      </c>
    </row>
    <row r="723" spans="1:16" x14ac:dyDescent="0.3">
      <c r="A723" t="s">
        <v>3196</v>
      </c>
      <c r="B723" s="1">
        <v>41898</v>
      </c>
      <c r="C723" s="1" t="str">
        <f>TEXT(Walmart[[#This Row],[Order Date]],"mmmm")</f>
        <v>September</v>
      </c>
      <c r="D723" s="1">
        <v>41900</v>
      </c>
      <c r="E723" s="1" t="str">
        <f>IF(DATEDIF(Walmart[[#This Row],[Order Date]],Walmart[[#This Row],[Ship Date]],"D")&lt;7,"On time","Delayed")</f>
        <v>On time</v>
      </c>
      <c r="F723" t="s">
        <v>782</v>
      </c>
      <c r="G723" t="s">
        <v>14</v>
      </c>
      <c r="H723" t="s">
        <v>37</v>
      </c>
      <c r="I723" t="s">
        <v>16</v>
      </c>
      <c r="J723" t="s">
        <v>43</v>
      </c>
      <c r="K723" t="s">
        <v>2601</v>
      </c>
      <c r="L723">
        <v>300.89999999999998</v>
      </c>
      <c r="M723">
        <v>1</v>
      </c>
      <c r="N723" t="str">
        <f>IF(Walmart[[#This Row],[Quantity]]&gt;=7,"Bulk",IF(Walmart[[#This Row],[Quantity]]&gt;=2,"Multi","Single"))</f>
        <v>Single</v>
      </c>
      <c r="O723">
        <v>11.28</v>
      </c>
      <c r="P723" t="str">
        <f>IF(Walmart[[#This Row],[Sales]]&gt;=1000,"High Value", IF(Walmart[[#This Row],[Sales]]&gt;=500,"Medium Value","Low Value"))</f>
        <v>Low Value</v>
      </c>
    </row>
    <row r="724" spans="1:16" x14ac:dyDescent="0.3">
      <c r="A724" t="s">
        <v>2488</v>
      </c>
      <c r="B724" s="1">
        <v>41897</v>
      </c>
      <c r="C724" s="1" t="str">
        <f>TEXT(Walmart[[#This Row],[Order Date]],"mmmm")</f>
        <v>September</v>
      </c>
      <c r="D724" s="1">
        <v>41901</v>
      </c>
      <c r="E724" s="1" t="str">
        <f>IF(DATEDIF(Walmart[[#This Row],[Order Date]],Walmart[[#This Row],[Ship Date]],"D")&lt;7,"On time","Delayed")</f>
        <v>On time</v>
      </c>
      <c r="F724" t="s">
        <v>2290</v>
      </c>
      <c r="G724" t="s">
        <v>14</v>
      </c>
      <c r="H724" t="s">
        <v>15</v>
      </c>
      <c r="I724" t="s">
        <v>16</v>
      </c>
      <c r="J724" t="s">
        <v>17</v>
      </c>
      <c r="K724" t="s">
        <v>2489</v>
      </c>
      <c r="L724">
        <v>56.7</v>
      </c>
      <c r="M724">
        <v>9</v>
      </c>
      <c r="N724" t="str">
        <f>IF(Walmart[[#This Row],[Quantity]]&gt;=7,"Bulk",IF(Walmart[[#This Row],[Quantity]]&gt;=2,"Multi","Single"))</f>
        <v>Bulk</v>
      </c>
      <c r="O724">
        <v>26.08</v>
      </c>
      <c r="P724" t="str">
        <f>IF(Walmart[[#This Row],[Sales]]&gt;=1000,"High Value", IF(Walmart[[#This Row],[Sales]]&gt;=500,"Medium Value","Low Value"))</f>
        <v>Low Value</v>
      </c>
    </row>
    <row r="725" spans="1:16" hidden="1" x14ac:dyDescent="0.3">
      <c r="A725" t="s">
        <v>1941</v>
      </c>
      <c r="B725" s="1">
        <v>41041</v>
      </c>
      <c r="C725" s="1" t="str">
        <f>TEXT(Walmart[[#This Row],[Order Date]],"mmmm")</f>
        <v>May</v>
      </c>
      <c r="D725" s="1">
        <v>41045</v>
      </c>
      <c r="E725" s="1" t="str">
        <f>IF(DATEDIF(Walmart[[#This Row],[Order Date]],Walmart[[#This Row],[Ship Date]],"D")&lt;7,"On time","Delayed")</f>
        <v>On time</v>
      </c>
      <c r="F725" t="s">
        <v>588</v>
      </c>
      <c r="G725" t="s">
        <v>14</v>
      </c>
      <c r="H725" t="s">
        <v>247</v>
      </c>
      <c r="I725" t="s">
        <v>77</v>
      </c>
      <c r="J725" t="s">
        <v>146</v>
      </c>
      <c r="K725" t="s">
        <v>1942</v>
      </c>
      <c r="L725">
        <v>201.58</v>
      </c>
      <c r="M725">
        <v>2</v>
      </c>
      <c r="N725" t="str">
        <f>IF(Walmart[[#This Row],[Quantity]]&gt;=7,"Bulk",IF(Walmart[[#This Row],[Quantity]]&gt;=2,"Multi","Single"))</f>
        <v>Multi</v>
      </c>
      <c r="O725">
        <v>20.16</v>
      </c>
      <c r="P725" t="str">
        <f>IF(Walmart[[#This Row],[Sales]]&gt;=1000,"High Value", IF(Walmart[[#This Row],[Sales]]&gt;=500,"Medium Value","Low Value"))</f>
        <v>Low Value</v>
      </c>
    </row>
    <row r="726" spans="1:16" x14ac:dyDescent="0.3">
      <c r="A726" t="s">
        <v>738</v>
      </c>
      <c r="B726" s="1">
        <v>41895</v>
      </c>
      <c r="C726" s="1" t="str">
        <f>TEXT(Walmart[[#This Row],[Order Date]],"mmmm")</f>
        <v>September</v>
      </c>
      <c r="D726" s="1">
        <v>41898</v>
      </c>
      <c r="E726" s="1" t="str">
        <f>IF(DATEDIF(Walmart[[#This Row],[Order Date]],Walmart[[#This Row],[Ship Date]],"D")&lt;7,"On time","Delayed")</f>
        <v>On time</v>
      </c>
      <c r="F726" t="s">
        <v>739</v>
      </c>
      <c r="G726" t="s">
        <v>14</v>
      </c>
      <c r="H726" t="s">
        <v>15</v>
      </c>
      <c r="I726" t="s">
        <v>16</v>
      </c>
      <c r="J726" t="s">
        <v>21</v>
      </c>
      <c r="K726" t="s">
        <v>740</v>
      </c>
      <c r="L726">
        <v>8.36</v>
      </c>
      <c r="M726">
        <v>2</v>
      </c>
      <c r="N726" t="str">
        <f>IF(Walmart[[#This Row],[Quantity]]&gt;=7,"Bulk",IF(Walmart[[#This Row],[Quantity]]&gt;=2,"Multi","Single"))</f>
        <v>Multi</v>
      </c>
      <c r="O726">
        <v>3.01</v>
      </c>
      <c r="P726" t="str">
        <f>IF(Walmart[[#This Row],[Sales]]&gt;=1000,"High Value", IF(Walmart[[#This Row],[Sales]]&gt;=500,"Medium Value","Low Value"))</f>
        <v>Low Value</v>
      </c>
    </row>
    <row r="727" spans="1:16" hidden="1" x14ac:dyDescent="0.3">
      <c r="A727" t="s">
        <v>1945</v>
      </c>
      <c r="B727" s="1">
        <v>41192</v>
      </c>
      <c r="C727" s="1" t="str">
        <f>TEXT(Walmart[[#This Row],[Order Date]],"mmmm")</f>
        <v>October</v>
      </c>
      <c r="D727" s="1">
        <v>41193</v>
      </c>
      <c r="E727" s="1" t="str">
        <f>IF(DATEDIF(Walmart[[#This Row],[Order Date]],Walmart[[#This Row],[Ship Date]],"D")&lt;7,"On time","Delayed")</f>
        <v>On time</v>
      </c>
      <c r="F727" t="s">
        <v>1946</v>
      </c>
      <c r="G727" t="s">
        <v>14</v>
      </c>
      <c r="H727" t="s">
        <v>37</v>
      </c>
      <c r="I727" t="s">
        <v>16</v>
      </c>
      <c r="J727" t="s">
        <v>93</v>
      </c>
      <c r="K727" t="s">
        <v>482</v>
      </c>
      <c r="L727">
        <v>45.36</v>
      </c>
      <c r="M727">
        <v>7</v>
      </c>
      <c r="N727" t="str">
        <f>IF(Walmart[[#This Row],[Quantity]]&gt;=7,"Bulk",IF(Walmart[[#This Row],[Quantity]]&gt;=2,"Multi","Single"))</f>
        <v>Bulk</v>
      </c>
      <c r="O727">
        <v>21.77</v>
      </c>
      <c r="P727" t="str">
        <f>IF(Walmart[[#This Row],[Sales]]&gt;=1000,"High Value", IF(Walmart[[#This Row],[Sales]]&gt;=500,"Medium Value","Low Value"))</f>
        <v>Low Value</v>
      </c>
    </row>
    <row r="728" spans="1:16" hidden="1" x14ac:dyDescent="0.3">
      <c r="A728" t="s">
        <v>1947</v>
      </c>
      <c r="B728" s="1">
        <v>41017</v>
      </c>
      <c r="C728" s="1" t="str">
        <f>TEXT(Walmart[[#This Row],[Order Date]],"mmmm")</f>
        <v>April</v>
      </c>
      <c r="D728" s="1">
        <v>41019</v>
      </c>
      <c r="E728" s="1" t="str">
        <f>IF(DATEDIF(Walmart[[#This Row],[Order Date]],Walmart[[#This Row],[Ship Date]],"D")&lt;7,"On time","Delayed")</f>
        <v>On time</v>
      </c>
      <c r="F728" t="s">
        <v>1948</v>
      </c>
      <c r="G728" t="s">
        <v>14</v>
      </c>
      <c r="H728" t="s">
        <v>15</v>
      </c>
      <c r="I728" t="s">
        <v>16</v>
      </c>
      <c r="J728" t="s">
        <v>33</v>
      </c>
      <c r="K728" t="s">
        <v>1949</v>
      </c>
      <c r="L728">
        <v>947.17</v>
      </c>
      <c r="M728">
        <v>7</v>
      </c>
      <c r="N728" t="str">
        <f>IF(Walmart[[#This Row],[Quantity]]&gt;=7,"Bulk",IF(Walmart[[#This Row],[Quantity]]&gt;=2,"Multi","Single"))</f>
        <v>Bulk</v>
      </c>
      <c r="O728">
        <v>9.4700000000000006</v>
      </c>
      <c r="P728" t="str">
        <f>IF(Walmart[[#This Row],[Sales]]&gt;=1000,"High Value", IF(Walmart[[#This Row],[Sales]]&gt;=500,"Medium Value","Low Value"))</f>
        <v>Medium Value</v>
      </c>
    </row>
    <row r="729" spans="1:16" x14ac:dyDescent="0.3">
      <c r="A729" t="s">
        <v>2127</v>
      </c>
      <c r="B729" s="1">
        <v>41895</v>
      </c>
      <c r="C729" s="1" t="str">
        <f>TEXT(Walmart[[#This Row],[Order Date]],"mmmm")</f>
        <v>September</v>
      </c>
      <c r="D729" s="1">
        <v>41900</v>
      </c>
      <c r="E729" s="1" t="str">
        <f>IF(DATEDIF(Walmart[[#This Row],[Order Date]],Walmart[[#This Row],[Ship Date]],"D")&lt;7,"On time","Delayed")</f>
        <v>On time</v>
      </c>
      <c r="F729" t="s">
        <v>1225</v>
      </c>
      <c r="G729" t="s">
        <v>14</v>
      </c>
      <c r="H729" t="s">
        <v>15</v>
      </c>
      <c r="I729" t="s">
        <v>16</v>
      </c>
      <c r="J729" t="s">
        <v>93</v>
      </c>
      <c r="K729" t="s">
        <v>941</v>
      </c>
      <c r="L729">
        <v>166.44</v>
      </c>
      <c r="M729">
        <v>3</v>
      </c>
      <c r="N729" t="str">
        <f>IF(Walmart[[#This Row],[Quantity]]&gt;=7,"Bulk",IF(Walmart[[#This Row],[Quantity]]&gt;=2,"Multi","Single"))</f>
        <v>Multi</v>
      </c>
      <c r="O729">
        <v>79.89</v>
      </c>
      <c r="P729" t="str">
        <f>IF(Walmart[[#This Row],[Sales]]&gt;=1000,"High Value", IF(Walmart[[#This Row],[Sales]]&gt;=500,"Medium Value","Low Value"))</f>
        <v>Low Value</v>
      </c>
    </row>
    <row r="730" spans="1:16" hidden="1" x14ac:dyDescent="0.3">
      <c r="A730" t="s">
        <v>1951</v>
      </c>
      <c r="B730" s="1">
        <v>40854</v>
      </c>
      <c r="C730" s="1" t="str">
        <f>TEXT(Walmart[[#This Row],[Order Date]],"mmmm")</f>
        <v>November</v>
      </c>
      <c r="D730" s="1">
        <v>40859</v>
      </c>
      <c r="E730" s="1" t="str">
        <f>IF(DATEDIF(Walmart[[#This Row],[Order Date]],Walmart[[#This Row],[Ship Date]],"D")&lt;7,"On time","Delayed")</f>
        <v>On time</v>
      </c>
      <c r="F730" t="s">
        <v>1952</v>
      </c>
      <c r="G730" t="s">
        <v>14</v>
      </c>
      <c r="H730" t="s">
        <v>37</v>
      </c>
      <c r="I730" t="s">
        <v>16</v>
      </c>
      <c r="J730" t="s">
        <v>27</v>
      </c>
      <c r="K730" t="s">
        <v>653</v>
      </c>
      <c r="L730">
        <v>123.14</v>
      </c>
      <c r="M730">
        <v>7</v>
      </c>
      <c r="N730" t="str">
        <f>IF(Walmart[[#This Row],[Quantity]]&gt;=7,"Bulk",IF(Walmart[[#This Row],[Quantity]]&gt;=2,"Multi","Single"))</f>
        <v>Bulk</v>
      </c>
      <c r="O730">
        <v>46.18</v>
      </c>
      <c r="P730" t="str">
        <f>IF(Walmart[[#This Row],[Sales]]&gt;=1000,"High Value", IF(Walmart[[#This Row],[Sales]]&gt;=500,"Medium Value","Low Value"))</f>
        <v>Low Value</v>
      </c>
    </row>
    <row r="731" spans="1:16" hidden="1" x14ac:dyDescent="0.3">
      <c r="A731" t="s">
        <v>1953</v>
      </c>
      <c r="B731" s="1">
        <v>40997</v>
      </c>
      <c r="C731" s="1" t="str">
        <f>TEXT(Walmart[[#This Row],[Order Date]],"mmmm")</f>
        <v>March</v>
      </c>
      <c r="D731" s="1">
        <v>40999</v>
      </c>
      <c r="E731" s="1" t="str">
        <f>IF(DATEDIF(Walmart[[#This Row],[Order Date]],Walmart[[#This Row],[Ship Date]],"D")&lt;7,"On time","Delayed")</f>
        <v>On time</v>
      </c>
      <c r="F731" t="s">
        <v>1954</v>
      </c>
      <c r="G731" t="s">
        <v>14</v>
      </c>
      <c r="H731" t="s">
        <v>160</v>
      </c>
      <c r="I731" t="s">
        <v>16</v>
      </c>
      <c r="J731" t="s">
        <v>93</v>
      </c>
      <c r="K731" t="s">
        <v>1955</v>
      </c>
      <c r="L731">
        <v>212.64</v>
      </c>
      <c r="M731">
        <v>6</v>
      </c>
      <c r="N731" t="str">
        <f>IF(Walmart[[#This Row],[Quantity]]&gt;=7,"Bulk",IF(Walmart[[#This Row],[Quantity]]&gt;=2,"Multi","Single"))</f>
        <v>Multi</v>
      </c>
      <c r="O731">
        <v>99.94</v>
      </c>
      <c r="P731" t="str">
        <f>IF(Walmart[[#This Row],[Sales]]&gt;=1000,"High Value", IF(Walmart[[#This Row],[Sales]]&gt;=500,"Medium Value","Low Value"))</f>
        <v>Low Value</v>
      </c>
    </row>
    <row r="732" spans="1:16" hidden="1" x14ac:dyDescent="0.3">
      <c r="A732" t="s">
        <v>1956</v>
      </c>
      <c r="B732" s="1">
        <v>40957</v>
      </c>
      <c r="C732" s="1" t="str">
        <f>TEXT(Walmart[[#This Row],[Order Date]],"mmmm")</f>
        <v>February</v>
      </c>
      <c r="D732" s="1">
        <v>40963</v>
      </c>
      <c r="E732" s="1" t="str">
        <f>IF(DATEDIF(Walmart[[#This Row],[Order Date]],Walmart[[#This Row],[Ship Date]],"D")&lt;7,"On time","Delayed")</f>
        <v>On time</v>
      </c>
      <c r="F732" t="s">
        <v>1590</v>
      </c>
      <c r="G732" t="s">
        <v>14</v>
      </c>
      <c r="H732" t="s">
        <v>190</v>
      </c>
      <c r="I732" t="s">
        <v>16</v>
      </c>
      <c r="J732" t="s">
        <v>17</v>
      </c>
      <c r="K732" t="s">
        <v>1957</v>
      </c>
      <c r="L732">
        <v>61.06</v>
      </c>
      <c r="M732">
        <v>2</v>
      </c>
      <c r="N732" t="str">
        <f>IF(Walmart[[#This Row],[Quantity]]&gt;=7,"Bulk",IF(Walmart[[#This Row],[Quantity]]&gt;=2,"Multi","Single"))</f>
        <v>Multi</v>
      </c>
      <c r="O732">
        <v>28.09</v>
      </c>
      <c r="P732" t="str">
        <f>IF(Walmart[[#This Row],[Sales]]&gt;=1000,"High Value", IF(Walmart[[#This Row],[Sales]]&gt;=500,"Medium Value","Low Value"))</f>
        <v>Low Value</v>
      </c>
    </row>
    <row r="733" spans="1:16" x14ac:dyDescent="0.3">
      <c r="A733" t="s">
        <v>1432</v>
      </c>
      <c r="B733" s="1">
        <v>41894</v>
      </c>
      <c r="C733" s="1" t="str">
        <f>TEXT(Walmart[[#This Row],[Order Date]],"mmmm")</f>
        <v>September</v>
      </c>
      <c r="D733" s="1">
        <v>41895</v>
      </c>
      <c r="E733" s="1" t="str">
        <f>IF(DATEDIF(Walmart[[#This Row],[Order Date]],Walmart[[#This Row],[Ship Date]],"D")&lt;7,"On time","Delayed")</f>
        <v>On time</v>
      </c>
      <c r="F733" t="s">
        <v>1043</v>
      </c>
      <c r="G733" t="s">
        <v>14</v>
      </c>
      <c r="H733" t="s">
        <v>190</v>
      </c>
      <c r="I733" t="s">
        <v>16</v>
      </c>
      <c r="J733" t="s">
        <v>93</v>
      </c>
      <c r="K733" t="s">
        <v>1433</v>
      </c>
      <c r="L733">
        <v>12.96</v>
      </c>
      <c r="M733">
        <v>2</v>
      </c>
      <c r="N733" t="str">
        <f>IF(Walmart[[#This Row],[Quantity]]&gt;=7,"Bulk",IF(Walmart[[#This Row],[Quantity]]&gt;=2,"Multi","Single"))</f>
        <v>Multi</v>
      </c>
      <c r="O733">
        <v>6.22</v>
      </c>
      <c r="P733" t="str">
        <f>IF(Walmart[[#This Row],[Sales]]&gt;=1000,"High Value", IF(Walmart[[#This Row],[Sales]]&gt;=500,"Medium Value","Low Value"))</f>
        <v>Low Value</v>
      </c>
    </row>
    <row r="734" spans="1:16" hidden="1" x14ac:dyDescent="0.3">
      <c r="A734" t="s">
        <v>1961</v>
      </c>
      <c r="B734" s="1">
        <v>41337</v>
      </c>
      <c r="C734" s="1" t="str">
        <f>TEXT(Walmart[[#This Row],[Order Date]],"mmmm")</f>
        <v>March</v>
      </c>
      <c r="D734" s="1">
        <v>41337</v>
      </c>
      <c r="E734" s="1" t="str">
        <f>IF(DATEDIF(Walmart[[#This Row],[Order Date]],Walmart[[#This Row],[Ship Date]],"D")&lt;7,"On time","Delayed")</f>
        <v>On time</v>
      </c>
      <c r="F734" t="s">
        <v>1962</v>
      </c>
      <c r="G734" t="s">
        <v>14</v>
      </c>
      <c r="H734" t="s">
        <v>37</v>
      </c>
      <c r="I734" t="s">
        <v>16</v>
      </c>
      <c r="J734" t="s">
        <v>334</v>
      </c>
      <c r="K734" t="s">
        <v>1613</v>
      </c>
      <c r="L734">
        <v>25.35</v>
      </c>
      <c r="M734">
        <v>3</v>
      </c>
      <c r="N734" t="str">
        <f>IF(Walmart[[#This Row],[Quantity]]&gt;=7,"Bulk",IF(Walmart[[#This Row],[Quantity]]&gt;=2,"Multi","Single"))</f>
        <v>Multi</v>
      </c>
      <c r="O734">
        <v>7.61</v>
      </c>
      <c r="P734" t="str">
        <f>IF(Walmart[[#This Row],[Sales]]&gt;=1000,"High Value", IF(Walmart[[#This Row],[Sales]]&gt;=500,"Medium Value","Low Value"))</f>
        <v>Low Value</v>
      </c>
    </row>
    <row r="735" spans="1:16" hidden="1" x14ac:dyDescent="0.3">
      <c r="A735" t="s">
        <v>1963</v>
      </c>
      <c r="B735" s="1">
        <v>41633</v>
      </c>
      <c r="C735" s="1" t="str">
        <f>TEXT(Walmart[[#This Row],[Order Date]],"mmmm")</f>
        <v>December</v>
      </c>
      <c r="D735" s="1">
        <v>41634</v>
      </c>
      <c r="E735" s="1" t="str">
        <f>IF(DATEDIF(Walmart[[#This Row],[Order Date]],Walmart[[#This Row],[Ship Date]],"D")&lt;7,"On time","Delayed")</f>
        <v>On time</v>
      </c>
      <c r="F735" t="s">
        <v>1964</v>
      </c>
      <c r="G735" t="s">
        <v>14</v>
      </c>
      <c r="H735" t="s">
        <v>25</v>
      </c>
      <c r="I735" t="s">
        <v>26</v>
      </c>
      <c r="J735" t="s">
        <v>93</v>
      </c>
      <c r="K735" t="s">
        <v>642</v>
      </c>
      <c r="L735">
        <v>33.4</v>
      </c>
      <c r="M735">
        <v>5</v>
      </c>
      <c r="N735" t="str">
        <f>IF(Walmart[[#This Row],[Quantity]]&gt;=7,"Bulk",IF(Walmart[[#This Row],[Quantity]]&gt;=2,"Multi","Single"))</f>
        <v>Multi</v>
      </c>
      <c r="O735">
        <v>16.03</v>
      </c>
      <c r="P735" t="str">
        <f>IF(Walmart[[#This Row],[Sales]]&gt;=1000,"High Value", IF(Walmart[[#This Row],[Sales]]&gt;=500,"Medium Value","Low Value"))</f>
        <v>Low Value</v>
      </c>
    </row>
    <row r="736" spans="1:16" hidden="1" x14ac:dyDescent="0.3">
      <c r="A736" t="s">
        <v>1965</v>
      </c>
      <c r="B736" s="1">
        <v>41555</v>
      </c>
      <c r="C736" s="1" t="str">
        <f>TEXT(Walmart[[#This Row],[Order Date]],"mmmm")</f>
        <v>October</v>
      </c>
      <c r="D736" s="1">
        <v>41557</v>
      </c>
      <c r="E736" s="1" t="str">
        <f>IF(DATEDIF(Walmart[[#This Row],[Order Date]],Walmart[[#This Row],[Ship Date]],"D")&lt;7,"On time","Delayed")</f>
        <v>On time</v>
      </c>
      <c r="F736" t="s">
        <v>574</v>
      </c>
      <c r="G736" t="s">
        <v>14</v>
      </c>
      <c r="H736" t="s">
        <v>909</v>
      </c>
      <c r="I736" t="s">
        <v>26</v>
      </c>
      <c r="J736" t="s">
        <v>1168</v>
      </c>
      <c r="K736" t="s">
        <v>1456</v>
      </c>
      <c r="L736">
        <v>837.6</v>
      </c>
      <c r="M736">
        <v>3</v>
      </c>
      <c r="N736" t="str">
        <f>IF(Walmart[[#This Row],[Quantity]]&gt;=7,"Bulk",IF(Walmart[[#This Row],[Quantity]]&gt;=2,"Multi","Single"))</f>
        <v>Multi</v>
      </c>
      <c r="O736">
        <v>62.82</v>
      </c>
      <c r="P736" t="str">
        <f>IF(Walmart[[#This Row],[Sales]]&gt;=1000,"High Value", IF(Walmart[[#This Row],[Sales]]&gt;=500,"Medium Value","Low Value"))</f>
        <v>Medium Value</v>
      </c>
    </row>
    <row r="737" spans="1:16" hidden="1" x14ac:dyDescent="0.3">
      <c r="A737" t="s">
        <v>1966</v>
      </c>
      <c r="B737" s="1">
        <v>40803</v>
      </c>
      <c r="C737" s="1" t="str">
        <f>TEXT(Walmart[[#This Row],[Order Date]],"mmmm")</f>
        <v>September</v>
      </c>
      <c r="D737" s="1">
        <v>40807</v>
      </c>
      <c r="E737" s="1" t="str">
        <f>IF(DATEDIF(Walmart[[#This Row],[Order Date]],Walmart[[#This Row],[Ship Date]],"D")&lt;7,"On time","Delayed")</f>
        <v>On time</v>
      </c>
      <c r="F737" t="s">
        <v>1967</v>
      </c>
      <c r="G737" t="s">
        <v>14</v>
      </c>
      <c r="H737" t="s">
        <v>1644</v>
      </c>
      <c r="I737" t="s">
        <v>16</v>
      </c>
      <c r="J737" t="s">
        <v>124</v>
      </c>
      <c r="K737" t="s">
        <v>1968</v>
      </c>
      <c r="L737">
        <v>182.94</v>
      </c>
      <c r="M737">
        <v>3</v>
      </c>
      <c r="N737" t="str">
        <f>IF(Walmart[[#This Row],[Quantity]]&gt;=7,"Bulk",IF(Walmart[[#This Row],[Quantity]]&gt;=2,"Multi","Single"))</f>
        <v>Multi</v>
      </c>
      <c r="O737">
        <v>85.98</v>
      </c>
      <c r="P737" t="str">
        <f>IF(Walmart[[#This Row],[Sales]]&gt;=1000,"High Value", IF(Walmart[[#This Row],[Sales]]&gt;=500,"Medium Value","Low Value"))</f>
        <v>Low Value</v>
      </c>
    </row>
    <row r="738" spans="1:16" x14ac:dyDescent="0.3">
      <c r="A738" t="s">
        <v>2152</v>
      </c>
      <c r="B738" s="1">
        <v>41894</v>
      </c>
      <c r="C738" s="1" t="str">
        <f>TEXT(Walmart[[#This Row],[Order Date]],"mmmm")</f>
        <v>September</v>
      </c>
      <c r="D738" s="1">
        <v>41894</v>
      </c>
      <c r="E738" s="1" t="str">
        <f>IF(DATEDIF(Walmart[[#This Row],[Order Date]],Walmart[[#This Row],[Ship Date]],"D")&lt;7,"On time","Delayed")</f>
        <v>On time</v>
      </c>
      <c r="F738" t="s">
        <v>2153</v>
      </c>
      <c r="G738" t="s">
        <v>14</v>
      </c>
      <c r="H738" t="s">
        <v>37</v>
      </c>
      <c r="I738" t="s">
        <v>16</v>
      </c>
      <c r="J738" t="s">
        <v>21</v>
      </c>
      <c r="K738" t="s">
        <v>2154</v>
      </c>
      <c r="L738">
        <v>32.36</v>
      </c>
      <c r="M738">
        <v>4</v>
      </c>
      <c r="N738" t="str">
        <f>IF(Walmart[[#This Row],[Quantity]]&gt;=7,"Bulk",IF(Walmart[[#This Row],[Quantity]]&gt;=2,"Multi","Single"))</f>
        <v>Multi</v>
      </c>
      <c r="O738">
        <v>11.65</v>
      </c>
      <c r="P738" t="str">
        <f>IF(Walmart[[#This Row],[Sales]]&gt;=1000,"High Value", IF(Walmart[[#This Row],[Sales]]&gt;=500,"Medium Value","Low Value"))</f>
        <v>Low Value</v>
      </c>
    </row>
    <row r="739" spans="1:16" hidden="1" x14ac:dyDescent="0.3">
      <c r="A739" t="s">
        <v>1971</v>
      </c>
      <c r="B739" s="1">
        <v>41537</v>
      </c>
      <c r="C739" s="1" t="str">
        <f>TEXT(Walmart[[#This Row],[Order Date]],"mmmm")</f>
        <v>September</v>
      </c>
      <c r="D739" s="1">
        <v>41542</v>
      </c>
      <c r="E739" s="1" t="str">
        <f>IF(DATEDIF(Walmart[[#This Row],[Order Date]],Walmart[[#This Row],[Ship Date]],"D")&lt;7,"On time","Delayed")</f>
        <v>On time</v>
      </c>
      <c r="F739" t="s">
        <v>625</v>
      </c>
      <c r="G739" t="s">
        <v>14</v>
      </c>
      <c r="H739" t="s">
        <v>37</v>
      </c>
      <c r="I739" t="s">
        <v>16</v>
      </c>
      <c r="J739" t="s">
        <v>27</v>
      </c>
      <c r="K739" t="s">
        <v>382</v>
      </c>
      <c r="L739">
        <v>11.95</v>
      </c>
      <c r="M739">
        <v>3</v>
      </c>
      <c r="N739" t="str">
        <f>IF(Walmart[[#This Row],[Quantity]]&gt;=7,"Bulk",IF(Walmart[[#This Row],[Quantity]]&gt;=2,"Multi","Single"))</f>
        <v>Multi</v>
      </c>
      <c r="O739">
        <v>4.18</v>
      </c>
      <c r="P739" t="str">
        <f>IF(Walmart[[#This Row],[Sales]]&gt;=1000,"High Value", IF(Walmart[[#This Row],[Sales]]&gt;=500,"Medium Value","Low Value"))</f>
        <v>Low Value</v>
      </c>
    </row>
    <row r="740" spans="1:16" hidden="1" x14ac:dyDescent="0.3">
      <c r="A740" t="s">
        <v>1972</v>
      </c>
      <c r="B740" s="1">
        <v>40847</v>
      </c>
      <c r="C740" s="1" t="str">
        <f>TEXT(Walmart[[#This Row],[Order Date]],"mmmm")</f>
        <v>October</v>
      </c>
      <c r="D740" s="1">
        <v>40850</v>
      </c>
      <c r="E740" s="1" t="str">
        <f>IF(DATEDIF(Walmart[[#This Row],[Order Date]],Walmart[[#This Row],[Ship Date]],"D")&lt;7,"On time","Delayed")</f>
        <v>On time</v>
      </c>
      <c r="F740" t="s">
        <v>1736</v>
      </c>
      <c r="G740" t="s">
        <v>14</v>
      </c>
      <c r="H740" t="s">
        <v>1973</v>
      </c>
      <c r="I740" t="s">
        <v>58</v>
      </c>
      <c r="J740" t="s">
        <v>146</v>
      </c>
      <c r="K740" t="s">
        <v>536</v>
      </c>
      <c r="L740">
        <v>742.34</v>
      </c>
      <c r="M740">
        <v>8</v>
      </c>
      <c r="N740" t="str">
        <f>IF(Walmart[[#This Row],[Quantity]]&gt;=7,"Bulk",IF(Walmart[[#This Row],[Quantity]]&gt;=2,"Multi","Single"))</f>
        <v>Bulk</v>
      </c>
      <c r="O740">
        <v>83.51</v>
      </c>
      <c r="P740" t="str">
        <f>IF(Walmart[[#This Row],[Sales]]&gt;=1000,"High Value", IF(Walmart[[#This Row],[Sales]]&gt;=500,"Medium Value","Low Value"))</f>
        <v>Medium Value</v>
      </c>
    </row>
    <row r="741" spans="1:16" x14ac:dyDescent="0.3">
      <c r="A741" t="s">
        <v>2492</v>
      </c>
      <c r="B741" s="1">
        <v>41894</v>
      </c>
      <c r="C741" s="1" t="str">
        <f>TEXT(Walmart[[#This Row],[Order Date]],"mmmm")</f>
        <v>September</v>
      </c>
      <c r="D741" s="1">
        <v>41894</v>
      </c>
      <c r="E741" s="1" t="str">
        <f>IF(DATEDIF(Walmart[[#This Row],[Order Date]],Walmart[[#This Row],[Ship Date]],"D")&lt;7,"On time","Delayed")</f>
        <v>On time</v>
      </c>
      <c r="F741" t="s">
        <v>2493</v>
      </c>
      <c r="G741" t="s">
        <v>14</v>
      </c>
      <c r="H741" t="s">
        <v>25</v>
      </c>
      <c r="I741" t="s">
        <v>26</v>
      </c>
      <c r="J741" t="s">
        <v>88</v>
      </c>
      <c r="K741" t="s">
        <v>2494</v>
      </c>
      <c r="L741">
        <v>177.57</v>
      </c>
      <c r="M741">
        <v>2</v>
      </c>
      <c r="N741" t="str">
        <f>IF(Walmart[[#This Row],[Quantity]]&gt;=7,"Bulk",IF(Walmart[[#This Row],[Quantity]]&gt;=2,"Multi","Single"))</f>
        <v>Multi</v>
      </c>
      <c r="O741">
        <v>8.8800000000000008</v>
      </c>
      <c r="P741" t="str">
        <f>IF(Walmart[[#This Row],[Sales]]&gt;=1000,"High Value", IF(Walmart[[#This Row],[Sales]]&gt;=500,"Medium Value","Low Value"))</f>
        <v>Low Value</v>
      </c>
    </row>
    <row r="742" spans="1:16" hidden="1" x14ac:dyDescent="0.3">
      <c r="A742" t="s">
        <v>1976</v>
      </c>
      <c r="B742" s="1">
        <v>41254</v>
      </c>
      <c r="C742" s="1" t="str">
        <f>TEXT(Walmart[[#This Row],[Order Date]],"mmmm")</f>
        <v>December</v>
      </c>
      <c r="D742" s="1">
        <v>41259</v>
      </c>
      <c r="E742" s="1" t="str">
        <f>IF(DATEDIF(Walmart[[#This Row],[Order Date]],Walmart[[#This Row],[Ship Date]],"D")&lt;7,"On time","Delayed")</f>
        <v>On time</v>
      </c>
      <c r="F742" t="s">
        <v>24</v>
      </c>
      <c r="G742" t="s">
        <v>14</v>
      </c>
      <c r="H742" t="s">
        <v>182</v>
      </c>
      <c r="I742" t="s">
        <v>77</v>
      </c>
      <c r="J742" t="s">
        <v>38</v>
      </c>
      <c r="K742" t="s">
        <v>1977</v>
      </c>
      <c r="L742">
        <v>13.12</v>
      </c>
      <c r="M742">
        <v>5</v>
      </c>
      <c r="N742" t="str">
        <f>IF(Walmart[[#This Row],[Quantity]]&gt;=7,"Bulk",IF(Walmart[[#This Row],[Quantity]]&gt;=2,"Multi","Single"))</f>
        <v>Multi</v>
      </c>
      <c r="O742">
        <v>1.1499999999999999</v>
      </c>
      <c r="P742" t="str">
        <f>IF(Walmart[[#This Row],[Sales]]&gt;=1000,"High Value", IF(Walmart[[#This Row],[Sales]]&gt;=500,"Medium Value","Low Value"))</f>
        <v>Low Value</v>
      </c>
    </row>
    <row r="743" spans="1:16" hidden="1" x14ac:dyDescent="0.3">
      <c r="A743" t="s">
        <v>1978</v>
      </c>
      <c r="B743" s="1">
        <v>40984</v>
      </c>
      <c r="C743" s="1" t="str">
        <f>TEXT(Walmart[[#This Row],[Order Date]],"mmmm")</f>
        <v>March</v>
      </c>
      <c r="D743" s="1">
        <v>40991</v>
      </c>
      <c r="E743" s="1" t="str">
        <f>IF(DATEDIF(Walmart[[#This Row],[Order Date]],Walmart[[#This Row],[Ship Date]],"D")&lt;7,"On time","Delayed")</f>
        <v>Delayed</v>
      </c>
      <c r="F743" t="s">
        <v>1979</v>
      </c>
      <c r="G743" t="s">
        <v>14</v>
      </c>
      <c r="H743" t="s">
        <v>15</v>
      </c>
      <c r="I743" t="s">
        <v>16</v>
      </c>
      <c r="J743" t="s">
        <v>21</v>
      </c>
      <c r="K743" t="s">
        <v>1709</v>
      </c>
      <c r="L743">
        <v>43.13</v>
      </c>
      <c r="M743">
        <v>1</v>
      </c>
      <c r="N743" t="str">
        <f>IF(Walmart[[#This Row],[Quantity]]&gt;=7,"Bulk",IF(Walmart[[#This Row],[Quantity]]&gt;=2,"Multi","Single"))</f>
        <v>Single</v>
      </c>
      <c r="O743">
        <v>18.11</v>
      </c>
      <c r="P743" t="str">
        <f>IF(Walmart[[#This Row],[Sales]]&gt;=1000,"High Value", IF(Walmart[[#This Row],[Sales]]&gt;=500,"Medium Value","Low Value"))</f>
        <v>Low Value</v>
      </c>
    </row>
    <row r="744" spans="1:16" hidden="1" x14ac:dyDescent="0.3">
      <c r="A744" t="s">
        <v>1980</v>
      </c>
      <c r="B744" s="1">
        <v>41235</v>
      </c>
      <c r="C744" s="1" t="str">
        <f>TEXT(Walmart[[#This Row],[Order Date]],"mmmm")</f>
        <v>November</v>
      </c>
      <c r="D744" s="1">
        <v>41238</v>
      </c>
      <c r="E744" s="1" t="str">
        <f>IF(DATEDIF(Walmart[[#This Row],[Order Date]],Walmart[[#This Row],[Ship Date]],"D")&lt;7,"On time","Delayed")</f>
        <v>On time</v>
      </c>
      <c r="F744" t="s">
        <v>1981</v>
      </c>
      <c r="G744" t="s">
        <v>14</v>
      </c>
      <c r="H744" t="s">
        <v>15</v>
      </c>
      <c r="I744" t="s">
        <v>16</v>
      </c>
      <c r="J744" t="s">
        <v>93</v>
      </c>
      <c r="K744" t="s">
        <v>836</v>
      </c>
      <c r="L744">
        <v>37.94</v>
      </c>
      <c r="M744">
        <v>2</v>
      </c>
      <c r="N744" t="str">
        <f>IF(Walmart[[#This Row],[Quantity]]&gt;=7,"Bulk",IF(Walmart[[#This Row],[Quantity]]&gt;=2,"Multi","Single"))</f>
        <v>Multi</v>
      </c>
      <c r="O744">
        <v>18.21</v>
      </c>
      <c r="P744" t="str">
        <f>IF(Walmart[[#This Row],[Sales]]&gt;=1000,"High Value", IF(Walmart[[#This Row],[Sales]]&gt;=500,"Medium Value","Low Value"))</f>
        <v>Low Value</v>
      </c>
    </row>
    <row r="745" spans="1:16" hidden="1" x14ac:dyDescent="0.3">
      <c r="A745" t="s">
        <v>1982</v>
      </c>
      <c r="B745" s="1">
        <v>41403</v>
      </c>
      <c r="C745" s="1" t="str">
        <f>TEXT(Walmart[[#This Row],[Order Date]],"mmmm")</f>
        <v>May</v>
      </c>
      <c r="D745" s="1">
        <v>41405</v>
      </c>
      <c r="E745" s="1" t="str">
        <f>IF(DATEDIF(Walmart[[#This Row],[Order Date]],Walmart[[#This Row],[Ship Date]],"D")&lt;7,"On time","Delayed")</f>
        <v>On time</v>
      </c>
      <c r="F745" t="s">
        <v>1832</v>
      </c>
      <c r="G745" t="s">
        <v>14</v>
      </c>
      <c r="H745" t="s">
        <v>15</v>
      </c>
      <c r="I745" t="s">
        <v>16</v>
      </c>
      <c r="J745" t="s">
        <v>93</v>
      </c>
      <c r="K745" t="s">
        <v>119</v>
      </c>
      <c r="L745">
        <v>17.940000000000001</v>
      </c>
      <c r="M745">
        <v>3</v>
      </c>
      <c r="N745" t="str">
        <f>IF(Walmart[[#This Row],[Quantity]]&gt;=7,"Bulk",IF(Walmart[[#This Row],[Quantity]]&gt;=2,"Multi","Single"))</f>
        <v>Multi</v>
      </c>
      <c r="O745">
        <v>8.07</v>
      </c>
      <c r="P745" t="str">
        <f>IF(Walmart[[#This Row],[Sales]]&gt;=1000,"High Value", IF(Walmart[[#This Row],[Sales]]&gt;=500,"Medium Value","Low Value"))</f>
        <v>Low Value</v>
      </c>
    </row>
    <row r="746" spans="1:16" hidden="1" x14ac:dyDescent="0.3">
      <c r="A746" t="s">
        <v>1983</v>
      </c>
      <c r="B746" s="1">
        <v>41466</v>
      </c>
      <c r="C746" s="1" t="str">
        <f>TEXT(Walmart[[#This Row],[Order Date]],"mmmm")</f>
        <v>July</v>
      </c>
      <c r="D746" s="1">
        <v>41467</v>
      </c>
      <c r="E746" s="1" t="str">
        <f>IF(DATEDIF(Walmart[[#This Row],[Order Date]],Walmart[[#This Row],[Ship Date]],"D")&lt;7,"On time","Delayed")</f>
        <v>On time</v>
      </c>
      <c r="F746" t="s">
        <v>408</v>
      </c>
      <c r="G746" t="s">
        <v>14</v>
      </c>
      <c r="H746" t="s">
        <v>1984</v>
      </c>
      <c r="I746" t="s">
        <v>58</v>
      </c>
      <c r="J746" t="s">
        <v>27</v>
      </c>
      <c r="K746" t="s">
        <v>385</v>
      </c>
      <c r="L746">
        <v>44.86</v>
      </c>
      <c r="M746">
        <v>6</v>
      </c>
      <c r="N746" t="str">
        <f>IF(Walmart[[#This Row],[Quantity]]&gt;=7,"Bulk",IF(Walmart[[#This Row],[Quantity]]&gt;=2,"Multi","Single"))</f>
        <v>Multi</v>
      </c>
      <c r="O746">
        <v>-35.880000000000003</v>
      </c>
      <c r="P746" t="str">
        <f>IF(Walmart[[#This Row],[Sales]]&gt;=1000,"High Value", IF(Walmart[[#This Row],[Sales]]&gt;=500,"Medium Value","Low Value"))</f>
        <v>Low Value</v>
      </c>
    </row>
    <row r="747" spans="1:16" x14ac:dyDescent="0.3">
      <c r="A747" t="s">
        <v>3297</v>
      </c>
      <c r="B747" s="1">
        <v>41894</v>
      </c>
      <c r="C747" s="1" t="str">
        <f>TEXT(Walmart[[#This Row],[Order Date]],"mmmm")</f>
        <v>September</v>
      </c>
      <c r="D747" s="1">
        <v>41896</v>
      </c>
      <c r="E747" s="1" t="str">
        <f>IF(DATEDIF(Walmart[[#This Row],[Order Date]],Walmart[[#This Row],[Ship Date]],"D")&lt;7,"On time","Delayed")</f>
        <v>On time</v>
      </c>
      <c r="F747" t="s">
        <v>1374</v>
      </c>
      <c r="G747" t="s">
        <v>14</v>
      </c>
      <c r="H747" t="s">
        <v>438</v>
      </c>
      <c r="I747" t="s">
        <v>16</v>
      </c>
      <c r="J747" t="s">
        <v>146</v>
      </c>
      <c r="K747" t="s">
        <v>3298</v>
      </c>
      <c r="L747">
        <v>143.94999999999999</v>
      </c>
      <c r="M747">
        <v>6</v>
      </c>
      <c r="N747" t="str">
        <f>IF(Walmart[[#This Row],[Quantity]]&gt;=7,"Bulk",IF(Walmart[[#This Row],[Quantity]]&gt;=2,"Multi","Single"))</f>
        <v>Multi</v>
      </c>
      <c r="O747">
        <v>17.989999999999998</v>
      </c>
      <c r="P747" t="str">
        <f>IF(Walmart[[#This Row],[Sales]]&gt;=1000,"High Value", IF(Walmart[[#This Row],[Sales]]&gt;=500,"Medium Value","Low Value"))</f>
        <v>Low Value</v>
      </c>
    </row>
    <row r="748" spans="1:16" x14ac:dyDescent="0.3">
      <c r="A748" t="s">
        <v>890</v>
      </c>
      <c r="B748" s="1">
        <v>41893</v>
      </c>
      <c r="C748" s="1" t="str">
        <f>TEXT(Walmart[[#This Row],[Order Date]],"mmmm")</f>
        <v>September</v>
      </c>
      <c r="D748" s="1">
        <v>41893</v>
      </c>
      <c r="E748" s="1" t="str">
        <f>IF(DATEDIF(Walmart[[#This Row],[Order Date]],Walmart[[#This Row],[Ship Date]],"D")&lt;7,"On time","Delayed")</f>
        <v>On time</v>
      </c>
      <c r="F748" t="s">
        <v>891</v>
      </c>
      <c r="G748" t="s">
        <v>14</v>
      </c>
      <c r="H748" t="s">
        <v>15</v>
      </c>
      <c r="I748" t="s">
        <v>16</v>
      </c>
      <c r="J748" t="s">
        <v>88</v>
      </c>
      <c r="K748" t="s">
        <v>892</v>
      </c>
      <c r="L748">
        <v>362.35</v>
      </c>
      <c r="M748">
        <v>3</v>
      </c>
      <c r="N748" t="str">
        <f>IF(Walmart[[#This Row],[Quantity]]&gt;=7,"Bulk",IF(Walmart[[#This Row],[Quantity]]&gt;=2,"Multi","Single"))</f>
        <v>Multi</v>
      </c>
      <c r="O748">
        <v>27.18</v>
      </c>
      <c r="P748" t="str">
        <f>IF(Walmart[[#This Row],[Sales]]&gt;=1000,"High Value", IF(Walmart[[#This Row],[Sales]]&gt;=500,"Medium Value","Low Value"))</f>
        <v>Low Value</v>
      </c>
    </row>
    <row r="749" spans="1:16" hidden="1" x14ac:dyDescent="0.3">
      <c r="A749" t="s">
        <v>1990</v>
      </c>
      <c r="B749" s="1">
        <v>40637</v>
      </c>
      <c r="C749" s="1" t="str">
        <f>TEXT(Walmart[[#This Row],[Order Date]],"mmmm")</f>
        <v>April</v>
      </c>
      <c r="D749" s="1">
        <v>40638</v>
      </c>
      <c r="E749" s="1" t="str">
        <f>IF(DATEDIF(Walmart[[#This Row],[Order Date]],Walmart[[#This Row],[Ship Date]],"D")&lt;7,"On time","Delayed")</f>
        <v>On time</v>
      </c>
      <c r="F749" t="s">
        <v>136</v>
      </c>
      <c r="G749" t="s">
        <v>14</v>
      </c>
      <c r="H749" t="s">
        <v>15</v>
      </c>
      <c r="I749" t="s">
        <v>16</v>
      </c>
      <c r="J749" t="s">
        <v>27</v>
      </c>
      <c r="K749" t="s">
        <v>1256</v>
      </c>
      <c r="L749">
        <v>7.18</v>
      </c>
      <c r="M749">
        <v>2</v>
      </c>
      <c r="N749" t="str">
        <f>IF(Walmart[[#This Row],[Quantity]]&gt;=7,"Bulk",IF(Walmart[[#This Row],[Quantity]]&gt;=2,"Multi","Single"))</f>
        <v>Multi</v>
      </c>
      <c r="O749">
        <v>2.25</v>
      </c>
      <c r="P749" t="str">
        <f>IF(Walmart[[#This Row],[Sales]]&gt;=1000,"High Value", IF(Walmart[[#This Row],[Sales]]&gt;=500,"Medium Value","Low Value"))</f>
        <v>Low Value</v>
      </c>
    </row>
    <row r="750" spans="1:16" hidden="1" x14ac:dyDescent="0.3">
      <c r="A750" t="s">
        <v>1991</v>
      </c>
      <c r="B750" s="1">
        <v>40719</v>
      </c>
      <c r="C750" s="1" t="str">
        <f>TEXT(Walmart[[#This Row],[Order Date]],"mmmm")</f>
        <v>June</v>
      </c>
      <c r="D750" s="1">
        <v>40721</v>
      </c>
      <c r="E750" s="1" t="str">
        <f>IF(DATEDIF(Walmart[[#This Row],[Order Date]],Walmart[[#This Row],[Ship Date]],"D")&lt;7,"On time","Delayed")</f>
        <v>On time</v>
      </c>
      <c r="F750" t="s">
        <v>194</v>
      </c>
      <c r="G750" t="s">
        <v>14</v>
      </c>
      <c r="H750" t="s">
        <v>341</v>
      </c>
      <c r="I750" t="s">
        <v>69</v>
      </c>
      <c r="J750" t="s">
        <v>146</v>
      </c>
      <c r="K750" t="s">
        <v>1992</v>
      </c>
      <c r="L750">
        <v>263.95999999999998</v>
      </c>
      <c r="M750">
        <v>5</v>
      </c>
      <c r="N750" t="str">
        <f>IF(Walmart[[#This Row],[Quantity]]&gt;=7,"Bulk",IF(Walmart[[#This Row],[Quantity]]&gt;=2,"Multi","Single"))</f>
        <v>Multi</v>
      </c>
      <c r="O750">
        <v>19.8</v>
      </c>
      <c r="P750" t="str">
        <f>IF(Walmart[[#This Row],[Sales]]&gt;=1000,"High Value", IF(Walmart[[#This Row],[Sales]]&gt;=500,"Medium Value","Low Value"))</f>
        <v>Low Value</v>
      </c>
    </row>
    <row r="751" spans="1:16" hidden="1" x14ac:dyDescent="0.3">
      <c r="A751" t="s">
        <v>1993</v>
      </c>
      <c r="B751" s="1">
        <v>40794</v>
      </c>
      <c r="C751" s="1" t="str">
        <f>TEXT(Walmart[[#This Row],[Order Date]],"mmmm")</f>
        <v>September</v>
      </c>
      <c r="D751" s="1">
        <v>40800</v>
      </c>
      <c r="E751" s="1" t="str">
        <f>IF(DATEDIF(Walmart[[#This Row],[Order Date]],Walmart[[#This Row],[Ship Date]],"D")&lt;7,"On time","Delayed")</f>
        <v>On time</v>
      </c>
      <c r="F751" t="s">
        <v>976</v>
      </c>
      <c r="G751" t="s">
        <v>14</v>
      </c>
      <c r="H751" t="s">
        <v>1994</v>
      </c>
      <c r="I751" t="s">
        <v>26</v>
      </c>
      <c r="J751" t="s">
        <v>38</v>
      </c>
      <c r="K751" t="s">
        <v>1995</v>
      </c>
      <c r="L751">
        <v>5.88</v>
      </c>
      <c r="M751">
        <v>2</v>
      </c>
      <c r="N751" t="str">
        <f>IF(Walmart[[#This Row],[Quantity]]&gt;=7,"Bulk",IF(Walmart[[#This Row],[Quantity]]&gt;=2,"Multi","Single"))</f>
        <v>Multi</v>
      </c>
      <c r="O751">
        <v>2.65</v>
      </c>
      <c r="P751" t="str">
        <f>IF(Walmart[[#This Row],[Sales]]&gt;=1000,"High Value", IF(Walmart[[#This Row],[Sales]]&gt;=500,"Medium Value","Low Value"))</f>
        <v>Low Value</v>
      </c>
    </row>
    <row r="752" spans="1:16" hidden="1" x14ac:dyDescent="0.3">
      <c r="A752" t="s">
        <v>1996</v>
      </c>
      <c r="B752" s="1">
        <v>40889</v>
      </c>
      <c r="C752" s="1" t="str">
        <f>TEXT(Walmart[[#This Row],[Order Date]],"mmmm")</f>
        <v>December</v>
      </c>
      <c r="D752" s="1">
        <v>40892</v>
      </c>
      <c r="E752" s="1" t="str">
        <f>IF(DATEDIF(Walmart[[#This Row],[Order Date]],Walmart[[#This Row],[Ship Date]],"D")&lt;7,"On time","Delayed")</f>
        <v>On time</v>
      </c>
      <c r="F752" t="s">
        <v>156</v>
      </c>
      <c r="G752" t="s">
        <v>14</v>
      </c>
      <c r="H752" t="s">
        <v>556</v>
      </c>
      <c r="I752" t="s">
        <v>16</v>
      </c>
      <c r="J752" t="s">
        <v>21</v>
      </c>
      <c r="K752" t="s">
        <v>740</v>
      </c>
      <c r="L752">
        <v>12.54</v>
      </c>
      <c r="M752">
        <v>3</v>
      </c>
      <c r="N752" t="str">
        <f>IF(Walmart[[#This Row],[Quantity]]&gt;=7,"Bulk",IF(Walmart[[#This Row],[Quantity]]&gt;=2,"Multi","Single"))</f>
        <v>Multi</v>
      </c>
      <c r="O752">
        <v>4.51</v>
      </c>
      <c r="P752" t="str">
        <f>IF(Walmart[[#This Row],[Sales]]&gt;=1000,"High Value", IF(Walmart[[#This Row],[Sales]]&gt;=500,"Medium Value","Low Value"))</f>
        <v>Low Value</v>
      </c>
    </row>
    <row r="753" spans="1:16" hidden="1" x14ac:dyDescent="0.3">
      <c r="A753" t="s">
        <v>1997</v>
      </c>
      <c r="B753" s="1">
        <v>40921</v>
      </c>
      <c r="C753" s="1" t="str">
        <f>TEXT(Walmart[[#This Row],[Order Date]],"mmmm")</f>
        <v>January</v>
      </c>
      <c r="D753" s="1">
        <v>40925</v>
      </c>
      <c r="E753" s="1" t="str">
        <f>IF(DATEDIF(Walmart[[#This Row],[Order Date]],Walmart[[#This Row],[Ship Date]],"D")&lt;7,"On time","Delayed")</f>
        <v>On time</v>
      </c>
      <c r="F753" t="s">
        <v>240</v>
      </c>
      <c r="G753" t="s">
        <v>14</v>
      </c>
      <c r="H753" t="s">
        <v>15</v>
      </c>
      <c r="I753" t="s">
        <v>16</v>
      </c>
      <c r="J753" t="s">
        <v>27</v>
      </c>
      <c r="K753" t="s">
        <v>572</v>
      </c>
      <c r="L753">
        <v>70.010000000000005</v>
      </c>
      <c r="M753">
        <v>3</v>
      </c>
      <c r="N753" t="str">
        <f>IF(Walmart[[#This Row],[Quantity]]&gt;=7,"Bulk",IF(Walmart[[#This Row],[Quantity]]&gt;=2,"Multi","Single"))</f>
        <v>Multi</v>
      </c>
      <c r="O753">
        <v>24.5</v>
      </c>
      <c r="P753" t="str">
        <f>IF(Walmart[[#This Row],[Sales]]&gt;=1000,"High Value", IF(Walmart[[#This Row],[Sales]]&gt;=500,"Medium Value","Low Value"))</f>
        <v>Low Value</v>
      </c>
    </row>
    <row r="754" spans="1:16" x14ac:dyDescent="0.3">
      <c r="A754" t="s">
        <v>2220</v>
      </c>
      <c r="B754" s="1">
        <v>41892</v>
      </c>
      <c r="C754" s="1" t="str">
        <f>TEXT(Walmart[[#This Row],[Order Date]],"mmmm")</f>
        <v>September</v>
      </c>
      <c r="D754" s="1">
        <v>41896</v>
      </c>
      <c r="E754" s="1" t="str">
        <f>IF(DATEDIF(Walmart[[#This Row],[Order Date]],Walmart[[#This Row],[Ship Date]],"D")&lt;7,"On time","Delayed")</f>
        <v>On time</v>
      </c>
      <c r="F754" t="s">
        <v>2063</v>
      </c>
      <c r="G754" t="s">
        <v>14</v>
      </c>
      <c r="H754" t="s">
        <v>712</v>
      </c>
      <c r="I754" t="s">
        <v>58</v>
      </c>
      <c r="J754" t="s">
        <v>93</v>
      </c>
      <c r="K754" t="s">
        <v>2221</v>
      </c>
      <c r="L754">
        <v>6.37</v>
      </c>
      <c r="M754">
        <v>2</v>
      </c>
      <c r="N754" t="str">
        <f>IF(Walmart[[#This Row],[Quantity]]&gt;=7,"Bulk",IF(Walmart[[#This Row],[Quantity]]&gt;=2,"Multi","Single"))</f>
        <v>Multi</v>
      </c>
      <c r="O754">
        <v>2.39</v>
      </c>
      <c r="P754" t="str">
        <f>IF(Walmart[[#This Row],[Sales]]&gt;=1000,"High Value", IF(Walmart[[#This Row],[Sales]]&gt;=500,"Medium Value","Low Value"))</f>
        <v>Low Value</v>
      </c>
    </row>
    <row r="755" spans="1:16" x14ac:dyDescent="0.3">
      <c r="A755" t="s">
        <v>2268</v>
      </c>
      <c r="B755" s="1">
        <v>41892</v>
      </c>
      <c r="C755" s="1" t="str">
        <f>TEXT(Walmart[[#This Row],[Order Date]],"mmmm")</f>
        <v>September</v>
      </c>
      <c r="D755" s="1">
        <v>41897</v>
      </c>
      <c r="E755" s="1" t="str">
        <f>IF(DATEDIF(Walmart[[#This Row],[Order Date]],Walmart[[#This Row],[Ship Date]],"D")&lt;7,"On time","Delayed")</f>
        <v>On time</v>
      </c>
      <c r="F755" t="s">
        <v>1533</v>
      </c>
      <c r="G755" t="s">
        <v>14</v>
      </c>
      <c r="H755" t="s">
        <v>15</v>
      </c>
      <c r="I755" t="s">
        <v>16</v>
      </c>
      <c r="J755" t="s">
        <v>38</v>
      </c>
      <c r="K755" t="s">
        <v>2269</v>
      </c>
      <c r="L755">
        <v>6.56</v>
      </c>
      <c r="M755">
        <v>2</v>
      </c>
      <c r="N755" t="str">
        <f>IF(Walmart[[#This Row],[Quantity]]&gt;=7,"Bulk",IF(Walmart[[#This Row],[Quantity]]&gt;=2,"Multi","Single"))</f>
        <v>Multi</v>
      </c>
      <c r="O755">
        <v>1.9</v>
      </c>
      <c r="P755" t="str">
        <f>IF(Walmart[[#This Row],[Sales]]&gt;=1000,"High Value", IF(Walmart[[#This Row],[Sales]]&gt;=500,"Medium Value","Low Value"))</f>
        <v>Low Value</v>
      </c>
    </row>
    <row r="756" spans="1:16" hidden="1" x14ac:dyDescent="0.3">
      <c r="A756" t="s">
        <v>2001</v>
      </c>
      <c r="B756" s="1">
        <v>41632</v>
      </c>
      <c r="C756" s="1" t="str">
        <f>TEXT(Walmart[[#This Row],[Order Date]],"mmmm")</f>
        <v>December</v>
      </c>
      <c r="D756" s="1">
        <v>41639</v>
      </c>
      <c r="E756" s="1" t="str">
        <f>IF(DATEDIF(Walmart[[#This Row],[Order Date]],Walmart[[#This Row],[Ship Date]],"D")&lt;7,"On time","Delayed")</f>
        <v>Delayed</v>
      </c>
      <c r="F756" t="s">
        <v>2002</v>
      </c>
      <c r="G756" t="s">
        <v>14</v>
      </c>
      <c r="H756" t="s">
        <v>25</v>
      </c>
      <c r="I756" t="s">
        <v>26</v>
      </c>
      <c r="J756" t="s">
        <v>38</v>
      </c>
      <c r="K756" t="s">
        <v>2003</v>
      </c>
      <c r="L756">
        <v>8.82</v>
      </c>
      <c r="M756">
        <v>3</v>
      </c>
      <c r="N756" t="str">
        <f>IF(Walmart[[#This Row],[Quantity]]&gt;=7,"Bulk",IF(Walmart[[#This Row],[Quantity]]&gt;=2,"Multi","Single"))</f>
        <v>Multi</v>
      </c>
      <c r="O756">
        <v>2.56</v>
      </c>
      <c r="P756" t="str">
        <f>IF(Walmart[[#This Row],[Sales]]&gt;=1000,"High Value", IF(Walmart[[#This Row],[Sales]]&gt;=500,"Medium Value","Low Value"))</f>
        <v>Low Value</v>
      </c>
    </row>
    <row r="757" spans="1:16" hidden="1" x14ac:dyDescent="0.3">
      <c r="A757" t="s">
        <v>2004</v>
      </c>
      <c r="B757" s="1">
        <v>41509</v>
      </c>
      <c r="C757" s="1" t="str">
        <f>TEXT(Walmart[[#This Row],[Order Date]],"mmmm")</f>
        <v>August</v>
      </c>
      <c r="D757" s="1">
        <v>41514</v>
      </c>
      <c r="E757" s="1" t="str">
        <f>IF(DATEDIF(Walmart[[#This Row],[Order Date]],Walmart[[#This Row],[Ship Date]],"D")&lt;7,"On time","Delayed")</f>
        <v>On time</v>
      </c>
      <c r="F757" t="s">
        <v>2005</v>
      </c>
      <c r="G757" t="s">
        <v>14</v>
      </c>
      <c r="H757" t="s">
        <v>1426</v>
      </c>
      <c r="I757" t="s">
        <v>69</v>
      </c>
      <c r="J757" t="s">
        <v>27</v>
      </c>
      <c r="K757" t="s">
        <v>971</v>
      </c>
      <c r="L757">
        <v>26.35</v>
      </c>
      <c r="M757">
        <v>8</v>
      </c>
      <c r="N757" t="str">
        <f>IF(Walmart[[#This Row],[Quantity]]&gt;=7,"Bulk",IF(Walmart[[#This Row],[Quantity]]&gt;=2,"Multi","Single"))</f>
        <v>Bulk</v>
      </c>
      <c r="O757">
        <v>-18.45</v>
      </c>
      <c r="P757" t="str">
        <f>IF(Walmart[[#This Row],[Sales]]&gt;=1000,"High Value", IF(Walmart[[#This Row],[Sales]]&gt;=500,"Medium Value","Low Value"))</f>
        <v>Low Value</v>
      </c>
    </row>
    <row r="758" spans="1:16" x14ac:dyDescent="0.3">
      <c r="A758" t="s">
        <v>2382</v>
      </c>
      <c r="B758" s="1">
        <v>41892</v>
      </c>
      <c r="C758" s="1" t="str">
        <f>TEXT(Walmart[[#This Row],[Order Date]],"mmmm")</f>
        <v>September</v>
      </c>
      <c r="D758" s="1">
        <v>41897</v>
      </c>
      <c r="E758" s="1" t="str">
        <f>IF(DATEDIF(Walmart[[#This Row],[Order Date]],Walmart[[#This Row],[Ship Date]],"D")&lt;7,"On time","Delayed")</f>
        <v>On time</v>
      </c>
      <c r="F758" t="s">
        <v>2383</v>
      </c>
      <c r="G758" t="s">
        <v>14</v>
      </c>
      <c r="H758" t="s">
        <v>15</v>
      </c>
      <c r="I758" t="s">
        <v>16</v>
      </c>
      <c r="J758" t="s">
        <v>33</v>
      </c>
      <c r="K758" t="s">
        <v>1102</v>
      </c>
      <c r="L758">
        <v>99.87</v>
      </c>
      <c r="M758">
        <v>3</v>
      </c>
      <c r="N758" t="str">
        <f>IF(Walmart[[#This Row],[Quantity]]&gt;=7,"Bulk",IF(Walmart[[#This Row],[Quantity]]&gt;=2,"Multi","Single"))</f>
        <v>Multi</v>
      </c>
      <c r="O758">
        <v>23.97</v>
      </c>
      <c r="P758" t="str">
        <f>IF(Walmart[[#This Row],[Sales]]&gt;=1000,"High Value", IF(Walmart[[#This Row],[Sales]]&gt;=500,"Medium Value","Low Value"))</f>
        <v>Low Value</v>
      </c>
    </row>
    <row r="759" spans="1:16" hidden="1" x14ac:dyDescent="0.3">
      <c r="A759" t="s">
        <v>2009</v>
      </c>
      <c r="B759" s="1">
        <v>41176</v>
      </c>
      <c r="C759" s="1" t="str">
        <f>TEXT(Walmart[[#This Row],[Order Date]],"mmmm")</f>
        <v>September</v>
      </c>
      <c r="D759" s="1">
        <v>41178</v>
      </c>
      <c r="E759" s="1" t="str">
        <f>IF(DATEDIF(Walmart[[#This Row],[Order Date]],Walmart[[#This Row],[Ship Date]],"D")&lt;7,"On time","Delayed")</f>
        <v>On time</v>
      </c>
      <c r="F759" t="s">
        <v>356</v>
      </c>
      <c r="G759" t="s">
        <v>14</v>
      </c>
      <c r="H759" t="s">
        <v>25</v>
      </c>
      <c r="I759" t="s">
        <v>26</v>
      </c>
      <c r="J759" t="s">
        <v>38</v>
      </c>
      <c r="K759" t="s">
        <v>590</v>
      </c>
      <c r="L759">
        <v>35.96</v>
      </c>
      <c r="M759">
        <v>2</v>
      </c>
      <c r="N759" t="str">
        <f>IF(Walmart[[#This Row],[Quantity]]&gt;=7,"Bulk",IF(Walmart[[#This Row],[Quantity]]&gt;=2,"Multi","Single"))</f>
        <v>Multi</v>
      </c>
      <c r="O759">
        <v>10.43</v>
      </c>
      <c r="P759" t="str">
        <f>IF(Walmart[[#This Row],[Sales]]&gt;=1000,"High Value", IF(Walmart[[#This Row],[Sales]]&gt;=500,"Medium Value","Low Value"))</f>
        <v>Low Value</v>
      </c>
    </row>
    <row r="760" spans="1:16" x14ac:dyDescent="0.3">
      <c r="A760" t="s">
        <v>2938</v>
      </c>
      <c r="B760" s="1">
        <v>41892</v>
      </c>
      <c r="C760" s="1" t="str">
        <f>TEXT(Walmart[[#This Row],[Order Date]],"mmmm")</f>
        <v>September</v>
      </c>
      <c r="D760" s="1">
        <v>41897</v>
      </c>
      <c r="E760" s="1" t="str">
        <f>IF(DATEDIF(Walmart[[#This Row],[Order Date]],Walmart[[#This Row],[Ship Date]],"D")&lt;7,"On time","Delayed")</f>
        <v>On time</v>
      </c>
      <c r="F760" t="s">
        <v>2193</v>
      </c>
      <c r="G760" t="s">
        <v>14</v>
      </c>
      <c r="H760" t="s">
        <v>15</v>
      </c>
      <c r="I760" t="s">
        <v>16</v>
      </c>
      <c r="J760" t="s">
        <v>53</v>
      </c>
      <c r="K760" t="s">
        <v>2939</v>
      </c>
      <c r="L760">
        <v>159.96</v>
      </c>
      <c r="M760">
        <v>4</v>
      </c>
      <c r="N760" t="str">
        <f>IF(Walmart[[#This Row],[Quantity]]&gt;=7,"Bulk",IF(Walmart[[#This Row],[Quantity]]&gt;=2,"Multi","Single"))</f>
        <v>Multi</v>
      </c>
      <c r="O760">
        <v>51.19</v>
      </c>
      <c r="P760" t="str">
        <f>IF(Walmart[[#This Row],[Sales]]&gt;=1000,"High Value", IF(Walmart[[#This Row],[Sales]]&gt;=500,"Medium Value","Low Value"))</f>
        <v>Low Value</v>
      </c>
    </row>
    <row r="761" spans="1:16" hidden="1" x14ac:dyDescent="0.3">
      <c r="A761" t="s">
        <v>2012</v>
      </c>
      <c r="B761" s="1">
        <v>41180</v>
      </c>
      <c r="C761" s="1" t="str">
        <f>TEXT(Walmart[[#This Row],[Order Date]],"mmmm")</f>
        <v>September</v>
      </c>
      <c r="D761" s="1">
        <v>41186</v>
      </c>
      <c r="E761" s="1" t="str">
        <f>IF(DATEDIF(Walmart[[#This Row],[Order Date]],Walmart[[#This Row],[Ship Date]],"D")&lt;7,"On time","Delayed")</f>
        <v>On time</v>
      </c>
      <c r="F761" t="s">
        <v>340</v>
      </c>
      <c r="G761" t="s">
        <v>14</v>
      </c>
      <c r="H761" t="s">
        <v>76</v>
      </c>
      <c r="I761" t="s">
        <v>77</v>
      </c>
      <c r="J761" t="s">
        <v>124</v>
      </c>
      <c r="K761" t="s">
        <v>2013</v>
      </c>
      <c r="L761">
        <v>12.54</v>
      </c>
      <c r="M761">
        <v>1</v>
      </c>
      <c r="N761" t="str">
        <f>IF(Walmart[[#This Row],[Quantity]]&gt;=7,"Bulk",IF(Walmart[[#This Row],[Quantity]]&gt;=2,"Multi","Single"))</f>
        <v>Single</v>
      </c>
      <c r="O761">
        <v>4.2300000000000004</v>
      </c>
      <c r="P761" t="str">
        <f>IF(Walmart[[#This Row],[Sales]]&gt;=1000,"High Value", IF(Walmart[[#This Row],[Sales]]&gt;=500,"Medium Value","Low Value"))</f>
        <v>Low Value</v>
      </c>
    </row>
    <row r="762" spans="1:16" hidden="1" x14ac:dyDescent="0.3">
      <c r="A762" t="s">
        <v>2014</v>
      </c>
      <c r="B762" s="1">
        <v>40983</v>
      </c>
      <c r="C762" s="1" t="str">
        <f>TEXT(Walmart[[#This Row],[Order Date]],"mmmm")</f>
        <v>March</v>
      </c>
      <c r="D762" s="1">
        <v>40989</v>
      </c>
      <c r="E762" s="1" t="str">
        <f>IF(DATEDIF(Walmart[[#This Row],[Order Date]],Walmart[[#This Row],[Ship Date]],"D")&lt;7,"On time","Delayed")</f>
        <v>On time</v>
      </c>
      <c r="F762" t="s">
        <v>2015</v>
      </c>
      <c r="G762" t="s">
        <v>14</v>
      </c>
      <c r="H762" t="s">
        <v>2016</v>
      </c>
      <c r="I762" t="s">
        <v>32</v>
      </c>
      <c r="J762" t="s">
        <v>146</v>
      </c>
      <c r="K762" t="s">
        <v>2017</v>
      </c>
      <c r="L762">
        <v>16.78</v>
      </c>
      <c r="M762">
        <v>3</v>
      </c>
      <c r="N762" t="str">
        <f>IF(Walmart[[#This Row],[Quantity]]&gt;=7,"Bulk",IF(Walmart[[#This Row],[Quantity]]&gt;=2,"Multi","Single"))</f>
        <v>Multi</v>
      </c>
      <c r="O762">
        <v>1.68</v>
      </c>
      <c r="P762" t="str">
        <f>IF(Walmart[[#This Row],[Sales]]&gt;=1000,"High Value", IF(Walmart[[#This Row],[Sales]]&gt;=500,"Medium Value","Low Value"))</f>
        <v>Low Value</v>
      </c>
    </row>
    <row r="763" spans="1:16" hidden="1" x14ac:dyDescent="0.3">
      <c r="A763" t="s">
        <v>2018</v>
      </c>
      <c r="B763" s="1">
        <v>40557</v>
      </c>
      <c r="C763" s="1" t="str">
        <f>TEXT(Walmart[[#This Row],[Order Date]],"mmmm")</f>
        <v>January</v>
      </c>
      <c r="D763" s="1">
        <v>40562</v>
      </c>
      <c r="E763" s="1" t="str">
        <f>IF(DATEDIF(Walmart[[#This Row],[Order Date]],Walmart[[#This Row],[Ship Date]],"D")&lt;7,"On time","Delayed")</f>
        <v>On time</v>
      </c>
      <c r="F763" t="s">
        <v>2019</v>
      </c>
      <c r="G763" t="s">
        <v>14</v>
      </c>
      <c r="H763" t="s">
        <v>37</v>
      </c>
      <c r="I763" t="s">
        <v>16</v>
      </c>
      <c r="J763" t="s">
        <v>33</v>
      </c>
      <c r="K763" t="s">
        <v>1020</v>
      </c>
      <c r="L763">
        <v>1325.85</v>
      </c>
      <c r="M763">
        <v>5</v>
      </c>
      <c r="N763" t="str">
        <f>IF(Walmart[[#This Row],[Quantity]]&gt;=7,"Bulk",IF(Walmart[[#This Row],[Quantity]]&gt;=2,"Multi","Single"))</f>
        <v>Multi</v>
      </c>
      <c r="O763">
        <v>238.65</v>
      </c>
      <c r="P763" t="str">
        <f>IF(Walmart[[#This Row],[Sales]]&gt;=1000,"High Value", IF(Walmart[[#This Row],[Sales]]&gt;=500,"Medium Value","Low Value"))</f>
        <v>High Value</v>
      </c>
    </row>
    <row r="764" spans="1:16" hidden="1" x14ac:dyDescent="0.3">
      <c r="A764" t="s">
        <v>2020</v>
      </c>
      <c r="B764" s="1">
        <v>41523</v>
      </c>
      <c r="C764" s="1" t="str">
        <f>TEXT(Walmart[[#This Row],[Order Date]],"mmmm")</f>
        <v>September</v>
      </c>
      <c r="D764" s="1">
        <v>41524</v>
      </c>
      <c r="E764" s="1" t="str">
        <f>IF(DATEDIF(Walmart[[#This Row],[Order Date]],Walmart[[#This Row],[Ship Date]],"D")&lt;7,"On time","Delayed")</f>
        <v>On time</v>
      </c>
      <c r="F764" t="s">
        <v>254</v>
      </c>
      <c r="G764" t="s">
        <v>14</v>
      </c>
      <c r="H764" t="s">
        <v>1329</v>
      </c>
      <c r="I764" t="s">
        <v>16</v>
      </c>
      <c r="J764" t="s">
        <v>93</v>
      </c>
      <c r="K764" t="s">
        <v>2021</v>
      </c>
      <c r="L764">
        <v>96.08</v>
      </c>
      <c r="M764">
        <v>2</v>
      </c>
      <c r="N764" t="str">
        <f>IF(Walmart[[#This Row],[Quantity]]&gt;=7,"Bulk",IF(Walmart[[#This Row],[Quantity]]&gt;=2,"Multi","Single"))</f>
        <v>Multi</v>
      </c>
      <c r="O764">
        <v>46.12</v>
      </c>
      <c r="P764" t="str">
        <f>IF(Walmart[[#This Row],[Sales]]&gt;=1000,"High Value", IF(Walmart[[#This Row],[Sales]]&gt;=500,"Medium Value","Low Value"))</f>
        <v>Low Value</v>
      </c>
    </row>
    <row r="765" spans="1:16" hidden="1" x14ac:dyDescent="0.3">
      <c r="A765" t="s">
        <v>2022</v>
      </c>
      <c r="B765" s="1">
        <v>40820</v>
      </c>
      <c r="C765" s="1" t="str">
        <f>TEXT(Walmart[[#This Row],[Order Date]],"mmmm")</f>
        <v>October</v>
      </c>
      <c r="D765" s="1">
        <v>40825</v>
      </c>
      <c r="E765" s="1" t="str">
        <f>IF(DATEDIF(Walmart[[#This Row],[Order Date]],Walmart[[#This Row],[Ship Date]],"D")&lt;7,"On time","Delayed")</f>
        <v>On time</v>
      </c>
      <c r="F765" t="s">
        <v>2023</v>
      </c>
      <c r="G765" t="s">
        <v>14</v>
      </c>
      <c r="H765" t="s">
        <v>25</v>
      </c>
      <c r="I765" t="s">
        <v>26</v>
      </c>
      <c r="J765" t="s">
        <v>17</v>
      </c>
      <c r="K765" t="s">
        <v>2024</v>
      </c>
      <c r="L765">
        <v>29.24</v>
      </c>
      <c r="M765">
        <v>4</v>
      </c>
      <c r="N765" t="str">
        <f>IF(Walmart[[#This Row],[Quantity]]&gt;=7,"Bulk",IF(Walmart[[#This Row],[Quantity]]&gt;=2,"Multi","Single"))</f>
        <v>Multi</v>
      </c>
      <c r="O765">
        <v>13.74</v>
      </c>
      <c r="P765" t="str">
        <f>IF(Walmart[[#This Row],[Sales]]&gt;=1000,"High Value", IF(Walmart[[#This Row],[Sales]]&gt;=500,"Medium Value","Low Value"))</f>
        <v>Low Value</v>
      </c>
    </row>
    <row r="766" spans="1:16" x14ac:dyDescent="0.3">
      <c r="A766" t="s">
        <v>2986</v>
      </c>
      <c r="B766" s="1">
        <v>41892</v>
      </c>
      <c r="C766" s="1" t="str">
        <f>TEXT(Walmart[[#This Row],[Order Date]],"mmmm")</f>
        <v>September</v>
      </c>
      <c r="D766" s="1">
        <v>41898</v>
      </c>
      <c r="E766" s="1" t="str">
        <f>IF(DATEDIF(Walmart[[#This Row],[Order Date]],Walmart[[#This Row],[Ship Date]],"D")&lt;7,"On time","Delayed")</f>
        <v>On time</v>
      </c>
      <c r="F766" t="s">
        <v>692</v>
      </c>
      <c r="G766" t="s">
        <v>14</v>
      </c>
      <c r="H766" t="s">
        <v>68</v>
      </c>
      <c r="I766" t="s">
        <v>69</v>
      </c>
      <c r="J766" t="s">
        <v>93</v>
      </c>
      <c r="K766" t="s">
        <v>2962</v>
      </c>
      <c r="L766">
        <v>31.1</v>
      </c>
      <c r="M766">
        <v>6</v>
      </c>
      <c r="N766" t="str">
        <f>IF(Walmart[[#This Row],[Quantity]]&gt;=7,"Bulk",IF(Walmart[[#This Row],[Quantity]]&gt;=2,"Multi","Single"))</f>
        <v>Multi</v>
      </c>
      <c r="O766">
        <v>11.28</v>
      </c>
      <c r="P766" t="str">
        <f>IF(Walmart[[#This Row],[Sales]]&gt;=1000,"High Value", IF(Walmart[[#This Row],[Sales]]&gt;=500,"Medium Value","Low Value"))</f>
        <v>Low Value</v>
      </c>
    </row>
    <row r="767" spans="1:16" x14ac:dyDescent="0.3">
      <c r="A767" t="s">
        <v>294</v>
      </c>
      <c r="B767" s="1">
        <v>41890</v>
      </c>
      <c r="C767" s="1" t="str">
        <f>TEXT(Walmart[[#This Row],[Order Date]],"mmmm")</f>
        <v>September</v>
      </c>
      <c r="D767" s="1">
        <v>41894</v>
      </c>
      <c r="E767" s="1" t="str">
        <f>IF(DATEDIF(Walmart[[#This Row],[Order Date]],Walmart[[#This Row],[Ship Date]],"D")&lt;7,"On time","Delayed")</f>
        <v>On time</v>
      </c>
      <c r="F767" t="s">
        <v>295</v>
      </c>
      <c r="G767" t="s">
        <v>14</v>
      </c>
      <c r="H767" t="s">
        <v>15</v>
      </c>
      <c r="I767" t="s">
        <v>16</v>
      </c>
      <c r="J767" t="s">
        <v>21</v>
      </c>
      <c r="K767" t="s">
        <v>296</v>
      </c>
      <c r="L767">
        <v>47.94</v>
      </c>
      <c r="M767">
        <v>3</v>
      </c>
      <c r="N767" t="str">
        <f>IF(Walmart[[#This Row],[Quantity]]&gt;=7,"Bulk",IF(Walmart[[#This Row],[Quantity]]&gt;=2,"Multi","Single"))</f>
        <v>Multi</v>
      </c>
      <c r="O767">
        <v>2.4</v>
      </c>
      <c r="P767" t="str">
        <f>IF(Walmart[[#This Row],[Sales]]&gt;=1000,"High Value", IF(Walmart[[#This Row],[Sales]]&gt;=500,"Medium Value","Low Value"))</f>
        <v>Low Value</v>
      </c>
    </row>
    <row r="768" spans="1:16" hidden="1" x14ac:dyDescent="0.3">
      <c r="A768" t="s">
        <v>2028</v>
      </c>
      <c r="B768" s="1">
        <v>40703</v>
      </c>
      <c r="C768" s="1" t="str">
        <f>TEXT(Walmart[[#This Row],[Order Date]],"mmmm")</f>
        <v>June</v>
      </c>
      <c r="D768" s="1">
        <v>40707</v>
      </c>
      <c r="E768" s="1" t="str">
        <f>IF(DATEDIF(Walmart[[#This Row],[Order Date]],Walmart[[#This Row],[Ship Date]],"D")&lt;7,"On time","Delayed")</f>
        <v>On time</v>
      </c>
      <c r="F768" t="s">
        <v>1499</v>
      </c>
      <c r="G768" t="s">
        <v>14</v>
      </c>
      <c r="H768" t="s">
        <v>747</v>
      </c>
      <c r="I768" t="s">
        <v>227</v>
      </c>
      <c r="J768" t="s">
        <v>38</v>
      </c>
      <c r="K768" t="s">
        <v>448</v>
      </c>
      <c r="L768">
        <v>18.059999999999999</v>
      </c>
      <c r="M768">
        <v>7</v>
      </c>
      <c r="N768" t="str">
        <f>IF(Walmart[[#This Row],[Quantity]]&gt;=7,"Bulk",IF(Walmart[[#This Row],[Quantity]]&gt;=2,"Multi","Single"))</f>
        <v>Bulk</v>
      </c>
      <c r="O768">
        <v>4.7</v>
      </c>
      <c r="P768" t="str">
        <f>IF(Walmart[[#This Row],[Sales]]&gt;=1000,"High Value", IF(Walmart[[#This Row],[Sales]]&gt;=500,"Medium Value","Low Value"))</f>
        <v>Low Value</v>
      </c>
    </row>
    <row r="769" spans="1:16" hidden="1" x14ac:dyDescent="0.3">
      <c r="A769" t="s">
        <v>2029</v>
      </c>
      <c r="B769" s="1">
        <v>41597</v>
      </c>
      <c r="C769" s="1" t="str">
        <f>TEXT(Walmart[[#This Row],[Order Date]],"mmmm")</f>
        <v>November</v>
      </c>
      <c r="D769" s="1">
        <v>41601</v>
      </c>
      <c r="E769" s="1" t="str">
        <f>IF(DATEDIF(Walmart[[#This Row],[Order Date]],Walmart[[#This Row],[Ship Date]],"D")&lt;7,"On time","Delayed")</f>
        <v>On time</v>
      </c>
      <c r="F769" t="s">
        <v>2030</v>
      </c>
      <c r="G769" t="s">
        <v>14</v>
      </c>
      <c r="H769" t="s">
        <v>15</v>
      </c>
      <c r="I769" t="s">
        <v>16</v>
      </c>
      <c r="J769" t="s">
        <v>146</v>
      </c>
      <c r="K769" t="s">
        <v>2031</v>
      </c>
      <c r="L769">
        <v>61.19</v>
      </c>
      <c r="M769">
        <v>1</v>
      </c>
      <c r="N769" t="str">
        <f>IF(Walmart[[#This Row],[Quantity]]&gt;=7,"Bulk",IF(Walmart[[#This Row],[Quantity]]&gt;=2,"Multi","Single"))</f>
        <v>Single</v>
      </c>
      <c r="O769">
        <v>6.12</v>
      </c>
      <c r="P769" t="str">
        <f>IF(Walmart[[#This Row],[Sales]]&gt;=1000,"High Value", IF(Walmart[[#This Row],[Sales]]&gt;=500,"Medium Value","Low Value"))</f>
        <v>Low Value</v>
      </c>
    </row>
    <row r="770" spans="1:16" hidden="1" x14ac:dyDescent="0.3">
      <c r="A770" t="s">
        <v>2032</v>
      </c>
      <c r="B770" s="1">
        <v>40609</v>
      </c>
      <c r="C770" s="1" t="str">
        <f>TEXT(Walmart[[#This Row],[Order Date]],"mmmm")</f>
        <v>March</v>
      </c>
      <c r="D770" s="1">
        <v>40610</v>
      </c>
      <c r="E770" s="1" t="str">
        <f>IF(DATEDIF(Walmart[[#This Row],[Order Date]],Walmart[[#This Row],[Ship Date]],"D")&lt;7,"On time","Delayed")</f>
        <v>On time</v>
      </c>
      <c r="F770" t="s">
        <v>2033</v>
      </c>
      <c r="G770" t="s">
        <v>14</v>
      </c>
      <c r="H770" t="s">
        <v>25</v>
      </c>
      <c r="I770" t="s">
        <v>26</v>
      </c>
      <c r="J770" t="s">
        <v>88</v>
      </c>
      <c r="K770" t="s">
        <v>2034</v>
      </c>
      <c r="L770">
        <v>48.71</v>
      </c>
      <c r="M770">
        <v>1</v>
      </c>
      <c r="N770" t="str">
        <f>IF(Walmart[[#This Row],[Quantity]]&gt;=7,"Bulk",IF(Walmart[[#This Row],[Quantity]]&gt;=2,"Multi","Single"))</f>
        <v>Single</v>
      </c>
      <c r="O770">
        <v>5.48</v>
      </c>
      <c r="P770" t="str">
        <f>IF(Walmart[[#This Row],[Sales]]&gt;=1000,"High Value", IF(Walmart[[#This Row],[Sales]]&gt;=500,"Medium Value","Low Value"))</f>
        <v>Low Value</v>
      </c>
    </row>
    <row r="771" spans="1:16" hidden="1" x14ac:dyDescent="0.3">
      <c r="A771" t="s">
        <v>2035</v>
      </c>
      <c r="B771" s="1">
        <v>41586</v>
      </c>
      <c r="C771" s="1" t="str">
        <f>TEXT(Walmart[[#This Row],[Order Date]],"mmmm")</f>
        <v>November</v>
      </c>
      <c r="D771" s="1">
        <v>41591</v>
      </c>
      <c r="E771" s="1" t="str">
        <f>IF(DATEDIF(Walmart[[#This Row],[Order Date]],Walmart[[#This Row],[Ship Date]],"D")&lt;7,"On time","Delayed")</f>
        <v>On time</v>
      </c>
      <c r="F771" t="s">
        <v>1506</v>
      </c>
      <c r="G771" t="s">
        <v>14</v>
      </c>
      <c r="H771" t="s">
        <v>491</v>
      </c>
      <c r="I771" t="s">
        <v>16</v>
      </c>
      <c r="J771" t="s">
        <v>93</v>
      </c>
      <c r="K771" t="s">
        <v>1278</v>
      </c>
      <c r="L771">
        <v>12.9</v>
      </c>
      <c r="M771">
        <v>2</v>
      </c>
      <c r="N771" t="str">
        <f>IF(Walmart[[#This Row],[Quantity]]&gt;=7,"Bulk",IF(Walmart[[#This Row],[Quantity]]&gt;=2,"Multi","Single"))</f>
        <v>Multi</v>
      </c>
      <c r="O771">
        <v>6.32</v>
      </c>
      <c r="P771" t="str">
        <f>IF(Walmart[[#This Row],[Sales]]&gt;=1000,"High Value", IF(Walmart[[#This Row],[Sales]]&gt;=500,"Medium Value","Low Value"))</f>
        <v>Low Value</v>
      </c>
    </row>
    <row r="772" spans="1:16" hidden="1" x14ac:dyDescent="0.3">
      <c r="A772" t="s">
        <v>2036</v>
      </c>
      <c r="B772" s="1">
        <v>40863</v>
      </c>
      <c r="C772" s="1" t="str">
        <f>TEXT(Walmart[[#This Row],[Order Date]],"mmmm")</f>
        <v>November</v>
      </c>
      <c r="D772" s="1">
        <v>40869</v>
      </c>
      <c r="E772" s="1" t="str">
        <f>IF(DATEDIF(Walmart[[#This Row],[Order Date]],Walmart[[#This Row],[Ship Date]],"D")&lt;7,"On time","Delayed")</f>
        <v>On time</v>
      </c>
      <c r="F772" t="s">
        <v>899</v>
      </c>
      <c r="G772" t="s">
        <v>14</v>
      </c>
      <c r="H772" t="s">
        <v>237</v>
      </c>
      <c r="I772" t="s">
        <v>16</v>
      </c>
      <c r="J772" t="s">
        <v>17</v>
      </c>
      <c r="K772" t="s">
        <v>2037</v>
      </c>
      <c r="L772">
        <v>5.22</v>
      </c>
      <c r="M772">
        <v>2</v>
      </c>
      <c r="N772" t="str">
        <f>IF(Walmart[[#This Row],[Quantity]]&gt;=7,"Bulk",IF(Walmart[[#This Row],[Quantity]]&gt;=2,"Multi","Single"))</f>
        <v>Multi</v>
      </c>
      <c r="O772">
        <v>2.4</v>
      </c>
      <c r="P772" t="str">
        <f>IF(Walmart[[#This Row],[Sales]]&gt;=1000,"High Value", IF(Walmart[[#This Row],[Sales]]&gt;=500,"Medium Value","Low Value"))</f>
        <v>Low Value</v>
      </c>
    </row>
    <row r="773" spans="1:16" hidden="1" x14ac:dyDescent="0.3">
      <c r="A773" t="s">
        <v>2038</v>
      </c>
      <c r="B773" s="1">
        <v>41585</v>
      </c>
      <c r="C773" s="1" t="str">
        <f>TEXT(Walmart[[#This Row],[Order Date]],"mmmm")</f>
        <v>November</v>
      </c>
      <c r="D773" s="1">
        <v>41589</v>
      </c>
      <c r="E773" s="1" t="str">
        <f>IF(DATEDIF(Walmart[[#This Row],[Order Date]],Walmart[[#This Row],[Ship Date]],"D")&lt;7,"On time","Delayed")</f>
        <v>On time</v>
      </c>
      <c r="F773" t="s">
        <v>24</v>
      </c>
      <c r="G773" t="s">
        <v>14</v>
      </c>
      <c r="H773" t="s">
        <v>160</v>
      </c>
      <c r="I773" t="s">
        <v>16</v>
      </c>
      <c r="J773" t="s">
        <v>33</v>
      </c>
      <c r="K773" t="s">
        <v>821</v>
      </c>
      <c r="L773">
        <v>84.84</v>
      </c>
      <c r="M773">
        <v>3</v>
      </c>
      <c r="N773" t="str">
        <f>IF(Walmart[[#This Row],[Quantity]]&gt;=7,"Bulk",IF(Walmart[[#This Row],[Quantity]]&gt;=2,"Multi","Single"))</f>
        <v>Multi</v>
      </c>
      <c r="O773">
        <v>22.91</v>
      </c>
      <c r="P773" t="str">
        <f>IF(Walmart[[#This Row],[Sales]]&gt;=1000,"High Value", IF(Walmart[[#This Row],[Sales]]&gt;=500,"Medium Value","Low Value"))</f>
        <v>Low Value</v>
      </c>
    </row>
    <row r="774" spans="1:16" hidden="1" x14ac:dyDescent="0.3">
      <c r="A774" t="s">
        <v>2039</v>
      </c>
      <c r="B774" s="1">
        <v>41389</v>
      </c>
      <c r="C774" s="1" t="str">
        <f>TEXT(Walmart[[#This Row],[Order Date]],"mmmm")</f>
        <v>April</v>
      </c>
      <c r="D774" s="1">
        <v>41393</v>
      </c>
      <c r="E774" s="1" t="str">
        <f>IF(DATEDIF(Walmart[[#This Row],[Order Date]],Walmart[[#This Row],[Ship Date]],"D")&lt;7,"On time","Delayed")</f>
        <v>On time</v>
      </c>
      <c r="F774" t="s">
        <v>2040</v>
      </c>
      <c r="G774" t="s">
        <v>14</v>
      </c>
      <c r="H774" t="s">
        <v>182</v>
      </c>
      <c r="I774" t="s">
        <v>77</v>
      </c>
      <c r="J774" t="s">
        <v>93</v>
      </c>
      <c r="K774" t="s">
        <v>406</v>
      </c>
      <c r="L774">
        <v>15.55</v>
      </c>
      <c r="M774">
        <v>3</v>
      </c>
      <c r="N774" t="str">
        <f>IF(Walmart[[#This Row],[Quantity]]&gt;=7,"Bulk",IF(Walmart[[#This Row],[Quantity]]&gt;=2,"Multi","Single"))</f>
        <v>Multi</v>
      </c>
      <c r="O774">
        <v>5.44</v>
      </c>
      <c r="P774" t="str">
        <f>IF(Walmart[[#This Row],[Sales]]&gt;=1000,"High Value", IF(Walmart[[#This Row],[Sales]]&gt;=500,"Medium Value","Low Value"))</f>
        <v>Low Value</v>
      </c>
    </row>
    <row r="775" spans="1:16" x14ac:dyDescent="0.3">
      <c r="A775" t="s">
        <v>1016</v>
      </c>
      <c r="B775" s="1">
        <v>41890</v>
      </c>
      <c r="C775" s="1" t="str">
        <f>TEXT(Walmart[[#This Row],[Order Date]],"mmmm")</f>
        <v>September</v>
      </c>
      <c r="D775" s="1">
        <v>41895</v>
      </c>
      <c r="E775" s="1" t="str">
        <f>IF(DATEDIF(Walmart[[#This Row],[Order Date]],Walmart[[#This Row],[Ship Date]],"D")&lt;7,"On time","Delayed")</f>
        <v>On time</v>
      </c>
      <c r="F775" t="s">
        <v>121</v>
      </c>
      <c r="G775" t="s">
        <v>14</v>
      </c>
      <c r="H775" t="s">
        <v>68</v>
      </c>
      <c r="I775" t="s">
        <v>69</v>
      </c>
      <c r="J775" t="s">
        <v>33</v>
      </c>
      <c r="K775" t="s">
        <v>1017</v>
      </c>
      <c r="L775">
        <v>37.68</v>
      </c>
      <c r="M775">
        <v>3</v>
      </c>
      <c r="N775" t="str">
        <f>IF(Walmart[[#This Row],[Quantity]]&gt;=7,"Bulk",IF(Walmart[[#This Row],[Quantity]]&gt;=2,"Multi","Single"))</f>
        <v>Multi</v>
      </c>
      <c r="O775">
        <v>2.36</v>
      </c>
      <c r="P775" t="str">
        <f>IF(Walmart[[#This Row],[Sales]]&gt;=1000,"High Value", IF(Walmart[[#This Row],[Sales]]&gt;=500,"Medium Value","Low Value"))</f>
        <v>Low Value</v>
      </c>
    </row>
    <row r="776" spans="1:16" hidden="1" x14ac:dyDescent="0.3">
      <c r="A776" t="s">
        <v>2044</v>
      </c>
      <c r="B776" s="1">
        <v>41305</v>
      </c>
      <c r="C776" s="1" t="str">
        <f>TEXT(Walmart[[#This Row],[Order Date]],"mmmm")</f>
        <v>January</v>
      </c>
      <c r="D776" s="1">
        <v>41309</v>
      </c>
      <c r="E776" s="1" t="str">
        <f>IF(DATEDIF(Walmart[[#This Row],[Order Date]],Walmart[[#This Row],[Ship Date]],"D")&lt;7,"On time","Delayed")</f>
        <v>On time</v>
      </c>
      <c r="F776" t="s">
        <v>2045</v>
      </c>
      <c r="G776" t="s">
        <v>14</v>
      </c>
      <c r="H776" t="s">
        <v>15</v>
      </c>
      <c r="I776" t="s">
        <v>16</v>
      </c>
      <c r="J776" t="s">
        <v>146</v>
      </c>
      <c r="K776" t="s">
        <v>2046</v>
      </c>
      <c r="L776">
        <v>109.59</v>
      </c>
      <c r="M776">
        <v>1</v>
      </c>
      <c r="N776" t="str">
        <f>IF(Walmart[[#This Row],[Quantity]]&gt;=7,"Bulk",IF(Walmart[[#This Row],[Quantity]]&gt;=2,"Multi","Single"))</f>
        <v>Single</v>
      </c>
      <c r="O776">
        <v>8.2200000000000006</v>
      </c>
      <c r="P776" t="str">
        <f>IF(Walmart[[#This Row],[Sales]]&gt;=1000,"High Value", IF(Walmart[[#This Row],[Sales]]&gt;=500,"Medium Value","Low Value"))</f>
        <v>Low Value</v>
      </c>
    </row>
    <row r="777" spans="1:16" x14ac:dyDescent="0.3">
      <c r="A777" t="s">
        <v>1729</v>
      </c>
      <c r="B777" s="1">
        <v>41890</v>
      </c>
      <c r="C777" s="1" t="str">
        <f>TEXT(Walmart[[#This Row],[Order Date]],"mmmm")</f>
        <v>September</v>
      </c>
      <c r="D777" s="1">
        <v>41892</v>
      </c>
      <c r="E777" s="1" t="str">
        <f>IF(DATEDIF(Walmart[[#This Row],[Order Date]],Walmart[[#This Row],[Ship Date]],"D")&lt;7,"On time","Delayed")</f>
        <v>On time</v>
      </c>
      <c r="F777" t="s">
        <v>1314</v>
      </c>
      <c r="G777" t="s">
        <v>14</v>
      </c>
      <c r="H777" t="s">
        <v>84</v>
      </c>
      <c r="I777" t="s">
        <v>58</v>
      </c>
      <c r="J777" t="s">
        <v>27</v>
      </c>
      <c r="K777" t="s">
        <v>1730</v>
      </c>
      <c r="L777">
        <v>7.86</v>
      </c>
      <c r="M777">
        <v>3</v>
      </c>
      <c r="N777" t="str">
        <f>IF(Walmart[[#This Row],[Quantity]]&gt;=7,"Bulk",IF(Walmart[[#This Row],[Quantity]]&gt;=2,"Multi","Single"))</f>
        <v>Multi</v>
      </c>
      <c r="O777">
        <v>-6.02</v>
      </c>
      <c r="P777" t="str">
        <f>IF(Walmart[[#This Row],[Sales]]&gt;=1000,"High Value", IF(Walmart[[#This Row],[Sales]]&gt;=500,"Medium Value","Low Value"))</f>
        <v>Low Value</v>
      </c>
    </row>
    <row r="778" spans="1:16" hidden="1" x14ac:dyDescent="0.3">
      <c r="A778" t="s">
        <v>2050</v>
      </c>
      <c r="B778" s="1">
        <v>41555</v>
      </c>
      <c r="C778" s="1" t="str">
        <f>TEXT(Walmart[[#This Row],[Order Date]],"mmmm")</f>
        <v>October</v>
      </c>
      <c r="D778" s="1">
        <v>41560</v>
      </c>
      <c r="E778" s="1" t="str">
        <f>IF(DATEDIF(Walmart[[#This Row],[Order Date]],Walmart[[#This Row],[Ship Date]],"D")&lt;7,"On time","Delayed")</f>
        <v>On time</v>
      </c>
      <c r="F778" t="s">
        <v>2051</v>
      </c>
      <c r="G778" t="s">
        <v>14</v>
      </c>
      <c r="H778" t="s">
        <v>15</v>
      </c>
      <c r="I778" t="s">
        <v>16</v>
      </c>
      <c r="J778" t="s">
        <v>93</v>
      </c>
      <c r="K778" t="s">
        <v>2052</v>
      </c>
      <c r="L778">
        <v>10.56</v>
      </c>
      <c r="M778">
        <v>2</v>
      </c>
      <c r="N778" t="str">
        <f>IF(Walmart[[#This Row],[Quantity]]&gt;=7,"Bulk",IF(Walmart[[#This Row],[Quantity]]&gt;=2,"Multi","Single"))</f>
        <v>Multi</v>
      </c>
      <c r="O778">
        <v>5.07</v>
      </c>
      <c r="P778" t="str">
        <f>IF(Walmart[[#This Row],[Sales]]&gt;=1000,"High Value", IF(Walmart[[#This Row],[Sales]]&gt;=500,"Medium Value","Low Value"))</f>
        <v>Low Value</v>
      </c>
    </row>
    <row r="779" spans="1:16" x14ac:dyDescent="0.3">
      <c r="A779" t="s">
        <v>2258</v>
      </c>
      <c r="B779" s="1">
        <v>41890</v>
      </c>
      <c r="C779" s="1" t="str">
        <f>TEXT(Walmart[[#This Row],[Order Date]],"mmmm")</f>
        <v>September</v>
      </c>
      <c r="D779" s="1">
        <v>41891</v>
      </c>
      <c r="E779" s="1" t="str">
        <f>IF(DATEDIF(Walmart[[#This Row],[Order Date]],Walmart[[#This Row],[Ship Date]],"D")&lt;7,"On time","Delayed")</f>
        <v>On time</v>
      </c>
      <c r="F779" t="s">
        <v>1086</v>
      </c>
      <c r="G779" t="s">
        <v>14</v>
      </c>
      <c r="H779" t="s">
        <v>2259</v>
      </c>
      <c r="I779" t="s">
        <v>32</v>
      </c>
      <c r="J779" t="s">
        <v>21</v>
      </c>
      <c r="K779" t="s">
        <v>2260</v>
      </c>
      <c r="L779">
        <v>25.16</v>
      </c>
      <c r="M779">
        <v>2</v>
      </c>
      <c r="N779" t="str">
        <f>IF(Walmart[[#This Row],[Quantity]]&gt;=7,"Bulk",IF(Walmart[[#This Row],[Quantity]]&gt;=2,"Multi","Single"))</f>
        <v>Multi</v>
      </c>
      <c r="O779">
        <v>10.57</v>
      </c>
      <c r="P779" t="str">
        <f>IF(Walmart[[#This Row],[Sales]]&gt;=1000,"High Value", IF(Walmart[[#This Row],[Sales]]&gt;=500,"Medium Value","Low Value"))</f>
        <v>Low Value</v>
      </c>
    </row>
    <row r="780" spans="1:16" hidden="1" x14ac:dyDescent="0.3">
      <c r="A780" t="s">
        <v>2054</v>
      </c>
      <c r="B780" s="1">
        <v>40862</v>
      </c>
      <c r="C780" s="1" t="str">
        <f>TEXT(Walmart[[#This Row],[Order Date]],"mmmm")</f>
        <v>November</v>
      </c>
      <c r="D780" s="1">
        <v>40865</v>
      </c>
      <c r="E780" s="1" t="str">
        <f>IF(DATEDIF(Walmart[[#This Row],[Order Date]],Walmart[[#This Row],[Ship Date]],"D")&lt;7,"On time","Delayed")</f>
        <v>On time</v>
      </c>
      <c r="F780" t="s">
        <v>2055</v>
      </c>
      <c r="G780" t="s">
        <v>14</v>
      </c>
      <c r="H780" t="s">
        <v>15</v>
      </c>
      <c r="I780" t="s">
        <v>16</v>
      </c>
      <c r="J780" t="s">
        <v>21</v>
      </c>
      <c r="K780" t="s">
        <v>2056</v>
      </c>
      <c r="L780">
        <v>10.11</v>
      </c>
      <c r="M780">
        <v>3</v>
      </c>
      <c r="N780" t="str">
        <f>IF(Walmart[[#This Row],[Quantity]]&gt;=7,"Bulk",IF(Walmart[[#This Row],[Quantity]]&gt;=2,"Multi","Single"))</f>
        <v>Multi</v>
      </c>
      <c r="O780">
        <v>3.24</v>
      </c>
      <c r="P780" t="str">
        <f>IF(Walmart[[#This Row],[Sales]]&gt;=1000,"High Value", IF(Walmart[[#This Row],[Sales]]&gt;=500,"Medium Value","Low Value"))</f>
        <v>Low Value</v>
      </c>
    </row>
    <row r="781" spans="1:16" hidden="1" x14ac:dyDescent="0.3">
      <c r="A781" t="s">
        <v>2057</v>
      </c>
      <c r="B781" s="1">
        <v>41627</v>
      </c>
      <c r="C781" s="1" t="str">
        <f>TEXT(Walmart[[#This Row],[Order Date]],"mmmm")</f>
        <v>December</v>
      </c>
      <c r="D781" s="1">
        <v>41633</v>
      </c>
      <c r="E781" s="1" t="str">
        <f>IF(DATEDIF(Walmart[[#This Row],[Order Date]],Walmart[[#This Row],[Ship Date]],"D")&lt;7,"On time","Delayed")</f>
        <v>On time</v>
      </c>
      <c r="F781" t="s">
        <v>773</v>
      </c>
      <c r="G781" t="s">
        <v>14</v>
      </c>
      <c r="H781" t="s">
        <v>160</v>
      </c>
      <c r="I781" t="s">
        <v>16</v>
      </c>
      <c r="J781" t="s">
        <v>53</v>
      </c>
      <c r="K781" t="s">
        <v>2058</v>
      </c>
      <c r="L781">
        <v>72.64</v>
      </c>
      <c r="M781">
        <v>2</v>
      </c>
      <c r="N781" t="str">
        <f>IF(Walmart[[#This Row],[Quantity]]&gt;=7,"Bulk",IF(Walmart[[#This Row],[Quantity]]&gt;=2,"Multi","Single"))</f>
        <v>Multi</v>
      </c>
      <c r="O781">
        <v>21.79</v>
      </c>
      <c r="P781" t="str">
        <f>IF(Walmart[[#This Row],[Sales]]&gt;=1000,"High Value", IF(Walmart[[#This Row],[Sales]]&gt;=500,"Medium Value","Low Value"))</f>
        <v>Low Value</v>
      </c>
    </row>
    <row r="782" spans="1:16" x14ac:dyDescent="0.3">
      <c r="A782" t="s">
        <v>2423</v>
      </c>
      <c r="B782" s="1">
        <v>41890</v>
      </c>
      <c r="C782" s="1" t="str">
        <f>TEXT(Walmart[[#This Row],[Order Date]],"mmmm")</f>
        <v>September</v>
      </c>
      <c r="D782" s="1">
        <v>41894</v>
      </c>
      <c r="E782" s="1" t="str">
        <f>IF(DATEDIF(Walmart[[#This Row],[Order Date]],Walmart[[#This Row],[Ship Date]],"D")&lt;7,"On time","Delayed")</f>
        <v>On time</v>
      </c>
      <c r="F782" t="s">
        <v>2424</v>
      </c>
      <c r="G782" t="s">
        <v>14</v>
      </c>
      <c r="H782" t="s">
        <v>15</v>
      </c>
      <c r="I782" t="s">
        <v>16</v>
      </c>
      <c r="J782" t="s">
        <v>21</v>
      </c>
      <c r="K782" t="s">
        <v>839</v>
      </c>
      <c r="L782">
        <v>19.760000000000002</v>
      </c>
      <c r="M782">
        <v>4</v>
      </c>
      <c r="N782" t="str">
        <f>IF(Walmart[[#This Row],[Quantity]]&gt;=7,"Bulk",IF(Walmart[[#This Row],[Quantity]]&gt;=2,"Multi","Single"))</f>
        <v>Multi</v>
      </c>
      <c r="O782">
        <v>8.3000000000000007</v>
      </c>
      <c r="P782" t="str">
        <f>IF(Walmart[[#This Row],[Sales]]&gt;=1000,"High Value", IF(Walmart[[#This Row],[Sales]]&gt;=500,"Medium Value","Low Value"))</f>
        <v>Low Value</v>
      </c>
    </row>
    <row r="783" spans="1:16" hidden="1" x14ac:dyDescent="0.3">
      <c r="A783" t="s">
        <v>2061</v>
      </c>
      <c r="B783" s="1">
        <v>40639</v>
      </c>
      <c r="C783" s="1" t="str">
        <f>TEXT(Walmart[[#This Row],[Order Date]],"mmmm")</f>
        <v>April</v>
      </c>
      <c r="D783" s="1">
        <v>40645</v>
      </c>
      <c r="E783" s="1" t="str">
        <f>IF(DATEDIF(Walmart[[#This Row],[Order Date]],Walmart[[#This Row],[Ship Date]],"D")&lt;7,"On time","Delayed")</f>
        <v>On time</v>
      </c>
      <c r="F783" t="s">
        <v>1132</v>
      </c>
      <c r="G783" t="s">
        <v>14</v>
      </c>
      <c r="H783" t="s">
        <v>25</v>
      </c>
      <c r="I783" t="s">
        <v>26</v>
      </c>
      <c r="J783" t="s">
        <v>43</v>
      </c>
      <c r="K783" t="s">
        <v>1787</v>
      </c>
      <c r="L783">
        <v>653.54999999999995</v>
      </c>
      <c r="M783">
        <v>3</v>
      </c>
      <c r="N783" t="str">
        <f>IF(Walmart[[#This Row],[Quantity]]&gt;=7,"Bulk",IF(Walmart[[#This Row],[Quantity]]&gt;=2,"Multi","Single"))</f>
        <v>Multi</v>
      </c>
      <c r="O783">
        <v>111.1</v>
      </c>
      <c r="P783" t="str">
        <f>IF(Walmart[[#This Row],[Sales]]&gt;=1000,"High Value", IF(Walmart[[#This Row],[Sales]]&gt;=500,"Medium Value","Low Value"))</f>
        <v>Medium Value</v>
      </c>
    </row>
    <row r="784" spans="1:16" hidden="1" x14ac:dyDescent="0.3">
      <c r="A784" t="s">
        <v>2062</v>
      </c>
      <c r="B784" s="1">
        <v>41589</v>
      </c>
      <c r="C784" s="1" t="str">
        <f>TEXT(Walmart[[#This Row],[Order Date]],"mmmm")</f>
        <v>November</v>
      </c>
      <c r="D784" s="1">
        <v>41592</v>
      </c>
      <c r="E784" s="1" t="str">
        <f>IF(DATEDIF(Walmart[[#This Row],[Order Date]],Walmart[[#This Row],[Ship Date]],"D")&lt;7,"On time","Delayed")</f>
        <v>On time</v>
      </c>
      <c r="F784" t="s">
        <v>2063</v>
      </c>
      <c r="G784" t="s">
        <v>14</v>
      </c>
      <c r="H784" t="s">
        <v>15</v>
      </c>
      <c r="I784" t="s">
        <v>16</v>
      </c>
      <c r="J784" t="s">
        <v>93</v>
      </c>
      <c r="K784" t="s">
        <v>2064</v>
      </c>
      <c r="L784">
        <v>67.709999999999994</v>
      </c>
      <c r="M784">
        <v>3</v>
      </c>
      <c r="N784" t="str">
        <f>IF(Walmart[[#This Row],[Quantity]]&gt;=7,"Bulk",IF(Walmart[[#This Row],[Quantity]]&gt;=2,"Multi","Single"))</f>
        <v>Multi</v>
      </c>
      <c r="O784">
        <v>32.5</v>
      </c>
      <c r="P784" t="str">
        <f>IF(Walmart[[#This Row],[Sales]]&gt;=1000,"High Value", IF(Walmart[[#This Row],[Sales]]&gt;=500,"Medium Value","Low Value"))</f>
        <v>Low Value</v>
      </c>
    </row>
    <row r="785" spans="1:16" hidden="1" x14ac:dyDescent="0.3">
      <c r="A785" t="s">
        <v>2065</v>
      </c>
      <c r="B785" s="1">
        <v>41170</v>
      </c>
      <c r="C785" s="1" t="str">
        <f>TEXT(Walmart[[#This Row],[Order Date]],"mmmm")</f>
        <v>September</v>
      </c>
      <c r="D785" s="1">
        <v>41176</v>
      </c>
      <c r="E785" s="1" t="str">
        <f>IF(DATEDIF(Walmart[[#This Row],[Order Date]],Walmart[[#This Row],[Ship Date]],"D")&lt;7,"On time","Delayed")</f>
        <v>On time</v>
      </c>
      <c r="F785" t="s">
        <v>2048</v>
      </c>
      <c r="G785" t="s">
        <v>14</v>
      </c>
      <c r="H785" t="s">
        <v>222</v>
      </c>
      <c r="I785" t="s">
        <v>26</v>
      </c>
      <c r="J785" t="s">
        <v>93</v>
      </c>
      <c r="K785" t="s">
        <v>1758</v>
      </c>
      <c r="L785">
        <v>18.54</v>
      </c>
      <c r="M785">
        <v>2</v>
      </c>
      <c r="N785" t="str">
        <f>IF(Walmart[[#This Row],[Quantity]]&gt;=7,"Bulk",IF(Walmart[[#This Row],[Quantity]]&gt;=2,"Multi","Single"))</f>
        <v>Multi</v>
      </c>
      <c r="O785">
        <v>8.7100000000000009</v>
      </c>
      <c r="P785" t="str">
        <f>IF(Walmart[[#This Row],[Sales]]&gt;=1000,"High Value", IF(Walmart[[#This Row],[Sales]]&gt;=500,"Medium Value","Low Value"))</f>
        <v>Low Value</v>
      </c>
    </row>
    <row r="786" spans="1:16" hidden="1" x14ac:dyDescent="0.3">
      <c r="A786" t="s">
        <v>2066</v>
      </c>
      <c r="B786" s="1">
        <v>41160</v>
      </c>
      <c r="C786" s="1" t="str">
        <f>TEXT(Walmart[[#This Row],[Order Date]],"mmmm")</f>
        <v>September</v>
      </c>
      <c r="D786" s="1">
        <v>41163</v>
      </c>
      <c r="E786" s="1" t="str">
        <f>IF(DATEDIF(Walmart[[#This Row],[Order Date]],Walmart[[#This Row],[Ship Date]],"D")&lt;7,"On time","Delayed")</f>
        <v>On time</v>
      </c>
      <c r="F786" t="s">
        <v>568</v>
      </c>
      <c r="G786" t="s">
        <v>14</v>
      </c>
      <c r="H786" t="s">
        <v>2067</v>
      </c>
      <c r="I786" t="s">
        <v>16</v>
      </c>
      <c r="J786" t="s">
        <v>93</v>
      </c>
      <c r="K786" t="s">
        <v>2068</v>
      </c>
      <c r="L786">
        <v>26.4</v>
      </c>
      <c r="M786">
        <v>5</v>
      </c>
      <c r="N786" t="str">
        <f>IF(Walmart[[#This Row],[Quantity]]&gt;=7,"Bulk",IF(Walmart[[#This Row],[Quantity]]&gt;=2,"Multi","Single"))</f>
        <v>Multi</v>
      </c>
      <c r="O786">
        <v>11.88</v>
      </c>
      <c r="P786" t="str">
        <f>IF(Walmart[[#This Row],[Sales]]&gt;=1000,"High Value", IF(Walmart[[#This Row],[Sales]]&gt;=500,"Medium Value","Low Value"))</f>
        <v>Low Value</v>
      </c>
    </row>
    <row r="787" spans="1:16" x14ac:dyDescent="0.3">
      <c r="A787" t="s">
        <v>3046</v>
      </c>
      <c r="B787" s="1">
        <v>41890</v>
      </c>
      <c r="C787" s="1" t="str">
        <f>TEXT(Walmart[[#This Row],[Order Date]],"mmmm")</f>
        <v>September</v>
      </c>
      <c r="D787" s="1">
        <v>41895</v>
      </c>
      <c r="E787" s="1" t="str">
        <f>IF(DATEDIF(Walmart[[#This Row],[Order Date]],Walmart[[#This Row],[Ship Date]],"D")&lt;7,"On time","Delayed")</f>
        <v>On time</v>
      </c>
      <c r="F787" t="s">
        <v>487</v>
      </c>
      <c r="G787" t="s">
        <v>14</v>
      </c>
      <c r="H787" t="s">
        <v>2832</v>
      </c>
      <c r="I787" t="s">
        <v>16</v>
      </c>
      <c r="J787" t="s">
        <v>88</v>
      </c>
      <c r="K787" t="s">
        <v>3047</v>
      </c>
      <c r="L787">
        <v>161.57</v>
      </c>
      <c r="M787">
        <v>2</v>
      </c>
      <c r="N787" t="str">
        <f>IF(Walmart[[#This Row],[Quantity]]&gt;=7,"Bulk",IF(Walmart[[#This Row],[Quantity]]&gt;=2,"Multi","Single"))</f>
        <v>Multi</v>
      </c>
      <c r="O787">
        <v>-28.27</v>
      </c>
      <c r="P787" t="str">
        <f>IF(Walmart[[#This Row],[Sales]]&gt;=1000,"High Value", IF(Walmart[[#This Row],[Sales]]&gt;=500,"Medium Value","Low Value"))</f>
        <v>Low Value</v>
      </c>
    </row>
    <row r="788" spans="1:16" hidden="1" x14ac:dyDescent="0.3">
      <c r="A788" t="s">
        <v>2072</v>
      </c>
      <c r="B788" s="1">
        <v>41218</v>
      </c>
      <c r="C788" s="1" t="str">
        <f>TEXT(Walmart[[#This Row],[Order Date]],"mmmm")</f>
        <v>November</v>
      </c>
      <c r="D788" s="1">
        <v>41218</v>
      </c>
      <c r="E788" s="1" t="str">
        <f>IF(DATEDIF(Walmart[[#This Row],[Order Date]],Walmart[[#This Row],[Ship Date]],"D")&lt;7,"On time","Delayed")</f>
        <v>On time</v>
      </c>
      <c r="F788" t="s">
        <v>1086</v>
      </c>
      <c r="G788" t="s">
        <v>14</v>
      </c>
      <c r="H788" t="s">
        <v>37</v>
      </c>
      <c r="I788" t="s">
        <v>16</v>
      </c>
      <c r="J788" t="s">
        <v>33</v>
      </c>
      <c r="K788" t="s">
        <v>1017</v>
      </c>
      <c r="L788">
        <v>62.8</v>
      </c>
      <c r="M788">
        <v>4</v>
      </c>
      <c r="N788" t="str">
        <f>IF(Walmart[[#This Row],[Quantity]]&gt;=7,"Bulk",IF(Walmart[[#This Row],[Quantity]]&gt;=2,"Multi","Single"))</f>
        <v>Multi</v>
      </c>
      <c r="O788">
        <v>15.7</v>
      </c>
      <c r="P788" t="str">
        <f>IF(Walmart[[#This Row],[Sales]]&gt;=1000,"High Value", IF(Walmart[[#This Row],[Sales]]&gt;=500,"Medium Value","Low Value"))</f>
        <v>Low Value</v>
      </c>
    </row>
    <row r="789" spans="1:16" x14ac:dyDescent="0.3">
      <c r="A789" t="s">
        <v>3367</v>
      </c>
      <c r="B789" s="1">
        <v>41890</v>
      </c>
      <c r="C789" s="1" t="str">
        <f>TEXT(Walmart[[#This Row],[Order Date]],"mmmm")</f>
        <v>September</v>
      </c>
      <c r="D789" s="1">
        <v>41893</v>
      </c>
      <c r="E789" s="1" t="str">
        <f>IF(DATEDIF(Walmart[[#This Row],[Order Date]],Walmart[[#This Row],[Ship Date]],"D")&lt;7,"On time","Delayed")</f>
        <v>On time</v>
      </c>
      <c r="F789" t="s">
        <v>616</v>
      </c>
      <c r="G789" t="s">
        <v>14</v>
      </c>
      <c r="H789" t="s">
        <v>434</v>
      </c>
      <c r="I789" t="s">
        <v>26</v>
      </c>
      <c r="J789" t="s">
        <v>21</v>
      </c>
      <c r="K789" t="s">
        <v>3368</v>
      </c>
      <c r="L789">
        <v>80.959999999999994</v>
      </c>
      <c r="M789">
        <v>4</v>
      </c>
      <c r="N789" t="str">
        <f>IF(Walmart[[#This Row],[Quantity]]&gt;=7,"Bulk",IF(Walmart[[#This Row],[Quantity]]&gt;=2,"Multi","Single"))</f>
        <v>Multi</v>
      </c>
      <c r="O789">
        <v>34.81</v>
      </c>
      <c r="P789" t="str">
        <f>IF(Walmart[[#This Row],[Sales]]&gt;=1000,"High Value", IF(Walmart[[#This Row],[Sales]]&gt;=500,"Medium Value","Low Value"))</f>
        <v>Low Value</v>
      </c>
    </row>
    <row r="790" spans="1:16" x14ac:dyDescent="0.3">
      <c r="A790" t="s">
        <v>781</v>
      </c>
      <c r="B790" s="1">
        <v>41888</v>
      </c>
      <c r="C790" s="1" t="str">
        <f>TEXT(Walmart[[#This Row],[Order Date]],"mmmm")</f>
        <v>September</v>
      </c>
      <c r="D790" s="1">
        <v>41889</v>
      </c>
      <c r="E790" s="1" t="str">
        <f>IF(DATEDIF(Walmart[[#This Row],[Order Date]],Walmart[[#This Row],[Ship Date]],"D")&lt;7,"On time","Delayed")</f>
        <v>On time</v>
      </c>
      <c r="F790" t="s">
        <v>782</v>
      </c>
      <c r="G790" t="s">
        <v>14</v>
      </c>
      <c r="H790" t="s">
        <v>25</v>
      </c>
      <c r="I790" t="s">
        <v>26</v>
      </c>
      <c r="J790" t="s">
        <v>38</v>
      </c>
      <c r="K790" t="s">
        <v>544</v>
      </c>
      <c r="L790">
        <v>2.78</v>
      </c>
      <c r="M790">
        <v>1</v>
      </c>
      <c r="N790" t="str">
        <f>IF(Walmart[[#This Row],[Quantity]]&gt;=7,"Bulk",IF(Walmart[[#This Row],[Quantity]]&gt;=2,"Multi","Single"))</f>
        <v>Single</v>
      </c>
      <c r="O790">
        <v>0.72</v>
      </c>
      <c r="P790" t="str">
        <f>IF(Walmart[[#This Row],[Sales]]&gt;=1000,"High Value", IF(Walmart[[#This Row],[Sales]]&gt;=500,"Medium Value","Low Value"))</f>
        <v>Low Value</v>
      </c>
    </row>
    <row r="791" spans="1:16" x14ac:dyDescent="0.3">
      <c r="A791" t="s">
        <v>1193</v>
      </c>
      <c r="B791" s="1">
        <v>41887</v>
      </c>
      <c r="C791" s="1" t="str">
        <f>TEXT(Walmart[[#This Row],[Order Date]],"mmmm")</f>
        <v>September</v>
      </c>
      <c r="D791" s="1">
        <v>41891</v>
      </c>
      <c r="E791" s="1" t="str">
        <f>IF(DATEDIF(Walmart[[#This Row],[Order Date]],Walmart[[#This Row],[Ship Date]],"D")&lt;7,"On time","Delayed")</f>
        <v>On time</v>
      </c>
      <c r="F791" t="s">
        <v>1194</v>
      </c>
      <c r="G791" t="s">
        <v>14</v>
      </c>
      <c r="H791" t="s">
        <v>15</v>
      </c>
      <c r="I791" t="s">
        <v>16</v>
      </c>
      <c r="J791" t="s">
        <v>43</v>
      </c>
      <c r="K791" t="s">
        <v>1195</v>
      </c>
      <c r="L791">
        <v>1322.35</v>
      </c>
      <c r="M791">
        <v>3</v>
      </c>
      <c r="N791" t="str">
        <f>IF(Walmart[[#This Row],[Quantity]]&gt;=7,"Bulk",IF(Walmart[[#This Row],[Quantity]]&gt;=2,"Multi","Single"))</f>
        <v>Multi</v>
      </c>
      <c r="O791">
        <v>-99.18</v>
      </c>
      <c r="P791" t="str">
        <f>IF(Walmart[[#This Row],[Sales]]&gt;=1000,"High Value", IF(Walmart[[#This Row],[Sales]]&gt;=500,"Medium Value","Low Value"))</f>
        <v>High Value</v>
      </c>
    </row>
    <row r="792" spans="1:16" x14ac:dyDescent="0.3">
      <c r="A792" t="s">
        <v>1450</v>
      </c>
      <c r="B792" s="1">
        <v>41887</v>
      </c>
      <c r="C792" s="1" t="str">
        <f>TEXT(Walmart[[#This Row],[Order Date]],"mmmm")</f>
        <v>September</v>
      </c>
      <c r="D792" s="1">
        <v>41888</v>
      </c>
      <c r="E792" s="1" t="str">
        <f>IF(DATEDIF(Walmart[[#This Row],[Order Date]],Walmart[[#This Row],[Ship Date]],"D")&lt;7,"On time","Delayed")</f>
        <v>On time</v>
      </c>
      <c r="F792" t="s">
        <v>1451</v>
      </c>
      <c r="G792" t="s">
        <v>14</v>
      </c>
      <c r="H792" t="s">
        <v>1452</v>
      </c>
      <c r="I792" t="s">
        <v>16</v>
      </c>
      <c r="J792" t="s">
        <v>93</v>
      </c>
      <c r="K792" t="s">
        <v>1453</v>
      </c>
      <c r="L792">
        <v>12.96</v>
      </c>
      <c r="M792">
        <v>2</v>
      </c>
      <c r="N792" t="str">
        <f>IF(Walmart[[#This Row],[Quantity]]&gt;=7,"Bulk",IF(Walmart[[#This Row],[Quantity]]&gt;=2,"Multi","Single"))</f>
        <v>Multi</v>
      </c>
      <c r="O792">
        <v>6.22</v>
      </c>
      <c r="P792" t="str">
        <f>IF(Walmart[[#This Row],[Sales]]&gt;=1000,"High Value", IF(Walmart[[#This Row],[Sales]]&gt;=500,"Medium Value","Low Value"))</f>
        <v>Low Value</v>
      </c>
    </row>
    <row r="793" spans="1:16" hidden="1" x14ac:dyDescent="0.3">
      <c r="A793" t="s">
        <v>2084</v>
      </c>
      <c r="B793" s="1">
        <v>41128</v>
      </c>
      <c r="C793" s="1" t="str">
        <f>TEXT(Walmart[[#This Row],[Order Date]],"mmmm")</f>
        <v>August</v>
      </c>
      <c r="D793" s="1">
        <v>41133</v>
      </c>
      <c r="E793" s="1" t="str">
        <f>IF(DATEDIF(Walmart[[#This Row],[Order Date]],Walmart[[#This Row],[Ship Date]],"D")&lt;7,"On time","Delayed")</f>
        <v>On time</v>
      </c>
      <c r="F793" t="s">
        <v>2085</v>
      </c>
      <c r="G793" t="s">
        <v>14</v>
      </c>
      <c r="H793" t="s">
        <v>1323</v>
      </c>
      <c r="I793" t="s">
        <v>16</v>
      </c>
      <c r="J793" t="s">
        <v>27</v>
      </c>
      <c r="K793" t="s">
        <v>2086</v>
      </c>
      <c r="L793">
        <v>19.149999999999999</v>
      </c>
      <c r="M793">
        <v>3</v>
      </c>
      <c r="N793" t="str">
        <f>IF(Walmart[[#This Row],[Quantity]]&gt;=7,"Bulk",IF(Walmart[[#This Row],[Quantity]]&gt;=2,"Multi","Single"))</f>
        <v>Multi</v>
      </c>
      <c r="O793">
        <v>6.46</v>
      </c>
      <c r="P793" t="str">
        <f>IF(Walmart[[#This Row],[Sales]]&gt;=1000,"High Value", IF(Walmart[[#This Row],[Sales]]&gt;=500,"Medium Value","Low Value"))</f>
        <v>Low Value</v>
      </c>
    </row>
    <row r="794" spans="1:16" hidden="1" x14ac:dyDescent="0.3">
      <c r="A794" t="s">
        <v>2087</v>
      </c>
      <c r="B794" s="1">
        <v>41596</v>
      </c>
      <c r="C794" s="1" t="str">
        <f>TEXT(Walmart[[#This Row],[Order Date]],"mmmm")</f>
        <v>November</v>
      </c>
      <c r="D794" s="1">
        <v>41601</v>
      </c>
      <c r="E794" s="1" t="str">
        <f>IF(DATEDIF(Walmart[[#This Row],[Order Date]],Walmart[[#This Row],[Ship Date]],"D")&lt;7,"On time","Delayed")</f>
        <v>On time</v>
      </c>
      <c r="F794" t="s">
        <v>1006</v>
      </c>
      <c r="G794" t="s">
        <v>14</v>
      </c>
      <c r="H794" t="s">
        <v>122</v>
      </c>
      <c r="I794" t="s">
        <v>123</v>
      </c>
      <c r="J794" t="s">
        <v>27</v>
      </c>
      <c r="K794" t="s">
        <v>1256</v>
      </c>
      <c r="L794">
        <v>10.78</v>
      </c>
      <c r="M794">
        <v>3</v>
      </c>
      <c r="N794" t="str">
        <f>IF(Walmart[[#This Row],[Quantity]]&gt;=7,"Bulk",IF(Walmart[[#This Row],[Quantity]]&gt;=2,"Multi","Single"))</f>
        <v>Multi</v>
      </c>
      <c r="O794">
        <v>3.37</v>
      </c>
      <c r="P794" t="str">
        <f>IF(Walmart[[#This Row],[Sales]]&gt;=1000,"High Value", IF(Walmart[[#This Row],[Sales]]&gt;=500,"Medium Value","Low Value"))</f>
        <v>Low Value</v>
      </c>
    </row>
    <row r="795" spans="1:16" x14ac:dyDescent="0.3">
      <c r="A795" t="s">
        <v>1599</v>
      </c>
      <c r="B795" s="1">
        <v>41887</v>
      </c>
      <c r="C795" s="1" t="str">
        <f>TEXT(Walmart[[#This Row],[Order Date]],"mmmm")</f>
        <v>September</v>
      </c>
      <c r="D795" s="1">
        <v>41891</v>
      </c>
      <c r="E795" s="1" t="str">
        <f>IF(DATEDIF(Walmart[[#This Row],[Order Date]],Walmart[[#This Row],[Ship Date]],"D")&lt;7,"On time","Delayed")</f>
        <v>On time</v>
      </c>
      <c r="F795" t="s">
        <v>1600</v>
      </c>
      <c r="G795" t="s">
        <v>14</v>
      </c>
      <c r="H795" t="s">
        <v>15</v>
      </c>
      <c r="I795" t="s">
        <v>16</v>
      </c>
      <c r="J795" t="s">
        <v>27</v>
      </c>
      <c r="K795" t="s">
        <v>924</v>
      </c>
      <c r="L795">
        <v>487.98</v>
      </c>
      <c r="M795">
        <v>2</v>
      </c>
      <c r="N795" t="str">
        <f>IF(Walmart[[#This Row],[Quantity]]&gt;=7,"Bulk",IF(Walmart[[#This Row],[Quantity]]&gt;=2,"Multi","Single"))</f>
        <v>Multi</v>
      </c>
      <c r="O795">
        <v>152.5</v>
      </c>
      <c r="P795" t="str">
        <f>IF(Walmart[[#This Row],[Sales]]&gt;=1000,"High Value", IF(Walmart[[#This Row],[Sales]]&gt;=500,"Medium Value","Low Value"))</f>
        <v>Low Value</v>
      </c>
    </row>
    <row r="796" spans="1:16" hidden="1" x14ac:dyDescent="0.3">
      <c r="A796" t="s">
        <v>2090</v>
      </c>
      <c r="B796" s="1">
        <v>41571</v>
      </c>
      <c r="C796" s="1" t="str">
        <f>TEXT(Walmart[[#This Row],[Order Date]],"mmmm")</f>
        <v>October</v>
      </c>
      <c r="D796" s="1">
        <v>41576</v>
      </c>
      <c r="E796" s="1" t="str">
        <f>IF(DATEDIF(Walmart[[#This Row],[Order Date]],Walmart[[#This Row],[Ship Date]],"D")&lt;7,"On time","Delayed")</f>
        <v>On time</v>
      </c>
      <c r="F796" t="s">
        <v>1283</v>
      </c>
      <c r="G796" t="s">
        <v>14</v>
      </c>
      <c r="H796" t="s">
        <v>25</v>
      </c>
      <c r="I796" t="s">
        <v>26</v>
      </c>
      <c r="J796" t="s">
        <v>191</v>
      </c>
      <c r="K796" t="s">
        <v>506</v>
      </c>
      <c r="L796">
        <v>17.05</v>
      </c>
      <c r="M796">
        <v>5</v>
      </c>
      <c r="N796" t="str">
        <f>IF(Walmart[[#This Row],[Quantity]]&gt;=7,"Bulk",IF(Walmart[[#This Row],[Quantity]]&gt;=2,"Multi","Single"))</f>
        <v>Multi</v>
      </c>
      <c r="O796">
        <v>8.18</v>
      </c>
      <c r="P796" t="str">
        <f>IF(Walmart[[#This Row],[Sales]]&gt;=1000,"High Value", IF(Walmart[[#This Row],[Sales]]&gt;=500,"Medium Value","Low Value"))</f>
        <v>Low Value</v>
      </c>
    </row>
    <row r="797" spans="1:16" hidden="1" x14ac:dyDescent="0.3">
      <c r="A797" t="s">
        <v>2091</v>
      </c>
      <c r="B797" s="1">
        <v>41257</v>
      </c>
      <c r="C797" s="1" t="str">
        <f>TEXT(Walmart[[#This Row],[Order Date]],"mmmm")</f>
        <v>December</v>
      </c>
      <c r="D797" s="1">
        <v>41262</v>
      </c>
      <c r="E797" s="1" t="str">
        <f>IF(DATEDIF(Walmart[[#This Row],[Order Date]],Walmart[[#This Row],[Ship Date]],"D")&lt;7,"On time","Delayed")</f>
        <v>On time</v>
      </c>
      <c r="F797" t="s">
        <v>791</v>
      </c>
      <c r="G797" t="s">
        <v>14</v>
      </c>
      <c r="H797" t="s">
        <v>160</v>
      </c>
      <c r="I797" t="s">
        <v>16</v>
      </c>
      <c r="J797" t="s">
        <v>27</v>
      </c>
      <c r="K797" t="s">
        <v>2092</v>
      </c>
      <c r="L797">
        <v>8.1</v>
      </c>
      <c r="M797">
        <v>2</v>
      </c>
      <c r="N797" t="str">
        <f>IF(Walmart[[#This Row],[Quantity]]&gt;=7,"Bulk",IF(Walmart[[#This Row],[Quantity]]&gt;=2,"Multi","Single"))</f>
        <v>Multi</v>
      </c>
      <c r="O797">
        <v>2.73</v>
      </c>
      <c r="P797" t="str">
        <f>IF(Walmart[[#This Row],[Sales]]&gt;=1000,"High Value", IF(Walmart[[#This Row],[Sales]]&gt;=500,"Medium Value","Low Value"))</f>
        <v>Low Value</v>
      </c>
    </row>
    <row r="798" spans="1:16" hidden="1" x14ac:dyDescent="0.3">
      <c r="A798" t="s">
        <v>2093</v>
      </c>
      <c r="B798" s="1">
        <v>41221</v>
      </c>
      <c r="C798" s="1" t="str">
        <f>TEXT(Walmart[[#This Row],[Order Date]],"mmmm")</f>
        <v>November</v>
      </c>
      <c r="D798" s="1">
        <v>41225</v>
      </c>
      <c r="E798" s="1" t="str">
        <f>IF(DATEDIF(Walmart[[#This Row],[Order Date]],Walmart[[#This Row],[Ship Date]],"D")&lt;7,"On time","Delayed")</f>
        <v>On time</v>
      </c>
      <c r="F798" t="s">
        <v>2094</v>
      </c>
      <c r="G798" t="s">
        <v>14</v>
      </c>
      <c r="H798" t="s">
        <v>37</v>
      </c>
      <c r="I798" t="s">
        <v>16</v>
      </c>
      <c r="J798" t="s">
        <v>53</v>
      </c>
      <c r="K798" t="s">
        <v>2095</v>
      </c>
      <c r="L798">
        <v>119.9</v>
      </c>
      <c r="M798">
        <v>2</v>
      </c>
      <c r="N798" t="str">
        <f>IF(Walmart[[#This Row],[Quantity]]&gt;=7,"Bulk",IF(Walmart[[#This Row],[Quantity]]&gt;=2,"Multi","Single"))</f>
        <v>Multi</v>
      </c>
      <c r="O798">
        <v>43.16</v>
      </c>
      <c r="P798" t="str">
        <f>IF(Walmart[[#This Row],[Sales]]&gt;=1000,"High Value", IF(Walmart[[#This Row],[Sales]]&gt;=500,"Medium Value","Low Value"))</f>
        <v>Low Value</v>
      </c>
    </row>
    <row r="799" spans="1:16" x14ac:dyDescent="0.3">
      <c r="A799" t="s">
        <v>1800</v>
      </c>
      <c r="B799" s="1">
        <v>41887</v>
      </c>
      <c r="C799" s="1" t="str">
        <f>TEXT(Walmart[[#This Row],[Order Date]],"mmmm")</f>
        <v>September</v>
      </c>
      <c r="D799" s="1">
        <v>41893</v>
      </c>
      <c r="E799" s="1" t="str">
        <f>IF(DATEDIF(Walmart[[#This Row],[Order Date]],Walmart[[#This Row],[Ship Date]],"D")&lt;7,"On time","Delayed")</f>
        <v>On time</v>
      </c>
      <c r="F799" t="s">
        <v>1801</v>
      </c>
      <c r="G799" t="s">
        <v>14</v>
      </c>
      <c r="H799" t="s">
        <v>15</v>
      </c>
      <c r="I799" t="s">
        <v>16</v>
      </c>
      <c r="J799" t="s">
        <v>33</v>
      </c>
      <c r="K799" t="s">
        <v>1802</v>
      </c>
      <c r="L799">
        <v>54.32</v>
      </c>
      <c r="M799">
        <v>4</v>
      </c>
      <c r="N799" t="str">
        <f>IF(Walmart[[#This Row],[Quantity]]&gt;=7,"Bulk",IF(Walmart[[#This Row],[Quantity]]&gt;=2,"Multi","Single"))</f>
        <v>Multi</v>
      </c>
      <c r="O799">
        <v>0.54</v>
      </c>
      <c r="P799" t="str">
        <f>IF(Walmart[[#This Row],[Sales]]&gt;=1000,"High Value", IF(Walmart[[#This Row],[Sales]]&gt;=500,"Medium Value","Low Value"))</f>
        <v>Low Value</v>
      </c>
    </row>
    <row r="800" spans="1:16" x14ac:dyDescent="0.3">
      <c r="A800" t="s">
        <v>2226</v>
      </c>
      <c r="B800" s="1">
        <v>41887</v>
      </c>
      <c r="C800" s="1" t="str">
        <f>TEXT(Walmart[[#This Row],[Order Date]],"mmmm")</f>
        <v>September</v>
      </c>
      <c r="D800" s="1">
        <v>41889</v>
      </c>
      <c r="E800" s="1" t="str">
        <f>IF(DATEDIF(Walmart[[#This Row],[Order Date]],Walmart[[#This Row],[Ship Date]],"D")&lt;7,"On time","Delayed")</f>
        <v>On time</v>
      </c>
      <c r="F800" t="s">
        <v>1258</v>
      </c>
      <c r="G800" t="s">
        <v>14</v>
      </c>
      <c r="H800" t="s">
        <v>37</v>
      </c>
      <c r="I800" t="s">
        <v>16</v>
      </c>
      <c r="J800" t="s">
        <v>27</v>
      </c>
      <c r="K800" t="s">
        <v>2043</v>
      </c>
      <c r="L800">
        <v>13.34</v>
      </c>
      <c r="M800">
        <v>6</v>
      </c>
      <c r="N800" t="str">
        <f>IF(Walmart[[#This Row],[Quantity]]&gt;=7,"Bulk",IF(Walmart[[#This Row],[Quantity]]&gt;=2,"Multi","Single"))</f>
        <v>Multi</v>
      </c>
      <c r="O800">
        <v>4.34</v>
      </c>
      <c r="P800" t="str">
        <f>IF(Walmart[[#This Row],[Sales]]&gt;=1000,"High Value", IF(Walmart[[#This Row],[Sales]]&gt;=500,"Medium Value","Low Value"))</f>
        <v>Low Value</v>
      </c>
    </row>
    <row r="801" spans="1:16" x14ac:dyDescent="0.3">
      <c r="A801" t="s">
        <v>2756</v>
      </c>
      <c r="B801" s="1">
        <v>41887</v>
      </c>
      <c r="C801" s="1" t="str">
        <f>TEXT(Walmart[[#This Row],[Order Date]],"mmmm")</f>
        <v>September</v>
      </c>
      <c r="D801" s="1">
        <v>41891</v>
      </c>
      <c r="E801" s="1" t="str">
        <f>IF(DATEDIF(Walmart[[#This Row],[Order Date]],Walmart[[#This Row],[Ship Date]],"D")&lt;7,"On time","Delayed")</f>
        <v>On time</v>
      </c>
      <c r="F801" t="s">
        <v>2144</v>
      </c>
      <c r="G801" t="s">
        <v>14</v>
      </c>
      <c r="H801" t="s">
        <v>438</v>
      </c>
      <c r="I801" t="s">
        <v>16</v>
      </c>
      <c r="J801" t="s">
        <v>33</v>
      </c>
      <c r="K801" t="s">
        <v>2757</v>
      </c>
      <c r="L801">
        <v>421.1</v>
      </c>
      <c r="M801">
        <v>2</v>
      </c>
      <c r="N801" t="str">
        <f>IF(Walmart[[#This Row],[Quantity]]&gt;=7,"Bulk",IF(Walmart[[#This Row],[Quantity]]&gt;=2,"Multi","Single"))</f>
        <v>Multi</v>
      </c>
      <c r="O801">
        <v>105.28</v>
      </c>
      <c r="P801" t="str">
        <f>IF(Walmart[[#This Row],[Sales]]&gt;=1000,"High Value", IF(Walmart[[#This Row],[Sales]]&gt;=500,"Medium Value","Low Value"))</f>
        <v>Low Value</v>
      </c>
    </row>
    <row r="802" spans="1:16" x14ac:dyDescent="0.3">
      <c r="A802" t="s">
        <v>3100</v>
      </c>
      <c r="B802" s="1">
        <v>41887</v>
      </c>
      <c r="C802" s="1" t="str">
        <f>TEXT(Walmart[[#This Row],[Order Date]],"mmmm")</f>
        <v>September</v>
      </c>
      <c r="D802" s="1">
        <v>41891</v>
      </c>
      <c r="E802" s="1" t="str">
        <f>IF(DATEDIF(Walmart[[#This Row],[Order Date]],Walmart[[#This Row],[Ship Date]],"D")&lt;7,"On time","Delayed")</f>
        <v>On time</v>
      </c>
      <c r="F802" t="s">
        <v>496</v>
      </c>
      <c r="G802" t="s">
        <v>14</v>
      </c>
      <c r="H802" t="s">
        <v>556</v>
      </c>
      <c r="I802" t="s">
        <v>16</v>
      </c>
      <c r="J802" t="s">
        <v>27</v>
      </c>
      <c r="K802" t="s">
        <v>2536</v>
      </c>
      <c r="L802">
        <v>11.81</v>
      </c>
      <c r="M802">
        <v>3</v>
      </c>
      <c r="N802" t="str">
        <f>IF(Walmart[[#This Row],[Quantity]]&gt;=7,"Bulk",IF(Walmart[[#This Row],[Quantity]]&gt;=2,"Multi","Single"))</f>
        <v>Multi</v>
      </c>
      <c r="O802">
        <v>4.13</v>
      </c>
      <c r="P802" t="str">
        <f>IF(Walmart[[#This Row],[Sales]]&gt;=1000,"High Value", IF(Walmart[[#This Row],[Sales]]&gt;=500,"Medium Value","Low Value"))</f>
        <v>Low Value</v>
      </c>
    </row>
    <row r="803" spans="1:16" hidden="1" x14ac:dyDescent="0.3">
      <c r="A803" t="s">
        <v>2105</v>
      </c>
      <c r="B803" s="1">
        <v>41208</v>
      </c>
      <c r="C803" s="1" t="str">
        <f>TEXT(Walmart[[#This Row],[Order Date]],"mmmm")</f>
        <v>October</v>
      </c>
      <c r="D803" s="1">
        <v>41212</v>
      </c>
      <c r="E803" s="1" t="str">
        <f>IF(DATEDIF(Walmart[[#This Row],[Order Date]],Walmart[[#This Row],[Ship Date]],"D")&lt;7,"On time","Delayed")</f>
        <v>On time</v>
      </c>
      <c r="F803" t="s">
        <v>1791</v>
      </c>
      <c r="G803" t="s">
        <v>14</v>
      </c>
      <c r="H803" t="s">
        <v>985</v>
      </c>
      <c r="I803" t="s">
        <v>58</v>
      </c>
      <c r="J803" t="s">
        <v>146</v>
      </c>
      <c r="K803" t="s">
        <v>2106</v>
      </c>
      <c r="L803">
        <v>105.58</v>
      </c>
      <c r="M803">
        <v>2</v>
      </c>
      <c r="N803" t="str">
        <f>IF(Walmart[[#This Row],[Quantity]]&gt;=7,"Bulk",IF(Walmart[[#This Row],[Quantity]]&gt;=2,"Multi","Single"))</f>
        <v>Multi</v>
      </c>
      <c r="O803">
        <v>9.24</v>
      </c>
      <c r="P803" t="str">
        <f>IF(Walmart[[#This Row],[Sales]]&gt;=1000,"High Value", IF(Walmart[[#This Row],[Sales]]&gt;=500,"Medium Value","Low Value"))</f>
        <v>Low Value</v>
      </c>
    </row>
    <row r="804" spans="1:16" hidden="1" x14ac:dyDescent="0.3">
      <c r="A804" t="s">
        <v>2107</v>
      </c>
      <c r="B804" s="1">
        <v>40754</v>
      </c>
      <c r="C804" s="1" t="str">
        <f>TEXT(Walmart[[#This Row],[Order Date]],"mmmm")</f>
        <v>July</v>
      </c>
      <c r="D804" s="1">
        <v>40760</v>
      </c>
      <c r="E804" s="1" t="str">
        <f>IF(DATEDIF(Walmart[[#This Row],[Order Date]],Walmart[[#This Row],[Ship Date]],"D")&lt;7,"On time","Delayed")</f>
        <v>On time</v>
      </c>
      <c r="F804" t="s">
        <v>1904</v>
      </c>
      <c r="G804" t="s">
        <v>14</v>
      </c>
      <c r="H804" t="s">
        <v>25</v>
      </c>
      <c r="I804" t="s">
        <v>26</v>
      </c>
      <c r="J804" t="s">
        <v>671</v>
      </c>
      <c r="K804" t="s">
        <v>1531</v>
      </c>
      <c r="L804">
        <v>1367.84</v>
      </c>
      <c r="M804">
        <v>8</v>
      </c>
      <c r="N804" t="str">
        <f>IF(Walmart[[#This Row],[Quantity]]&gt;=7,"Bulk",IF(Walmart[[#This Row],[Quantity]]&gt;=2,"Multi","Single"))</f>
        <v>Bulk</v>
      </c>
      <c r="O804">
        <v>259.89</v>
      </c>
      <c r="P804" t="str">
        <f>IF(Walmart[[#This Row],[Sales]]&gt;=1000,"High Value", IF(Walmart[[#This Row],[Sales]]&gt;=500,"Medium Value","Low Value"))</f>
        <v>High Value</v>
      </c>
    </row>
    <row r="805" spans="1:16" hidden="1" x14ac:dyDescent="0.3">
      <c r="A805" t="s">
        <v>2108</v>
      </c>
      <c r="B805" s="1">
        <v>41096</v>
      </c>
      <c r="C805" s="1" t="str">
        <f>TEXT(Walmart[[#This Row],[Order Date]],"mmmm")</f>
        <v>July</v>
      </c>
      <c r="D805" s="1">
        <v>41101</v>
      </c>
      <c r="E805" s="1" t="str">
        <f>IF(DATEDIF(Walmart[[#This Row],[Order Date]],Walmart[[#This Row],[Ship Date]],"D")&lt;7,"On time","Delayed")</f>
        <v>On time</v>
      </c>
      <c r="F805" t="s">
        <v>1504</v>
      </c>
      <c r="G805" t="s">
        <v>14</v>
      </c>
      <c r="H805" t="s">
        <v>100</v>
      </c>
      <c r="I805" t="s">
        <v>16</v>
      </c>
      <c r="J805" t="s">
        <v>88</v>
      </c>
      <c r="K805" t="s">
        <v>2109</v>
      </c>
      <c r="L805">
        <v>170.35</v>
      </c>
      <c r="M805">
        <v>3</v>
      </c>
      <c r="N805" t="str">
        <f>IF(Walmart[[#This Row],[Quantity]]&gt;=7,"Bulk",IF(Walmart[[#This Row],[Quantity]]&gt;=2,"Multi","Single"))</f>
        <v>Multi</v>
      </c>
      <c r="O805">
        <v>-17.04</v>
      </c>
      <c r="P805" t="str">
        <f>IF(Walmart[[#This Row],[Sales]]&gt;=1000,"High Value", IF(Walmart[[#This Row],[Sales]]&gt;=500,"Medium Value","Low Value"))</f>
        <v>Low Value</v>
      </c>
    </row>
    <row r="806" spans="1:16" hidden="1" x14ac:dyDescent="0.3">
      <c r="A806" t="s">
        <v>2110</v>
      </c>
      <c r="B806" s="1">
        <v>40976</v>
      </c>
      <c r="C806" s="1" t="str">
        <f>TEXT(Walmart[[#This Row],[Order Date]],"mmmm")</f>
        <v>March</v>
      </c>
      <c r="D806" s="1">
        <v>40978</v>
      </c>
      <c r="E806" s="1" t="str">
        <f>IF(DATEDIF(Walmart[[#This Row],[Order Date]],Walmart[[#This Row],[Ship Date]],"D")&lt;7,"On time","Delayed")</f>
        <v>On time</v>
      </c>
      <c r="F806" t="s">
        <v>2111</v>
      </c>
      <c r="G806" t="s">
        <v>14</v>
      </c>
      <c r="H806" t="s">
        <v>631</v>
      </c>
      <c r="I806" t="s">
        <v>77</v>
      </c>
      <c r="J806" t="s">
        <v>38</v>
      </c>
      <c r="K806" t="s">
        <v>1361</v>
      </c>
      <c r="L806">
        <v>3.41</v>
      </c>
      <c r="M806">
        <v>1</v>
      </c>
      <c r="N806" t="str">
        <f>IF(Walmart[[#This Row],[Quantity]]&gt;=7,"Bulk",IF(Walmart[[#This Row],[Quantity]]&gt;=2,"Multi","Single"))</f>
        <v>Single</v>
      </c>
      <c r="O806">
        <v>0.89</v>
      </c>
      <c r="P806" t="str">
        <f>IF(Walmart[[#This Row],[Sales]]&gt;=1000,"High Value", IF(Walmart[[#This Row],[Sales]]&gt;=500,"Medium Value","Low Value"))</f>
        <v>Low Value</v>
      </c>
    </row>
    <row r="807" spans="1:16" hidden="1" x14ac:dyDescent="0.3">
      <c r="A807" t="s">
        <v>2112</v>
      </c>
      <c r="B807" s="1">
        <v>41584</v>
      </c>
      <c r="C807" s="1" t="str">
        <f>TEXT(Walmart[[#This Row],[Order Date]],"mmmm")</f>
        <v>November</v>
      </c>
      <c r="D807" s="1">
        <v>41587</v>
      </c>
      <c r="E807" s="1" t="str">
        <f>IF(DATEDIF(Walmart[[#This Row],[Order Date]],Walmart[[#This Row],[Ship Date]],"D")&lt;7,"On time","Delayed")</f>
        <v>On time</v>
      </c>
      <c r="F807" t="s">
        <v>254</v>
      </c>
      <c r="G807" t="s">
        <v>14</v>
      </c>
      <c r="H807" t="s">
        <v>37</v>
      </c>
      <c r="I807" t="s">
        <v>16</v>
      </c>
      <c r="J807" t="s">
        <v>27</v>
      </c>
      <c r="K807" t="s">
        <v>956</v>
      </c>
      <c r="L807">
        <v>53.25</v>
      </c>
      <c r="M807">
        <v>2</v>
      </c>
      <c r="N807" t="str">
        <f>IF(Walmart[[#This Row],[Quantity]]&gt;=7,"Bulk",IF(Walmart[[#This Row],[Quantity]]&gt;=2,"Multi","Single"))</f>
        <v>Multi</v>
      </c>
      <c r="O807">
        <v>19.97</v>
      </c>
      <c r="P807" t="str">
        <f>IF(Walmart[[#This Row],[Sales]]&gt;=1000,"High Value", IF(Walmart[[#This Row],[Sales]]&gt;=500,"Medium Value","Low Value"))</f>
        <v>Low Value</v>
      </c>
    </row>
    <row r="808" spans="1:16" hidden="1" x14ac:dyDescent="0.3">
      <c r="A808" t="s">
        <v>2113</v>
      </c>
      <c r="B808" s="1">
        <v>41012</v>
      </c>
      <c r="C808" s="1" t="str">
        <f>TEXT(Walmart[[#This Row],[Order Date]],"mmmm")</f>
        <v>April</v>
      </c>
      <c r="D808" s="1">
        <v>41018</v>
      </c>
      <c r="E808" s="1" t="str">
        <f>IF(DATEDIF(Walmart[[#This Row],[Order Date]],Walmart[[#This Row],[Ship Date]],"D")&lt;7,"On time","Delayed")</f>
        <v>On time</v>
      </c>
      <c r="F808" t="s">
        <v>1206</v>
      </c>
      <c r="G808" t="s">
        <v>14</v>
      </c>
      <c r="H808" t="s">
        <v>15</v>
      </c>
      <c r="I808" t="s">
        <v>16</v>
      </c>
      <c r="J808" t="s">
        <v>21</v>
      </c>
      <c r="K808" t="s">
        <v>2114</v>
      </c>
      <c r="L808">
        <v>37.68</v>
      </c>
      <c r="M808">
        <v>2</v>
      </c>
      <c r="N808" t="str">
        <f>IF(Walmart[[#This Row],[Quantity]]&gt;=7,"Bulk",IF(Walmart[[#This Row],[Quantity]]&gt;=2,"Multi","Single"))</f>
        <v>Multi</v>
      </c>
      <c r="O808">
        <v>15.83</v>
      </c>
      <c r="P808" t="str">
        <f>IF(Walmart[[#This Row],[Sales]]&gt;=1000,"High Value", IF(Walmart[[#This Row],[Sales]]&gt;=500,"Medium Value","Low Value"))</f>
        <v>Low Value</v>
      </c>
    </row>
    <row r="809" spans="1:16" x14ac:dyDescent="0.3">
      <c r="A809" t="s">
        <v>3310</v>
      </c>
      <c r="B809" s="1">
        <v>41887</v>
      </c>
      <c r="C809" s="1" t="str">
        <f>TEXT(Walmart[[#This Row],[Order Date]],"mmmm")</f>
        <v>September</v>
      </c>
      <c r="D809" s="1">
        <v>41888</v>
      </c>
      <c r="E809" s="1" t="str">
        <f>IF(DATEDIF(Walmart[[#This Row],[Order Date]],Walmart[[#This Row],[Ship Date]],"D")&lt;7,"On time","Delayed")</f>
        <v>On time</v>
      </c>
      <c r="F809" t="s">
        <v>1430</v>
      </c>
      <c r="G809" t="s">
        <v>14</v>
      </c>
      <c r="H809" t="s">
        <v>885</v>
      </c>
      <c r="I809" t="s">
        <v>69</v>
      </c>
      <c r="J809" t="s">
        <v>27</v>
      </c>
      <c r="K809" t="s">
        <v>3311</v>
      </c>
      <c r="L809">
        <v>88.07</v>
      </c>
      <c r="M809">
        <v>7</v>
      </c>
      <c r="N809" t="str">
        <f>IF(Walmart[[#This Row],[Quantity]]&gt;=7,"Bulk",IF(Walmart[[#This Row],[Quantity]]&gt;=2,"Multi","Single"))</f>
        <v>Bulk</v>
      </c>
      <c r="O809">
        <v>-58.72</v>
      </c>
      <c r="P809" t="str">
        <f>IF(Walmart[[#This Row],[Sales]]&gt;=1000,"High Value", IF(Walmart[[#This Row],[Sales]]&gt;=500,"Medium Value","Low Value"))</f>
        <v>Low Value</v>
      </c>
    </row>
    <row r="810" spans="1:16" hidden="1" x14ac:dyDescent="0.3">
      <c r="A810" t="s">
        <v>2118</v>
      </c>
      <c r="B810" s="1">
        <v>40673</v>
      </c>
      <c r="C810" s="1" t="str">
        <f>TEXT(Walmart[[#This Row],[Order Date]],"mmmm")</f>
        <v>May</v>
      </c>
      <c r="D810" s="1">
        <v>40678</v>
      </c>
      <c r="E810" s="1" t="str">
        <f>IF(DATEDIF(Walmart[[#This Row],[Order Date]],Walmart[[#This Row],[Ship Date]],"D")&lt;7,"On time","Delayed")</f>
        <v>On time</v>
      </c>
      <c r="F810" t="s">
        <v>2063</v>
      </c>
      <c r="G810" t="s">
        <v>14</v>
      </c>
      <c r="H810" t="s">
        <v>804</v>
      </c>
      <c r="I810" t="s">
        <v>26</v>
      </c>
      <c r="J810" t="s">
        <v>124</v>
      </c>
      <c r="K810" t="s">
        <v>2119</v>
      </c>
      <c r="L810">
        <v>158.13</v>
      </c>
      <c r="M810">
        <v>3</v>
      </c>
      <c r="N810" t="str">
        <f>IF(Walmart[[#This Row],[Quantity]]&gt;=7,"Bulk",IF(Walmart[[#This Row],[Quantity]]&gt;=2,"Multi","Single"))</f>
        <v>Multi</v>
      </c>
      <c r="O810">
        <v>77.48</v>
      </c>
      <c r="P810" t="str">
        <f>IF(Walmart[[#This Row],[Sales]]&gt;=1000,"High Value", IF(Walmart[[#This Row],[Sales]]&gt;=500,"Medium Value","Low Value"))</f>
        <v>Low Value</v>
      </c>
    </row>
    <row r="811" spans="1:16" hidden="1" x14ac:dyDescent="0.3">
      <c r="A811" t="s">
        <v>2120</v>
      </c>
      <c r="B811" s="1">
        <v>41136</v>
      </c>
      <c r="C811" s="1" t="str">
        <f>TEXT(Walmart[[#This Row],[Order Date]],"mmmm")</f>
        <v>August</v>
      </c>
      <c r="D811" s="1">
        <v>41140</v>
      </c>
      <c r="E811" s="1" t="str">
        <f>IF(DATEDIF(Walmart[[#This Row],[Order Date]],Walmart[[#This Row],[Ship Date]],"D")&lt;7,"On time","Delayed")</f>
        <v>On time</v>
      </c>
      <c r="F811" t="s">
        <v>2121</v>
      </c>
      <c r="G811" t="s">
        <v>14</v>
      </c>
      <c r="H811" t="s">
        <v>556</v>
      </c>
      <c r="I811" t="s">
        <v>16</v>
      </c>
      <c r="J811" t="s">
        <v>21</v>
      </c>
      <c r="K811" t="s">
        <v>2122</v>
      </c>
      <c r="L811">
        <v>104.23</v>
      </c>
      <c r="M811">
        <v>7</v>
      </c>
      <c r="N811" t="str">
        <f>IF(Walmart[[#This Row],[Quantity]]&gt;=7,"Bulk",IF(Walmart[[#This Row],[Quantity]]&gt;=2,"Multi","Single"))</f>
        <v>Bulk</v>
      </c>
      <c r="O811">
        <v>28.14</v>
      </c>
      <c r="P811" t="str">
        <f>IF(Walmart[[#This Row],[Sales]]&gt;=1000,"High Value", IF(Walmart[[#This Row],[Sales]]&gt;=500,"Medium Value","Low Value"))</f>
        <v>Low Value</v>
      </c>
    </row>
    <row r="812" spans="1:16" hidden="1" x14ac:dyDescent="0.3">
      <c r="A812" t="s">
        <v>2123</v>
      </c>
      <c r="B812" s="1">
        <v>41544</v>
      </c>
      <c r="C812" s="1" t="str">
        <f>TEXT(Walmart[[#This Row],[Order Date]],"mmmm")</f>
        <v>September</v>
      </c>
      <c r="D812" s="1">
        <v>41544</v>
      </c>
      <c r="E812" s="1" t="str">
        <f>IF(DATEDIF(Walmart[[#This Row],[Order Date]],Walmart[[#This Row],[Ship Date]],"D")&lt;7,"On time","Delayed")</f>
        <v>On time</v>
      </c>
      <c r="F812" t="s">
        <v>450</v>
      </c>
      <c r="G812" t="s">
        <v>14</v>
      </c>
      <c r="H812" t="s">
        <v>137</v>
      </c>
      <c r="I812" t="s">
        <v>16</v>
      </c>
      <c r="J812" t="s">
        <v>33</v>
      </c>
      <c r="K812" t="s">
        <v>2124</v>
      </c>
      <c r="L812">
        <v>51.45</v>
      </c>
      <c r="M812">
        <v>3</v>
      </c>
      <c r="N812" t="str">
        <f>IF(Walmart[[#This Row],[Quantity]]&gt;=7,"Bulk",IF(Walmart[[#This Row],[Quantity]]&gt;=2,"Multi","Single"))</f>
        <v>Multi</v>
      </c>
      <c r="O812">
        <v>13.89</v>
      </c>
      <c r="P812" t="str">
        <f>IF(Walmart[[#This Row],[Sales]]&gt;=1000,"High Value", IF(Walmart[[#This Row],[Sales]]&gt;=500,"Medium Value","Low Value"))</f>
        <v>Low Value</v>
      </c>
    </row>
    <row r="813" spans="1:16" x14ac:dyDescent="0.3">
      <c r="A813" t="s">
        <v>1596</v>
      </c>
      <c r="B813" s="1">
        <v>41886</v>
      </c>
      <c r="C813" s="1" t="str">
        <f>TEXT(Walmart[[#This Row],[Order Date]],"mmmm")</f>
        <v>September</v>
      </c>
      <c r="D813" s="1">
        <v>41891</v>
      </c>
      <c r="E813" s="1" t="str">
        <f>IF(DATEDIF(Walmart[[#This Row],[Order Date]],Walmart[[#This Row],[Ship Date]],"D")&lt;7,"On time","Delayed")</f>
        <v>On time</v>
      </c>
      <c r="F813" t="s">
        <v>1241</v>
      </c>
      <c r="G813" t="s">
        <v>14</v>
      </c>
      <c r="H813" t="s">
        <v>37</v>
      </c>
      <c r="I813" t="s">
        <v>16</v>
      </c>
      <c r="J813" t="s">
        <v>38</v>
      </c>
      <c r="K813" t="s">
        <v>62</v>
      </c>
      <c r="L813">
        <v>5.96</v>
      </c>
      <c r="M813">
        <v>2</v>
      </c>
      <c r="N813" t="str">
        <f>IF(Walmart[[#This Row],[Quantity]]&gt;=7,"Bulk",IF(Walmart[[#This Row],[Quantity]]&gt;=2,"Multi","Single"))</f>
        <v>Multi</v>
      </c>
      <c r="O813">
        <v>1.67</v>
      </c>
      <c r="P813" t="str">
        <f>IF(Walmart[[#This Row],[Sales]]&gt;=1000,"High Value", IF(Walmart[[#This Row],[Sales]]&gt;=500,"Medium Value","Low Value"))</f>
        <v>Low Value</v>
      </c>
    </row>
    <row r="814" spans="1:16" x14ac:dyDescent="0.3">
      <c r="A814" t="s">
        <v>2285</v>
      </c>
      <c r="B814" s="1">
        <v>41886</v>
      </c>
      <c r="C814" s="1" t="str">
        <f>TEXT(Walmart[[#This Row],[Order Date]],"mmmm")</f>
        <v>September</v>
      </c>
      <c r="D814" s="1">
        <v>41891</v>
      </c>
      <c r="E814" s="1" t="str">
        <f>IF(DATEDIF(Walmart[[#This Row],[Order Date]],Walmart[[#This Row],[Ship Date]],"D")&lt;7,"On time","Delayed")</f>
        <v>On time</v>
      </c>
      <c r="F814" t="s">
        <v>2045</v>
      </c>
      <c r="G814" t="s">
        <v>14</v>
      </c>
      <c r="H814" t="s">
        <v>2286</v>
      </c>
      <c r="I814" t="s">
        <v>16</v>
      </c>
      <c r="J814" t="s">
        <v>27</v>
      </c>
      <c r="K814" t="s">
        <v>979</v>
      </c>
      <c r="L814">
        <v>82.56</v>
      </c>
      <c r="M814">
        <v>5</v>
      </c>
      <c r="N814" t="str">
        <f>IF(Walmart[[#This Row],[Quantity]]&gt;=7,"Bulk",IF(Walmart[[#This Row],[Quantity]]&gt;=2,"Multi","Single"))</f>
        <v>Multi</v>
      </c>
      <c r="O814">
        <v>28.9</v>
      </c>
      <c r="P814" t="str">
        <f>IF(Walmart[[#This Row],[Sales]]&gt;=1000,"High Value", IF(Walmart[[#This Row],[Sales]]&gt;=500,"Medium Value","Low Value"))</f>
        <v>Low Value</v>
      </c>
    </row>
    <row r="815" spans="1:16" hidden="1" x14ac:dyDescent="0.3">
      <c r="A815" t="s">
        <v>2128</v>
      </c>
      <c r="B815" s="1">
        <v>40873</v>
      </c>
      <c r="C815" s="1" t="str">
        <f>TEXT(Walmart[[#This Row],[Order Date]],"mmmm")</f>
        <v>November</v>
      </c>
      <c r="D815" s="1">
        <v>40878</v>
      </c>
      <c r="E815" s="1" t="str">
        <f>IF(DATEDIF(Walmart[[#This Row],[Order Date]],Walmart[[#This Row],[Ship Date]],"D")&lt;7,"On time","Delayed")</f>
        <v>On time</v>
      </c>
      <c r="F815" t="s">
        <v>87</v>
      </c>
      <c r="G815" t="s">
        <v>14</v>
      </c>
      <c r="H815" t="s">
        <v>37</v>
      </c>
      <c r="I815" t="s">
        <v>16</v>
      </c>
      <c r="J815" t="s">
        <v>93</v>
      </c>
      <c r="K815" t="s">
        <v>2129</v>
      </c>
      <c r="L815">
        <v>81.98</v>
      </c>
      <c r="M815">
        <v>2</v>
      </c>
      <c r="N815" t="str">
        <f>IF(Walmart[[#This Row],[Quantity]]&gt;=7,"Bulk",IF(Walmart[[#This Row],[Quantity]]&gt;=2,"Multi","Single"))</f>
        <v>Multi</v>
      </c>
      <c r="O815">
        <v>40.17</v>
      </c>
      <c r="P815" t="str">
        <f>IF(Walmart[[#This Row],[Sales]]&gt;=1000,"High Value", IF(Walmart[[#This Row],[Sales]]&gt;=500,"Medium Value","Low Value"))</f>
        <v>Low Value</v>
      </c>
    </row>
    <row r="816" spans="1:16" x14ac:dyDescent="0.3">
      <c r="A816" t="s">
        <v>2369</v>
      </c>
      <c r="B816" s="1">
        <v>41886</v>
      </c>
      <c r="C816" s="1" t="str">
        <f>TEXT(Walmart[[#This Row],[Order Date]],"mmmm")</f>
        <v>September</v>
      </c>
      <c r="D816" s="1">
        <v>41890</v>
      </c>
      <c r="E816" s="1" t="str">
        <f>IF(DATEDIF(Walmart[[#This Row],[Order Date]],Walmart[[#This Row],[Ship Date]],"D")&lt;7,"On time","Delayed")</f>
        <v>On time</v>
      </c>
      <c r="F816" t="s">
        <v>2370</v>
      </c>
      <c r="G816" t="s">
        <v>14</v>
      </c>
      <c r="H816" t="s">
        <v>251</v>
      </c>
      <c r="I816" t="s">
        <v>16</v>
      </c>
      <c r="J816" t="s">
        <v>671</v>
      </c>
      <c r="K816" t="s">
        <v>2212</v>
      </c>
      <c r="L816">
        <v>239.67</v>
      </c>
      <c r="M816">
        <v>2</v>
      </c>
      <c r="N816" t="str">
        <f>IF(Walmart[[#This Row],[Quantity]]&gt;=7,"Bulk",IF(Walmart[[#This Row],[Quantity]]&gt;=2,"Multi","Single"))</f>
        <v>Multi</v>
      </c>
      <c r="O816">
        <v>14.1</v>
      </c>
      <c r="P816" t="str">
        <f>IF(Walmart[[#This Row],[Sales]]&gt;=1000,"High Value", IF(Walmart[[#This Row],[Sales]]&gt;=500,"Medium Value","Low Value"))</f>
        <v>Low Value</v>
      </c>
    </row>
    <row r="817" spans="1:16" x14ac:dyDescent="0.3">
      <c r="A817" t="s">
        <v>615</v>
      </c>
      <c r="B817" s="1">
        <v>41885</v>
      </c>
      <c r="C817" s="1" t="str">
        <f>TEXT(Walmart[[#This Row],[Order Date]],"mmmm")</f>
        <v>September</v>
      </c>
      <c r="D817" s="1">
        <v>41890</v>
      </c>
      <c r="E817" s="1" t="str">
        <f>IF(DATEDIF(Walmart[[#This Row],[Order Date]],Walmart[[#This Row],[Ship Date]],"D")&lt;7,"On time","Delayed")</f>
        <v>On time</v>
      </c>
      <c r="F817" t="s">
        <v>616</v>
      </c>
      <c r="G817" t="s">
        <v>14</v>
      </c>
      <c r="H817" t="s">
        <v>37</v>
      </c>
      <c r="I817" t="s">
        <v>16</v>
      </c>
      <c r="J817" t="s">
        <v>38</v>
      </c>
      <c r="K817" t="s">
        <v>617</v>
      </c>
      <c r="L817">
        <v>6.57</v>
      </c>
      <c r="M817">
        <v>3</v>
      </c>
      <c r="N817" t="str">
        <f>IF(Walmart[[#This Row],[Quantity]]&gt;=7,"Bulk",IF(Walmart[[#This Row],[Quantity]]&gt;=2,"Multi","Single"))</f>
        <v>Multi</v>
      </c>
      <c r="O817">
        <v>1.77</v>
      </c>
      <c r="P817" t="str">
        <f>IF(Walmart[[#This Row],[Sales]]&gt;=1000,"High Value", IF(Walmart[[#This Row],[Sales]]&gt;=500,"Medium Value","Low Value"))</f>
        <v>Low Value</v>
      </c>
    </row>
    <row r="818" spans="1:16" hidden="1" x14ac:dyDescent="0.3">
      <c r="A818" t="s">
        <v>2134</v>
      </c>
      <c r="B818" s="1">
        <v>41529</v>
      </c>
      <c r="C818" s="1" t="str">
        <f>TEXT(Walmart[[#This Row],[Order Date]],"mmmm")</f>
        <v>September</v>
      </c>
      <c r="D818" s="1">
        <v>41535</v>
      </c>
      <c r="E818" s="1" t="str">
        <f>IF(DATEDIF(Walmart[[#This Row],[Order Date]],Walmart[[#This Row],[Ship Date]],"D")&lt;7,"On time","Delayed")</f>
        <v>On time</v>
      </c>
      <c r="F818" t="s">
        <v>2135</v>
      </c>
      <c r="G818" t="s">
        <v>14</v>
      </c>
      <c r="H818" t="s">
        <v>109</v>
      </c>
      <c r="I818" t="s">
        <v>16</v>
      </c>
      <c r="J818" t="s">
        <v>33</v>
      </c>
      <c r="K818" t="s">
        <v>2136</v>
      </c>
      <c r="L818">
        <v>332.94</v>
      </c>
      <c r="M818">
        <v>3</v>
      </c>
      <c r="N818" t="str">
        <f>IF(Walmart[[#This Row],[Quantity]]&gt;=7,"Bulk",IF(Walmart[[#This Row],[Quantity]]&gt;=2,"Multi","Single"))</f>
        <v>Multi</v>
      </c>
      <c r="O818">
        <v>6.66</v>
      </c>
      <c r="P818" t="str">
        <f>IF(Walmart[[#This Row],[Sales]]&gt;=1000,"High Value", IF(Walmart[[#This Row],[Sales]]&gt;=500,"Medium Value","Low Value"))</f>
        <v>Low Value</v>
      </c>
    </row>
    <row r="819" spans="1:16" hidden="1" x14ac:dyDescent="0.3">
      <c r="A819" t="s">
        <v>2137</v>
      </c>
      <c r="B819" s="1">
        <v>41541</v>
      </c>
      <c r="C819" s="1" t="str">
        <f>TEXT(Walmart[[#This Row],[Order Date]],"mmmm")</f>
        <v>September</v>
      </c>
      <c r="D819" s="1">
        <v>41544</v>
      </c>
      <c r="E819" s="1" t="str">
        <f>IF(DATEDIF(Walmart[[#This Row],[Order Date]],Walmart[[#This Row],[Ship Date]],"D")&lt;7,"On time","Delayed")</f>
        <v>On time</v>
      </c>
      <c r="F819" t="s">
        <v>2138</v>
      </c>
      <c r="G819" t="s">
        <v>14</v>
      </c>
      <c r="H819" t="s">
        <v>25</v>
      </c>
      <c r="I819" t="s">
        <v>26</v>
      </c>
      <c r="J819" t="s">
        <v>334</v>
      </c>
      <c r="K819" t="s">
        <v>2139</v>
      </c>
      <c r="L819">
        <v>13.68</v>
      </c>
      <c r="M819">
        <v>2</v>
      </c>
      <c r="N819" t="str">
        <f>IF(Walmart[[#This Row],[Quantity]]&gt;=7,"Bulk",IF(Walmart[[#This Row],[Quantity]]&gt;=2,"Multi","Single"))</f>
        <v>Multi</v>
      </c>
      <c r="O819">
        <v>3.69</v>
      </c>
      <c r="P819" t="str">
        <f>IF(Walmart[[#This Row],[Sales]]&gt;=1000,"High Value", IF(Walmart[[#This Row],[Sales]]&gt;=500,"Medium Value","Low Value"))</f>
        <v>Low Value</v>
      </c>
    </row>
    <row r="820" spans="1:16" hidden="1" x14ac:dyDescent="0.3">
      <c r="A820" t="s">
        <v>2140</v>
      </c>
      <c r="B820" s="1">
        <v>41489</v>
      </c>
      <c r="C820" s="1" t="str">
        <f>TEXT(Walmart[[#This Row],[Order Date]],"mmmm")</f>
        <v>August</v>
      </c>
      <c r="D820" s="1">
        <v>41491</v>
      </c>
      <c r="E820" s="1" t="str">
        <f>IF(DATEDIF(Walmart[[#This Row],[Order Date]],Walmart[[#This Row],[Ship Date]],"D")&lt;7,"On time","Delayed")</f>
        <v>On time</v>
      </c>
      <c r="F820" t="s">
        <v>2141</v>
      </c>
      <c r="G820" t="s">
        <v>14</v>
      </c>
      <c r="H820" t="s">
        <v>15</v>
      </c>
      <c r="I820" t="s">
        <v>16</v>
      </c>
      <c r="J820" t="s">
        <v>43</v>
      </c>
      <c r="K820" t="s">
        <v>2142</v>
      </c>
      <c r="L820">
        <v>136.46</v>
      </c>
      <c r="M820">
        <v>2</v>
      </c>
      <c r="N820" t="str">
        <f>IF(Walmart[[#This Row],[Quantity]]&gt;=7,"Bulk",IF(Walmart[[#This Row],[Quantity]]&gt;=2,"Multi","Single"))</f>
        <v>Multi</v>
      </c>
      <c r="O820">
        <v>15.35</v>
      </c>
      <c r="P820" t="str">
        <f>IF(Walmart[[#This Row],[Sales]]&gt;=1000,"High Value", IF(Walmart[[#This Row],[Sales]]&gt;=500,"Medium Value","Low Value"))</f>
        <v>Low Value</v>
      </c>
    </row>
    <row r="821" spans="1:16" x14ac:dyDescent="0.3">
      <c r="A821" t="s">
        <v>1680</v>
      </c>
      <c r="B821" s="1">
        <v>41885</v>
      </c>
      <c r="C821" s="1" t="str">
        <f>TEXT(Walmart[[#This Row],[Order Date]],"mmmm")</f>
        <v>September</v>
      </c>
      <c r="D821" s="1">
        <v>41891</v>
      </c>
      <c r="E821" s="1" t="str">
        <f>IF(DATEDIF(Walmart[[#This Row],[Order Date]],Walmart[[#This Row],[Ship Date]],"D")&lt;7,"On time","Delayed")</f>
        <v>On time</v>
      </c>
      <c r="F821" t="s">
        <v>1015</v>
      </c>
      <c r="G821" t="s">
        <v>14</v>
      </c>
      <c r="H821" t="s">
        <v>1323</v>
      </c>
      <c r="I821" t="s">
        <v>16</v>
      </c>
      <c r="J821" t="s">
        <v>38</v>
      </c>
      <c r="K821" t="s">
        <v>1681</v>
      </c>
      <c r="L821">
        <v>9.4</v>
      </c>
      <c r="M821">
        <v>5</v>
      </c>
      <c r="N821" t="str">
        <f>IF(Walmart[[#This Row],[Quantity]]&gt;=7,"Bulk",IF(Walmart[[#This Row],[Quantity]]&gt;=2,"Multi","Single"))</f>
        <v>Multi</v>
      </c>
      <c r="O821">
        <v>2.73</v>
      </c>
      <c r="P821" t="str">
        <f>IF(Walmart[[#This Row],[Sales]]&gt;=1000,"High Value", IF(Walmart[[#This Row],[Sales]]&gt;=500,"Medium Value","Low Value"))</f>
        <v>Low Value</v>
      </c>
    </row>
    <row r="822" spans="1:16" hidden="1" x14ac:dyDescent="0.3">
      <c r="A822" t="s">
        <v>2145</v>
      </c>
      <c r="B822" s="1">
        <v>40609</v>
      </c>
      <c r="C822" s="1" t="str">
        <f>TEXT(Walmart[[#This Row],[Order Date]],"mmmm")</f>
        <v>March</v>
      </c>
      <c r="D822" s="1">
        <v>40613</v>
      </c>
      <c r="E822" s="1" t="str">
        <f>IF(DATEDIF(Walmart[[#This Row],[Order Date]],Walmart[[#This Row],[Ship Date]],"D")&lt;7,"On time","Delayed")</f>
        <v>On time</v>
      </c>
      <c r="F822" t="s">
        <v>951</v>
      </c>
      <c r="G822" t="s">
        <v>14</v>
      </c>
      <c r="H822" t="s">
        <v>222</v>
      </c>
      <c r="I822" t="s">
        <v>26</v>
      </c>
      <c r="J822" t="s">
        <v>27</v>
      </c>
      <c r="K822" t="s">
        <v>2146</v>
      </c>
      <c r="L822">
        <v>107.65</v>
      </c>
      <c r="M822">
        <v>2</v>
      </c>
      <c r="N822" t="str">
        <f>IF(Walmart[[#This Row],[Quantity]]&gt;=7,"Bulk",IF(Walmart[[#This Row],[Quantity]]&gt;=2,"Multi","Single"))</f>
        <v>Multi</v>
      </c>
      <c r="O822">
        <v>33.64</v>
      </c>
      <c r="P822" t="str">
        <f>IF(Walmart[[#This Row],[Sales]]&gt;=1000,"High Value", IF(Walmart[[#This Row],[Sales]]&gt;=500,"Medium Value","Low Value"))</f>
        <v>Low Value</v>
      </c>
    </row>
    <row r="823" spans="1:16" x14ac:dyDescent="0.3">
      <c r="A823" t="s">
        <v>2857</v>
      </c>
      <c r="B823" s="1">
        <v>41885</v>
      </c>
      <c r="C823" s="1" t="str">
        <f>TEXT(Walmart[[#This Row],[Order Date]],"mmmm")</f>
        <v>September</v>
      </c>
      <c r="D823" s="1">
        <v>41889</v>
      </c>
      <c r="E823" s="1" t="str">
        <f>IF(DATEDIF(Walmart[[#This Row],[Order Date]],Walmart[[#This Row],[Ship Date]],"D")&lt;7,"On time","Delayed")</f>
        <v>On time</v>
      </c>
      <c r="F823" t="s">
        <v>2858</v>
      </c>
      <c r="G823" t="s">
        <v>14</v>
      </c>
      <c r="H823" t="s">
        <v>15</v>
      </c>
      <c r="I823" t="s">
        <v>16</v>
      </c>
      <c r="J823" t="s">
        <v>27</v>
      </c>
      <c r="K823" t="s">
        <v>2207</v>
      </c>
      <c r="L823">
        <v>18.72</v>
      </c>
      <c r="M823">
        <v>5</v>
      </c>
      <c r="N823" t="str">
        <f>IF(Walmart[[#This Row],[Quantity]]&gt;=7,"Bulk",IF(Walmart[[#This Row],[Quantity]]&gt;=2,"Multi","Single"))</f>
        <v>Multi</v>
      </c>
      <c r="O823">
        <v>6.55</v>
      </c>
      <c r="P823" t="str">
        <f>IF(Walmart[[#This Row],[Sales]]&gt;=1000,"High Value", IF(Walmart[[#This Row],[Sales]]&gt;=500,"Medium Value","Low Value"))</f>
        <v>Low Value</v>
      </c>
    </row>
    <row r="824" spans="1:16" x14ac:dyDescent="0.3">
      <c r="A824" t="s">
        <v>3351</v>
      </c>
      <c r="B824" s="1">
        <v>41885</v>
      </c>
      <c r="C824" s="1" t="str">
        <f>TEXT(Walmart[[#This Row],[Order Date]],"mmmm")</f>
        <v>September</v>
      </c>
      <c r="D824" s="1">
        <v>41885</v>
      </c>
      <c r="E824" s="1" t="str">
        <f>IF(DATEDIF(Walmart[[#This Row],[Order Date]],Walmart[[#This Row],[Ship Date]],"D")&lt;7,"On time","Delayed")</f>
        <v>On time</v>
      </c>
      <c r="F824" t="s">
        <v>3352</v>
      </c>
      <c r="G824" t="s">
        <v>14</v>
      </c>
      <c r="H824" t="s">
        <v>25</v>
      </c>
      <c r="I824" t="s">
        <v>26</v>
      </c>
      <c r="J824" t="s">
        <v>88</v>
      </c>
      <c r="K824" t="s">
        <v>1033</v>
      </c>
      <c r="L824">
        <v>215.98</v>
      </c>
      <c r="M824">
        <v>3</v>
      </c>
      <c r="N824" t="str">
        <f>IF(Walmart[[#This Row],[Quantity]]&gt;=7,"Bulk",IF(Walmart[[#This Row],[Quantity]]&gt;=2,"Multi","Single"))</f>
        <v>Multi</v>
      </c>
      <c r="O824">
        <v>-2.7</v>
      </c>
      <c r="P824" t="str">
        <f>IF(Walmart[[#This Row],[Sales]]&gt;=1000,"High Value", IF(Walmart[[#This Row],[Sales]]&gt;=500,"Medium Value","Low Value"))</f>
        <v>Low Value</v>
      </c>
    </row>
    <row r="825" spans="1:16" x14ac:dyDescent="0.3">
      <c r="A825" t="s">
        <v>3359</v>
      </c>
      <c r="B825" s="1">
        <v>41885</v>
      </c>
      <c r="C825" s="1" t="str">
        <f>TEXT(Walmart[[#This Row],[Order Date]],"mmmm")</f>
        <v>September</v>
      </c>
      <c r="D825" s="1">
        <v>41887</v>
      </c>
      <c r="E825" s="1" t="str">
        <f>IF(DATEDIF(Walmart[[#This Row],[Order Date]],Walmart[[#This Row],[Ship Date]],"D")&lt;7,"On time","Delayed")</f>
        <v>On time</v>
      </c>
      <c r="F825" t="s">
        <v>966</v>
      </c>
      <c r="G825" t="s">
        <v>14</v>
      </c>
      <c r="H825" t="s">
        <v>1124</v>
      </c>
      <c r="I825" t="s">
        <v>77</v>
      </c>
      <c r="J825" t="s">
        <v>17</v>
      </c>
      <c r="K825" t="s">
        <v>2024</v>
      </c>
      <c r="L825">
        <v>11.7</v>
      </c>
      <c r="M825">
        <v>2</v>
      </c>
      <c r="N825" t="str">
        <f>IF(Walmart[[#This Row],[Quantity]]&gt;=7,"Bulk",IF(Walmart[[#This Row],[Quantity]]&gt;=2,"Multi","Single"))</f>
        <v>Multi</v>
      </c>
      <c r="O825">
        <v>3.95</v>
      </c>
      <c r="P825" t="str">
        <f>IF(Walmart[[#This Row],[Sales]]&gt;=1000,"High Value", IF(Walmart[[#This Row],[Sales]]&gt;=500,"Medium Value","Low Value"))</f>
        <v>Low Value</v>
      </c>
    </row>
    <row r="826" spans="1:16" x14ac:dyDescent="0.3">
      <c r="A826" t="s">
        <v>3522</v>
      </c>
      <c r="B826" s="1">
        <v>41885</v>
      </c>
      <c r="C826" s="1" t="str">
        <f>TEXT(Walmart[[#This Row],[Order Date]],"mmmm")</f>
        <v>September</v>
      </c>
      <c r="D826" s="1">
        <v>41887</v>
      </c>
      <c r="E826" s="1" t="str">
        <f>IF(DATEDIF(Walmart[[#This Row],[Order Date]],Walmart[[#This Row],[Ship Date]],"D")&lt;7,"On time","Delayed")</f>
        <v>On time</v>
      </c>
      <c r="F826" t="s">
        <v>2211</v>
      </c>
      <c r="G826" t="s">
        <v>14</v>
      </c>
      <c r="H826" t="s">
        <v>15</v>
      </c>
      <c r="I826" t="s">
        <v>16</v>
      </c>
      <c r="J826" t="s">
        <v>105</v>
      </c>
      <c r="K826" t="s">
        <v>3442</v>
      </c>
      <c r="L826">
        <v>43.1</v>
      </c>
      <c r="M826">
        <v>5</v>
      </c>
      <c r="N826" t="str">
        <f>IF(Walmart[[#This Row],[Quantity]]&gt;=7,"Bulk",IF(Walmart[[#This Row],[Quantity]]&gt;=2,"Multi","Single"))</f>
        <v>Multi</v>
      </c>
      <c r="O826">
        <v>11.21</v>
      </c>
      <c r="P826" t="str">
        <f>IF(Walmart[[#This Row],[Sales]]&gt;=1000,"High Value", IF(Walmart[[#This Row],[Sales]]&gt;=500,"Medium Value","Low Value"))</f>
        <v>Low Value</v>
      </c>
    </row>
    <row r="827" spans="1:16" x14ac:dyDescent="0.3">
      <c r="A827" t="s">
        <v>1816</v>
      </c>
      <c r="B827" s="1">
        <v>41884</v>
      </c>
      <c r="C827" s="1" t="str">
        <f>TEXT(Walmart[[#This Row],[Order Date]],"mmmm")</f>
        <v>September</v>
      </c>
      <c r="D827" s="1">
        <v>41889</v>
      </c>
      <c r="E827" s="1" t="str">
        <f>IF(DATEDIF(Walmart[[#This Row],[Order Date]],Walmart[[#This Row],[Ship Date]],"D")&lt;7,"On time","Delayed")</f>
        <v>On time</v>
      </c>
      <c r="F827" t="s">
        <v>1817</v>
      </c>
      <c r="G827" t="s">
        <v>14</v>
      </c>
      <c r="H827" t="s">
        <v>885</v>
      </c>
      <c r="I827" t="s">
        <v>26</v>
      </c>
      <c r="J827" t="s">
        <v>53</v>
      </c>
      <c r="K827" t="s">
        <v>1818</v>
      </c>
      <c r="L827">
        <v>19.989999999999998</v>
      </c>
      <c r="M827">
        <v>1</v>
      </c>
      <c r="N827" t="str">
        <f>IF(Walmart[[#This Row],[Quantity]]&gt;=7,"Bulk",IF(Walmart[[#This Row],[Quantity]]&gt;=2,"Multi","Single"))</f>
        <v>Single</v>
      </c>
      <c r="O827">
        <v>6.8</v>
      </c>
      <c r="P827" t="str">
        <f>IF(Walmart[[#This Row],[Sales]]&gt;=1000,"High Value", IF(Walmart[[#This Row],[Sales]]&gt;=500,"Medium Value","Low Value"))</f>
        <v>Low Value</v>
      </c>
    </row>
    <row r="828" spans="1:16" hidden="1" x14ac:dyDescent="0.3">
      <c r="A828" t="s">
        <v>2156</v>
      </c>
      <c r="B828" s="1">
        <v>40632</v>
      </c>
      <c r="C828" s="1" t="str">
        <f>TEXT(Walmart[[#This Row],[Order Date]],"mmmm")</f>
        <v>March</v>
      </c>
      <c r="D828" s="1">
        <v>40637</v>
      </c>
      <c r="E828" s="1" t="str">
        <f>IF(DATEDIF(Walmart[[#This Row],[Order Date]],Walmart[[#This Row],[Ship Date]],"D")&lt;7,"On time","Delayed")</f>
        <v>On time</v>
      </c>
      <c r="F828" t="s">
        <v>381</v>
      </c>
      <c r="G828" t="s">
        <v>14</v>
      </c>
      <c r="H828" t="s">
        <v>25</v>
      </c>
      <c r="I828" t="s">
        <v>26</v>
      </c>
      <c r="J828" t="s">
        <v>33</v>
      </c>
      <c r="K828" t="s">
        <v>2157</v>
      </c>
      <c r="L828">
        <v>15.84</v>
      </c>
      <c r="M828">
        <v>3</v>
      </c>
      <c r="N828" t="str">
        <f>IF(Walmart[[#This Row],[Quantity]]&gt;=7,"Bulk",IF(Walmart[[#This Row],[Quantity]]&gt;=2,"Multi","Single"))</f>
        <v>Multi</v>
      </c>
      <c r="O828">
        <v>0</v>
      </c>
      <c r="P828" t="str">
        <f>IF(Walmart[[#This Row],[Sales]]&gt;=1000,"High Value", IF(Walmart[[#This Row],[Sales]]&gt;=500,"Medium Value","Low Value"))</f>
        <v>Low Value</v>
      </c>
    </row>
    <row r="829" spans="1:16" x14ac:dyDescent="0.3">
      <c r="A829" t="s">
        <v>1950</v>
      </c>
      <c r="B829" s="1">
        <v>41884</v>
      </c>
      <c r="C829" s="1" t="str">
        <f>TEXT(Walmart[[#This Row],[Order Date]],"mmmm")</f>
        <v>September</v>
      </c>
      <c r="D829" s="1">
        <v>41890</v>
      </c>
      <c r="E829" s="1" t="str">
        <f>IF(DATEDIF(Walmart[[#This Row],[Order Date]],Walmart[[#This Row],[Ship Date]],"D")&lt;7,"On time","Delayed")</f>
        <v>On time</v>
      </c>
      <c r="F829" t="s">
        <v>384</v>
      </c>
      <c r="G829" t="s">
        <v>14</v>
      </c>
      <c r="H829" t="s">
        <v>25</v>
      </c>
      <c r="I829" t="s">
        <v>26</v>
      </c>
      <c r="J829" t="s">
        <v>38</v>
      </c>
      <c r="K829" t="s">
        <v>125</v>
      </c>
      <c r="L829">
        <v>7.58</v>
      </c>
      <c r="M829">
        <v>1</v>
      </c>
      <c r="N829" t="str">
        <f>IF(Walmart[[#This Row],[Quantity]]&gt;=7,"Bulk",IF(Walmart[[#This Row],[Quantity]]&gt;=2,"Multi","Single"))</f>
        <v>Single</v>
      </c>
      <c r="O829">
        <v>2.96</v>
      </c>
      <c r="P829" t="str">
        <f>IF(Walmart[[#This Row],[Sales]]&gt;=1000,"High Value", IF(Walmart[[#This Row],[Sales]]&gt;=500,"Medium Value","Low Value"))</f>
        <v>Low Value</v>
      </c>
    </row>
    <row r="830" spans="1:16" x14ac:dyDescent="0.3">
      <c r="A830" t="s">
        <v>3276</v>
      </c>
      <c r="B830" s="1">
        <v>41884</v>
      </c>
      <c r="C830" s="1" t="str">
        <f>TEXT(Walmart[[#This Row],[Order Date]],"mmmm")</f>
        <v>September</v>
      </c>
      <c r="D830" s="1">
        <v>41884</v>
      </c>
      <c r="E830" s="1" t="str">
        <f>IF(DATEDIF(Walmart[[#This Row],[Order Date]],Walmart[[#This Row],[Ship Date]],"D")&lt;7,"On time","Delayed")</f>
        <v>On time</v>
      </c>
      <c r="F830" t="s">
        <v>689</v>
      </c>
      <c r="G830" t="s">
        <v>14</v>
      </c>
      <c r="H830" t="s">
        <v>25</v>
      </c>
      <c r="I830" t="s">
        <v>26</v>
      </c>
      <c r="J830" t="s">
        <v>105</v>
      </c>
      <c r="K830" t="s">
        <v>3277</v>
      </c>
      <c r="L830">
        <v>314.60000000000002</v>
      </c>
      <c r="M830">
        <v>4</v>
      </c>
      <c r="N830" t="str">
        <f>IF(Walmart[[#This Row],[Quantity]]&gt;=7,"Bulk",IF(Walmart[[#This Row],[Quantity]]&gt;=2,"Multi","Single"))</f>
        <v>Multi</v>
      </c>
      <c r="O830">
        <v>103.82</v>
      </c>
      <c r="P830" t="str">
        <f>IF(Walmart[[#This Row],[Sales]]&gt;=1000,"High Value", IF(Walmart[[#This Row],[Sales]]&gt;=500,"Medium Value","Low Value"))</f>
        <v>Low Value</v>
      </c>
    </row>
    <row r="831" spans="1:16" hidden="1" x14ac:dyDescent="0.3">
      <c r="A831" t="s">
        <v>2160</v>
      </c>
      <c r="B831" s="1">
        <v>41541</v>
      </c>
      <c r="C831" s="1" t="str">
        <f>TEXT(Walmart[[#This Row],[Order Date]],"mmmm")</f>
        <v>September</v>
      </c>
      <c r="D831" s="1">
        <v>41544</v>
      </c>
      <c r="E831" s="1" t="str">
        <f>IF(DATEDIF(Walmart[[#This Row],[Order Date]],Walmart[[#This Row],[Ship Date]],"D")&lt;7,"On time","Delayed")</f>
        <v>On time</v>
      </c>
      <c r="F831" t="s">
        <v>13</v>
      </c>
      <c r="G831" t="s">
        <v>14</v>
      </c>
      <c r="H831" t="s">
        <v>160</v>
      </c>
      <c r="I831" t="s">
        <v>16</v>
      </c>
      <c r="J831" t="s">
        <v>124</v>
      </c>
      <c r="K831" t="s">
        <v>138</v>
      </c>
      <c r="L831">
        <v>4.08</v>
      </c>
      <c r="M831">
        <v>2</v>
      </c>
      <c r="N831" t="str">
        <f>IF(Walmart[[#This Row],[Quantity]]&gt;=7,"Bulk",IF(Walmart[[#This Row],[Quantity]]&gt;=2,"Multi","Single"))</f>
        <v>Multi</v>
      </c>
      <c r="O831">
        <v>1.92</v>
      </c>
      <c r="P831" t="str">
        <f>IF(Walmart[[#This Row],[Sales]]&gt;=1000,"High Value", IF(Walmart[[#This Row],[Sales]]&gt;=500,"Medium Value","Low Value"))</f>
        <v>Low Value</v>
      </c>
    </row>
    <row r="832" spans="1:16" x14ac:dyDescent="0.3">
      <c r="A832" t="s">
        <v>756</v>
      </c>
      <c r="B832" s="1">
        <v>41883</v>
      </c>
      <c r="C832" s="1" t="str">
        <f>TEXT(Walmart[[#This Row],[Order Date]],"mmmm")</f>
        <v>September</v>
      </c>
      <c r="D832" s="1">
        <v>41888</v>
      </c>
      <c r="E832" s="1" t="str">
        <f>IF(DATEDIF(Walmart[[#This Row],[Order Date]],Walmart[[#This Row],[Ship Date]],"D")&lt;7,"On time","Delayed")</f>
        <v>On time</v>
      </c>
      <c r="F832" t="s">
        <v>318</v>
      </c>
      <c r="G832" t="s">
        <v>14</v>
      </c>
      <c r="H832" t="s">
        <v>757</v>
      </c>
      <c r="I832" t="s">
        <v>58</v>
      </c>
      <c r="J832" t="s">
        <v>33</v>
      </c>
      <c r="K832" t="s">
        <v>758</v>
      </c>
      <c r="L832">
        <v>10.74</v>
      </c>
      <c r="M832">
        <v>1</v>
      </c>
      <c r="N832" t="str">
        <f>IF(Walmart[[#This Row],[Quantity]]&gt;=7,"Bulk",IF(Walmart[[#This Row],[Quantity]]&gt;=2,"Multi","Single"))</f>
        <v>Single</v>
      </c>
      <c r="O832">
        <v>0.81</v>
      </c>
      <c r="P832" t="str">
        <f>IF(Walmart[[#This Row],[Sales]]&gt;=1000,"High Value", IF(Walmart[[#This Row],[Sales]]&gt;=500,"Medium Value","Low Value"))</f>
        <v>Low Value</v>
      </c>
    </row>
    <row r="833" spans="1:16" hidden="1" x14ac:dyDescent="0.3">
      <c r="A833" t="s">
        <v>2163</v>
      </c>
      <c r="B833" s="1">
        <v>41247</v>
      </c>
      <c r="C833" s="1" t="str">
        <f>TEXT(Walmart[[#This Row],[Order Date]],"mmmm")</f>
        <v>December</v>
      </c>
      <c r="D833" s="1">
        <v>41252</v>
      </c>
      <c r="E833" s="1" t="str">
        <f>IF(DATEDIF(Walmart[[#This Row],[Order Date]],Walmart[[#This Row],[Ship Date]],"D")&lt;7,"On time","Delayed")</f>
        <v>On time</v>
      </c>
      <c r="F833" t="s">
        <v>502</v>
      </c>
      <c r="G833" t="s">
        <v>14</v>
      </c>
      <c r="H833" t="s">
        <v>1702</v>
      </c>
      <c r="I833" t="s">
        <v>16</v>
      </c>
      <c r="J833" t="s">
        <v>38</v>
      </c>
      <c r="K833" t="s">
        <v>2164</v>
      </c>
      <c r="L833">
        <v>16.899999999999999</v>
      </c>
      <c r="M833">
        <v>5</v>
      </c>
      <c r="N833" t="str">
        <f>IF(Walmart[[#This Row],[Quantity]]&gt;=7,"Bulk",IF(Walmart[[#This Row],[Quantity]]&gt;=2,"Multi","Single"))</f>
        <v>Multi</v>
      </c>
      <c r="O833">
        <v>6.25</v>
      </c>
      <c r="P833" t="str">
        <f>IF(Walmart[[#This Row],[Sales]]&gt;=1000,"High Value", IF(Walmart[[#This Row],[Sales]]&gt;=500,"Medium Value","Low Value"))</f>
        <v>Low Value</v>
      </c>
    </row>
    <row r="834" spans="1:16" hidden="1" x14ac:dyDescent="0.3">
      <c r="A834" t="s">
        <v>2165</v>
      </c>
      <c r="B834" s="1">
        <v>40550</v>
      </c>
      <c r="C834" s="1" t="str">
        <f>TEXT(Walmart[[#This Row],[Order Date]],"mmmm")</f>
        <v>January</v>
      </c>
      <c r="D834" s="1">
        <v>40552</v>
      </c>
      <c r="E834" s="1" t="str">
        <f>IF(DATEDIF(Walmart[[#This Row],[Order Date]],Walmart[[#This Row],[Ship Date]],"D")&lt;7,"On time","Delayed")</f>
        <v>On time</v>
      </c>
      <c r="F834" t="s">
        <v>2166</v>
      </c>
      <c r="G834" t="s">
        <v>14</v>
      </c>
      <c r="H834" t="s">
        <v>15</v>
      </c>
      <c r="I834" t="s">
        <v>16</v>
      </c>
      <c r="J834" t="s">
        <v>93</v>
      </c>
      <c r="K834" t="s">
        <v>2167</v>
      </c>
      <c r="L834">
        <v>19.440000000000001</v>
      </c>
      <c r="M834">
        <v>3</v>
      </c>
      <c r="N834" t="str">
        <f>IF(Walmart[[#This Row],[Quantity]]&gt;=7,"Bulk",IF(Walmart[[#This Row],[Quantity]]&gt;=2,"Multi","Single"))</f>
        <v>Multi</v>
      </c>
      <c r="O834">
        <v>9.33</v>
      </c>
      <c r="P834" t="str">
        <f>IF(Walmart[[#This Row],[Sales]]&gt;=1000,"High Value", IF(Walmart[[#This Row],[Sales]]&gt;=500,"Medium Value","Low Value"))</f>
        <v>Low Value</v>
      </c>
    </row>
    <row r="835" spans="1:16" hidden="1" x14ac:dyDescent="0.3">
      <c r="A835" t="s">
        <v>2168</v>
      </c>
      <c r="B835" s="1">
        <v>41050</v>
      </c>
      <c r="C835" s="1" t="str">
        <f>TEXT(Walmart[[#This Row],[Order Date]],"mmmm")</f>
        <v>May</v>
      </c>
      <c r="D835" s="1">
        <v>41054</v>
      </c>
      <c r="E835" s="1" t="str">
        <f>IF(DATEDIF(Walmart[[#This Row],[Order Date]],Walmart[[#This Row],[Ship Date]],"D")&lt;7,"On time","Delayed")</f>
        <v>On time</v>
      </c>
      <c r="F835" t="s">
        <v>905</v>
      </c>
      <c r="G835" t="s">
        <v>14</v>
      </c>
      <c r="H835" t="s">
        <v>25</v>
      </c>
      <c r="I835" t="s">
        <v>26</v>
      </c>
      <c r="J835" t="s">
        <v>27</v>
      </c>
      <c r="K835" t="s">
        <v>2169</v>
      </c>
      <c r="L835">
        <v>26.98</v>
      </c>
      <c r="M835">
        <v>4</v>
      </c>
      <c r="N835" t="str">
        <f>IF(Walmart[[#This Row],[Quantity]]&gt;=7,"Bulk",IF(Walmart[[#This Row],[Quantity]]&gt;=2,"Multi","Single"))</f>
        <v>Multi</v>
      </c>
      <c r="O835">
        <v>8.77</v>
      </c>
      <c r="P835" t="str">
        <f>IF(Walmart[[#This Row],[Sales]]&gt;=1000,"High Value", IF(Walmart[[#This Row],[Sales]]&gt;=500,"Medium Value","Low Value"))</f>
        <v>Low Value</v>
      </c>
    </row>
    <row r="836" spans="1:16" x14ac:dyDescent="0.3">
      <c r="A836" t="s">
        <v>2041</v>
      </c>
      <c r="B836" s="1">
        <v>41883</v>
      </c>
      <c r="C836" s="1" t="str">
        <f>TEXT(Walmart[[#This Row],[Order Date]],"mmmm")</f>
        <v>September</v>
      </c>
      <c r="D836" s="1">
        <v>41887</v>
      </c>
      <c r="E836" s="1" t="str">
        <f>IF(DATEDIF(Walmart[[#This Row],[Order Date]],Walmart[[#This Row],[Ship Date]],"D")&lt;7,"On time","Delayed")</f>
        <v>On time</v>
      </c>
      <c r="F836" t="s">
        <v>2042</v>
      </c>
      <c r="G836" t="s">
        <v>14</v>
      </c>
      <c r="H836" t="s">
        <v>37</v>
      </c>
      <c r="I836" t="s">
        <v>16</v>
      </c>
      <c r="J836" t="s">
        <v>27</v>
      </c>
      <c r="K836" t="s">
        <v>2043</v>
      </c>
      <c r="L836">
        <v>6.67</v>
      </c>
      <c r="M836">
        <v>3</v>
      </c>
      <c r="N836" t="str">
        <f>IF(Walmart[[#This Row],[Quantity]]&gt;=7,"Bulk",IF(Walmart[[#This Row],[Quantity]]&gt;=2,"Multi","Single"))</f>
        <v>Multi</v>
      </c>
      <c r="O836">
        <v>2.17</v>
      </c>
      <c r="P836" t="str">
        <f>IF(Walmart[[#This Row],[Sales]]&gt;=1000,"High Value", IF(Walmart[[#This Row],[Sales]]&gt;=500,"Medium Value","Low Value"))</f>
        <v>Low Value</v>
      </c>
    </row>
    <row r="837" spans="1:16" x14ac:dyDescent="0.3">
      <c r="A837" t="s">
        <v>2547</v>
      </c>
      <c r="B837" s="1">
        <v>41883</v>
      </c>
      <c r="C837" s="1" t="str">
        <f>TEXT(Walmart[[#This Row],[Order Date]],"mmmm")</f>
        <v>September</v>
      </c>
      <c r="D837" s="1">
        <v>41885</v>
      </c>
      <c r="E837" s="1" t="str">
        <f>IF(DATEDIF(Walmart[[#This Row],[Order Date]],Walmart[[#This Row],[Ship Date]],"D")&lt;7,"On time","Delayed")</f>
        <v>On time</v>
      </c>
      <c r="F837" t="s">
        <v>2548</v>
      </c>
      <c r="G837" t="s">
        <v>14</v>
      </c>
      <c r="H837" t="s">
        <v>909</v>
      </c>
      <c r="I837" t="s">
        <v>26</v>
      </c>
      <c r="J837" t="s">
        <v>88</v>
      </c>
      <c r="K837" t="s">
        <v>2549</v>
      </c>
      <c r="L837">
        <v>569.57000000000005</v>
      </c>
      <c r="M837">
        <v>2</v>
      </c>
      <c r="N837" t="str">
        <f>IF(Walmart[[#This Row],[Quantity]]&gt;=7,"Bulk",IF(Walmart[[#This Row],[Quantity]]&gt;=2,"Multi","Single"))</f>
        <v>Multi</v>
      </c>
      <c r="O837">
        <v>7.12</v>
      </c>
      <c r="P837" t="str">
        <f>IF(Walmart[[#This Row],[Sales]]&gt;=1000,"High Value", IF(Walmart[[#This Row],[Sales]]&gt;=500,"Medium Value","Low Value"))</f>
        <v>Medium Value</v>
      </c>
    </row>
    <row r="838" spans="1:16" hidden="1" x14ac:dyDescent="0.3">
      <c r="A838" t="s">
        <v>2174</v>
      </c>
      <c r="B838" s="1">
        <v>40676</v>
      </c>
      <c r="C838" s="1" t="str">
        <f>TEXT(Walmart[[#This Row],[Order Date]],"mmmm")</f>
        <v>May</v>
      </c>
      <c r="D838" s="1">
        <v>40682</v>
      </c>
      <c r="E838" s="1" t="str">
        <f>IF(DATEDIF(Walmart[[#This Row],[Order Date]],Walmart[[#This Row],[Ship Date]],"D")&lt;7,"On time","Delayed")</f>
        <v>On time</v>
      </c>
      <c r="F838" t="s">
        <v>2175</v>
      </c>
      <c r="G838" t="s">
        <v>14</v>
      </c>
      <c r="H838" t="s">
        <v>15</v>
      </c>
      <c r="I838" t="s">
        <v>16</v>
      </c>
      <c r="J838" t="s">
        <v>88</v>
      </c>
      <c r="K838" t="s">
        <v>2176</v>
      </c>
      <c r="L838">
        <v>279.45999999999998</v>
      </c>
      <c r="M838">
        <v>6</v>
      </c>
      <c r="N838" t="str">
        <f>IF(Walmart[[#This Row],[Quantity]]&gt;=7,"Bulk",IF(Walmart[[#This Row],[Quantity]]&gt;=2,"Multi","Single"))</f>
        <v>Multi</v>
      </c>
      <c r="O838">
        <v>20.96</v>
      </c>
      <c r="P838" t="str">
        <f>IF(Walmart[[#This Row],[Sales]]&gt;=1000,"High Value", IF(Walmart[[#This Row],[Sales]]&gt;=500,"Medium Value","Low Value"))</f>
        <v>Low Value</v>
      </c>
    </row>
    <row r="839" spans="1:16" hidden="1" x14ac:dyDescent="0.3">
      <c r="A839" t="s">
        <v>2177</v>
      </c>
      <c r="B839" s="1">
        <v>41547</v>
      </c>
      <c r="C839" s="1" t="str">
        <f>TEXT(Walmart[[#This Row],[Order Date]],"mmmm")</f>
        <v>September</v>
      </c>
      <c r="D839" s="1">
        <v>41551</v>
      </c>
      <c r="E839" s="1" t="str">
        <f>IF(DATEDIF(Walmart[[#This Row],[Order Date]],Walmart[[#This Row],[Ship Date]],"D")&lt;7,"On time","Delayed")</f>
        <v>On time</v>
      </c>
      <c r="F839" t="s">
        <v>2178</v>
      </c>
      <c r="G839" t="s">
        <v>14</v>
      </c>
      <c r="H839" t="s">
        <v>37</v>
      </c>
      <c r="I839" t="s">
        <v>16</v>
      </c>
      <c r="J839" t="s">
        <v>27</v>
      </c>
      <c r="K839" t="s">
        <v>1588</v>
      </c>
      <c r="L839">
        <v>27.24</v>
      </c>
      <c r="M839">
        <v>5</v>
      </c>
      <c r="N839" t="str">
        <f>IF(Walmart[[#This Row],[Quantity]]&gt;=7,"Bulk",IF(Walmart[[#This Row],[Quantity]]&gt;=2,"Multi","Single"))</f>
        <v>Multi</v>
      </c>
      <c r="O839">
        <v>9.5299999999999994</v>
      </c>
      <c r="P839" t="str">
        <f>IF(Walmart[[#This Row],[Sales]]&gt;=1000,"High Value", IF(Walmart[[#This Row],[Sales]]&gt;=500,"Medium Value","Low Value"))</f>
        <v>Low Value</v>
      </c>
    </row>
    <row r="840" spans="1:16" hidden="1" x14ac:dyDescent="0.3">
      <c r="A840" t="s">
        <v>2179</v>
      </c>
      <c r="B840" s="1">
        <v>40760</v>
      </c>
      <c r="C840" s="1" t="str">
        <f>TEXT(Walmart[[#This Row],[Order Date]],"mmmm")</f>
        <v>August</v>
      </c>
      <c r="D840" s="1">
        <v>40766</v>
      </c>
      <c r="E840" s="1" t="str">
        <f>IF(DATEDIF(Walmart[[#This Row],[Order Date]],Walmart[[#This Row],[Ship Date]],"D")&lt;7,"On time","Delayed")</f>
        <v>On time</v>
      </c>
      <c r="F840" t="s">
        <v>271</v>
      </c>
      <c r="G840" t="s">
        <v>14</v>
      </c>
      <c r="H840" t="s">
        <v>37</v>
      </c>
      <c r="I840" t="s">
        <v>16</v>
      </c>
      <c r="J840" t="s">
        <v>53</v>
      </c>
      <c r="K840" t="s">
        <v>1491</v>
      </c>
      <c r="L840">
        <v>16.36</v>
      </c>
      <c r="M840">
        <v>1</v>
      </c>
      <c r="N840" t="str">
        <f>IF(Walmart[[#This Row],[Quantity]]&gt;=7,"Bulk",IF(Walmart[[#This Row],[Quantity]]&gt;=2,"Multi","Single"))</f>
        <v>Single</v>
      </c>
      <c r="O840">
        <v>1.64</v>
      </c>
      <c r="P840" t="str">
        <f>IF(Walmart[[#This Row],[Sales]]&gt;=1000,"High Value", IF(Walmart[[#This Row],[Sales]]&gt;=500,"Medium Value","Low Value"))</f>
        <v>Low Value</v>
      </c>
    </row>
    <row r="841" spans="1:16" hidden="1" x14ac:dyDescent="0.3">
      <c r="A841" t="s">
        <v>2180</v>
      </c>
      <c r="B841" s="1">
        <v>40562</v>
      </c>
      <c r="C841" s="1" t="str">
        <f>TEXT(Walmart[[#This Row],[Order Date]],"mmmm")</f>
        <v>January</v>
      </c>
      <c r="D841" s="1">
        <v>40565</v>
      </c>
      <c r="E841" s="1" t="str">
        <f>IF(DATEDIF(Walmart[[#This Row],[Order Date]],Walmart[[#This Row],[Ship Date]],"D")&lt;7,"On time","Delayed")</f>
        <v>On time</v>
      </c>
      <c r="F841" t="s">
        <v>1797</v>
      </c>
      <c r="G841" t="s">
        <v>14</v>
      </c>
      <c r="H841" t="s">
        <v>926</v>
      </c>
      <c r="I841" t="s">
        <v>69</v>
      </c>
      <c r="J841" t="s">
        <v>105</v>
      </c>
      <c r="K841" t="s">
        <v>1058</v>
      </c>
      <c r="L841">
        <v>64.86</v>
      </c>
      <c r="M841">
        <v>4</v>
      </c>
      <c r="N841" t="str">
        <f>IF(Walmart[[#This Row],[Quantity]]&gt;=7,"Bulk",IF(Walmart[[#This Row],[Quantity]]&gt;=2,"Multi","Single"))</f>
        <v>Multi</v>
      </c>
      <c r="O841">
        <v>6.49</v>
      </c>
      <c r="P841" t="str">
        <f>IF(Walmart[[#This Row],[Sales]]&gt;=1000,"High Value", IF(Walmart[[#This Row],[Sales]]&gt;=500,"Medium Value","Low Value"))</f>
        <v>Low Value</v>
      </c>
    </row>
    <row r="842" spans="1:16" x14ac:dyDescent="0.3">
      <c r="A842" t="s">
        <v>2737</v>
      </c>
      <c r="B842" s="1">
        <v>41883</v>
      </c>
      <c r="C842" s="1" t="str">
        <f>TEXT(Walmart[[#This Row],[Order Date]],"mmmm")</f>
        <v>September</v>
      </c>
      <c r="D842" s="1">
        <v>41888</v>
      </c>
      <c r="E842" s="1" t="str">
        <f>IF(DATEDIF(Walmart[[#This Row],[Order Date]],Walmart[[#This Row],[Ship Date]],"D")&lt;7,"On time","Delayed")</f>
        <v>On time</v>
      </c>
      <c r="F842" t="s">
        <v>1235</v>
      </c>
      <c r="G842" t="s">
        <v>14</v>
      </c>
      <c r="H842" t="s">
        <v>341</v>
      </c>
      <c r="I842" t="s">
        <v>69</v>
      </c>
      <c r="J842" t="s">
        <v>334</v>
      </c>
      <c r="K842" t="s">
        <v>2738</v>
      </c>
      <c r="L842">
        <v>6.21</v>
      </c>
      <c r="M842">
        <v>2</v>
      </c>
      <c r="N842" t="str">
        <f>IF(Walmart[[#This Row],[Quantity]]&gt;=7,"Bulk",IF(Walmart[[#This Row],[Quantity]]&gt;=2,"Multi","Single"))</f>
        <v>Multi</v>
      </c>
      <c r="O842">
        <v>0.7</v>
      </c>
      <c r="P842" t="str">
        <f>IF(Walmart[[#This Row],[Sales]]&gt;=1000,"High Value", IF(Walmart[[#This Row],[Sales]]&gt;=500,"Medium Value","Low Value"))</f>
        <v>Low Value</v>
      </c>
    </row>
    <row r="843" spans="1:16" x14ac:dyDescent="0.3">
      <c r="A843" t="s">
        <v>3467</v>
      </c>
      <c r="B843" s="1">
        <v>41883</v>
      </c>
      <c r="C843" s="1" t="str">
        <f>TEXT(Walmart[[#This Row],[Order Date]],"mmmm")</f>
        <v>September</v>
      </c>
      <c r="D843" s="1">
        <v>41888</v>
      </c>
      <c r="E843" s="1" t="str">
        <f>IF(DATEDIF(Walmart[[#This Row],[Order Date]],Walmart[[#This Row],[Ship Date]],"D")&lt;7,"On time","Delayed")</f>
        <v>On time</v>
      </c>
      <c r="F843" t="s">
        <v>1455</v>
      </c>
      <c r="G843" t="s">
        <v>14</v>
      </c>
      <c r="H843" t="s">
        <v>37</v>
      </c>
      <c r="I843" t="s">
        <v>16</v>
      </c>
      <c r="J843" t="s">
        <v>33</v>
      </c>
      <c r="K843" t="s">
        <v>1381</v>
      </c>
      <c r="L843">
        <v>193.95</v>
      </c>
      <c r="M843">
        <v>3</v>
      </c>
      <c r="N843" t="str">
        <f>IF(Walmart[[#This Row],[Quantity]]&gt;=7,"Bulk",IF(Walmart[[#This Row],[Quantity]]&gt;=2,"Multi","Single"))</f>
        <v>Multi</v>
      </c>
      <c r="O843">
        <v>9.6999999999999993</v>
      </c>
      <c r="P843" t="str">
        <f>IF(Walmart[[#This Row],[Sales]]&gt;=1000,"High Value", IF(Walmart[[#This Row],[Sales]]&gt;=500,"Medium Value","Low Value"))</f>
        <v>Low Value</v>
      </c>
    </row>
    <row r="844" spans="1:16" hidden="1" x14ac:dyDescent="0.3">
      <c r="A844" t="s">
        <v>2184</v>
      </c>
      <c r="B844" s="1">
        <v>41501</v>
      </c>
      <c r="C844" s="1" t="str">
        <f>TEXT(Walmart[[#This Row],[Order Date]],"mmmm")</f>
        <v>August</v>
      </c>
      <c r="D844" s="1">
        <v>41505</v>
      </c>
      <c r="E844" s="1" t="str">
        <f>IF(DATEDIF(Walmart[[#This Row],[Order Date]],Walmart[[#This Row],[Ship Date]],"D")&lt;7,"On time","Delayed")</f>
        <v>On time</v>
      </c>
      <c r="F844" t="s">
        <v>2082</v>
      </c>
      <c r="G844" t="s">
        <v>14</v>
      </c>
      <c r="H844" t="s">
        <v>15</v>
      </c>
      <c r="I844" t="s">
        <v>16</v>
      </c>
      <c r="J844" t="s">
        <v>93</v>
      </c>
      <c r="K844" t="s">
        <v>2185</v>
      </c>
      <c r="L844">
        <v>15.54</v>
      </c>
      <c r="M844">
        <v>3</v>
      </c>
      <c r="N844" t="str">
        <f>IF(Walmart[[#This Row],[Quantity]]&gt;=7,"Bulk",IF(Walmart[[#This Row],[Quantity]]&gt;=2,"Multi","Single"))</f>
        <v>Multi</v>
      </c>
      <c r="O844">
        <v>7.61</v>
      </c>
      <c r="P844" t="str">
        <f>IF(Walmart[[#This Row],[Sales]]&gt;=1000,"High Value", IF(Walmart[[#This Row],[Sales]]&gt;=500,"Medium Value","Low Value"))</f>
        <v>Low Value</v>
      </c>
    </row>
    <row r="845" spans="1:16" x14ac:dyDescent="0.3">
      <c r="A845" t="s">
        <v>3041</v>
      </c>
      <c r="B845" s="1">
        <v>41881</v>
      </c>
      <c r="C845" s="1" t="str">
        <f>TEXT(Walmart[[#This Row],[Order Date]],"mmmm")</f>
        <v>August</v>
      </c>
      <c r="D845" s="1">
        <v>41887</v>
      </c>
      <c r="E845" s="1" t="str">
        <f>IF(DATEDIF(Walmart[[#This Row],[Order Date]],Walmart[[#This Row],[Ship Date]],"D")&lt;7,"On time","Delayed")</f>
        <v>On time</v>
      </c>
      <c r="F845" t="s">
        <v>689</v>
      </c>
      <c r="G845" t="s">
        <v>14</v>
      </c>
      <c r="H845" t="s">
        <v>15</v>
      </c>
      <c r="I845" t="s">
        <v>16</v>
      </c>
      <c r="J845" t="s">
        <v>21</v>
      </c>
      <c r="K845" t="s">
        <v>3042</v>
      </c>
      <c r="L845">
        <v>148.02000000000001</v>
      </c>
      <c r="M845">
        <v>3</v>
      </c>
      <c r="N845" t="str">
        <f>IF(Walmart[[#This Row],[Quantity]]&gt;=7,"Bulk",IF(Walmart[[#This Row],[Quantity]]&gt;=2,"Multi","Single"))</f>
        <v>Multi</v>
      </c>
      <c r="O845">
        <v>41.45</v>
      </c>
      <c r="P845" t="str">
        <f>IF(Walmart[[#This Row],[Sales]]&gt;=1000,"High Value", IF(Walmart[[#This Row],[Sales]]&gt;=500,"Medium Value","Low Value"))</f>
        <v>Low Value</v>
      </c>
    </row>
    <row r="846" spans="1:16" x14ac:dyDescent="0.3">
      <c r="A846" t="s">
        <v>1198</v>
      </c>
      <c r="B846" s="1">
        <v>41880</v>
      </c>
      <c r="C846" s="1" t="str">
        <f>TEXT(Walmart[[#This Row],[Order Date]],"mmmm")</f>
        <v>August</v>
      </c>
      <c r="D846" s="1">
        <v>41886</v>
      </c>
      <c r="E846" s="1" t="str">
        <f>IF(DATEDIF(Walmart[[#This Row],[Order Date]],Walmart[[#This Row],[Ship Date]],"D")&lt;7,"On time","Delayed")</f>
        <v>On time</v>
      </c>
      <c r="F846" t="s">
        <v>1123</v>
      </c>
      <c r="G846" t="s">
        <v>14</v>
      </c>
      <c r="H846" t="s">
        <v>25</v>
      </c>
      <c r="I846" t="s">
        <v>26</v>
      </c>
      <c r="J846" t="s">
        <v>146</v>
      </c>
      <c r="K846" t="s">
        <v>1199</v>
      </c>
      <c r="L846">
        <v>35.17</v>
      </c>
      <c r="M846">
        <v>4</v>
      </c>
      <c r="N846" t="str">
        <f>IF(Walmart[[#This Row],[Quantity]]&gt;=7,"Bulk",IF(Walmart[[#This Row],[Quantity]]&gt;=2,"Multi","Single"))</f>
        <v>Multi</v>
      </c>
      <c r="O846">
        <v>11.43</v>
      </c>
      <c r="P846" t="str">
        <f>IF(Walmart[[#This Row],[Sales]]&gt;=1000,"High Value", IF(Walmart[[#This Row],[Sales]]&gt;=500,"Medium Value","Low Value"))</f>
        <v>Low Value</v>
      </c>
    </row>
    <row r="847" spans="1:16" hidden="1" x14ac:dyDescent="0.3">
      <c r="A847" t="s">
        <v>2189</v>
      </c>
      <c r="B847" s="1">
        <v>40865</v>
      </c>
      <c r="C847" s="1" t="str">
        <f>TEXT(Walmart[[#This Row],[Order Date]],"mmmm")</f>
        <v>November</v>
      </c>
      <c r="D847" s="1">
        <v>40868</v>
      </c>
      <c r="E847" s="1" t="str">
        <f>IF(DATEDIF(Walmart[[#This Row],[Order Date]],Walmart[[#This Row],[Ship Date]],"D")&lt;7,"On time","Delayed")</f>
        <v>On time</v>
      </c>
      <c r="F847" t="s">
        <v>2190</v>
      </c>
      <c r="G847" t="s">
        <v>14</v>
      </c>
      <c r="H847" t="s">
        <v>677</v>
      </c>
      <c r="I847" t="s">
        <v>32</v>
      </c>
      <c r="J847" t="s">
        <v>93</v>
      </c>
      <c r="K847" t="s">
        <v>1275</v>
      </c>
      <c r="L847">
        <v>21.98</v>
      </c>
      <c r="M847">
        <v>7</v>
      </c>
      <c r="N847" t="str">
        <f>IF(Walmart[[#This Row],[Quantity]]&gt;=7,"Bulk",IF(Walmart[[#This Row],[Quantity]]&gt;=2,"Multi","Single"))</f>
        <v>Bulk</v>
      </c>
      <c r="O847">
        <v>9.89</v>
      </c>
      <c r="P847" t="str">
        <f>IF(Walmart[[#This Row],[Sales]]&gt;=1000,"High Value", IF(Walmart[[#This Row],[Sales]]&gt;=500,"Medium Value","Low Value"))</f>
        <v>Low Value</v>
      </c>
    </row>
    <row r="848" spans="1:16" hidden="1" x14ac:dyDescent="0.3">
      <c r="A848" t="s">
        <v>2191</v>
      </c>
      <c r="B848" s="1">
        <v>41542</v>
      </c>
      <c r="C848" s="1" t="str">
        <f>TEXT(Walmart[[#This Row],[Order Date]],"mmmm")</f>
        <v>September</v>
      </c>
      <c r="D848" s="1">
        <v>41542</v>
      </c>
      <c r="E848" s="1" t="str">
        <f>IF(DATEDIF(Walmart[[#This Row],[Order Date]],Walmart[[#This Row],[Ship Date]],"D")&lt;7,"On time","Delayed")</f>
        <v>On time</v>
      </c>
      <c r="F848" t="s">
        <v>776</v>
      </c>
      <c r="G848" t="s">
        <v>14</v>
      </c>
      <c r="H848" t="s">
        <v>37</v>
      </c>
      <c r="I848" t="s">
        <v>16</v>
      </c>
      <c r="J848" t="s">
        <v>21</v>
      </c>
      <c r="K848" t="s">
        <v>2089</v>
      </c>
      <c r="L848">
        <v>63.2</v>
      </c>
      <c r="M848">
        <v>5</v>
      </c>
      <c r="N848" t="str">
        <f>IF(Walmart[[#This Row],[Quantity]]&gt;=7,"Bulk",IF(Walmart[[#This Row],[Quantity]]&gt;=2,"Multi","Single"))</f>
        <v>Multi</v>
      </c>
      <c r="O848">
        <v>23.38</v>
      </c>
      <c r="P848" t="str">
        <f>IF(Walmart[[#This Row],[Sales]]&gt;=1000,"High Value", IF(Walmart[[#This Row],[Sales]]&gt;=500,"Medium Value","Low Value"))</f>
        <v>Low Value</v>
      </c>
    </row>
    <row r="849" spans="1:16" hidden="1" x14ac:dyDescent="0.3">
      <c r="A849" t="s">
        <v>2192</v>
      </c>
      <c r="B849" s="1">
        <v>41599</v>
      </c>
      <c r="C849" s="1" t="str">
        <f>TEXT(Walmart[[#This Row],[Order Date]],"mmmm")</f>
        <v>November</v>
      </c>
      <c r="D849" s="1">
        <v>41606</v>
      </c>
      <c r="E849" s="1" t="str">
        <f>IF(DATEDIF(Walmart[[#This Row],[Order Date]],Walmart[[#This Row],[Ship Date]],"D")&lt;7,"On time","Delayed")</f>
        <v>Delayed</v>
      </c>
      <c r="F849" t="s">
        <v>2193</v>
      </c>
      <c r="G849" t="s">
        <v>14</v>
      </c>
      <c r="H849" t="s">
        <v>15</v>
      </c>
      <c r="I849" t="s">
        <v>16</v>
      </c>
      <c r="J849" t="s">
        <v>105</v>
      </c>
      <c r="K849" t="s">
        <v>2194</v>
      </c>
      <c r="L849">
        <v>39</v>
      </c>
      <c r="M849">
        <v>12</v>
      </c>
      <c r="N849" t="str">
        <f>IF(Walmart[[#This Row],[Quantity]]&gt;=7,"Bulk",IF(Walmart[[#This Row],[Quantity]]&gt;=2,"Multi","Single"))</f>
        <v>Bulk</v>
      </c>
      <c r="O849">
        <v>11.31</v>
      </c>
      <c r="P849" t="str">
        <f>IF(Walmart[[#This Row],[Sales]]&gt;=1000,"High Value", IF(Walmart[[#This Row],[Sales]]&gt;=500,"Medium Value","Low Value"))</f>
        <v>Low Value</v>
      </c>
    </row>
    <row r="850" spans="1:16" hidden="1" x14ac:dyDescent="0.3">
      <c r="A850" t="s">
        <v>2195</v>
      </c>
      <c r="B850" s="1">
        <v>41374</v>
      </c>
      <c r="C850" s="1" t="str">
        <f>TEXT(Walmart[[#This Row],[Order Date]],"mmmm")</f>
        <v>April</v>
      </c>
      <c r="D850" s="1">
        <v>41379</v>
      </c>
      <c r="E850" s="1" t="str">
        <f>IF(DATEDIF(Walmart[[#This Row],[Order Date]],Walmart[[#This Row],[Ship Date]],"D")&lt;7,"On time","Delayed")</f>
        <v>On time</v>
      </c>
      <c r="F850" t="s">
        <v>1309</v>
      </c>
      <c r="G850" t="s">
        <v>14</v>
      </c>
      <c r="H850" t="s">
        <v>15</v>
      </c>
      <c r="I850" t="s">
        <v>16</v>
      </c>
      <c r="J850" t="s">
        <v>671</v>
      </c>
      <c r="K850" t="s">
        <v>2196</v>
      </c>
      <c r="L850">
        <v>556.66999999999996</v>
      </c>
      <c r="M850">
        <v>5</v>
      </c>
      <c r="N850" t="str">
        <f>IF(Walmart[[#This Row],[Quantity]]&gt;=7,"Bulk",IF(Walmart[[#This Row],[Quantity]]&gt;=2,"Multi","Single"))</f>
        <v>Multi</v>
      </c>
      <c r="O850">
        <v>6.55</v>
      </c>
      <c r="P850" t="str">
        <f>IF(Walmart[[#This Row],[Sales]]&gt;=1000,"High Value", IF(Walmart[[#This Row],[Sales]]&gt;=500,"Medium Value","Low Value"))</f>
        <v>Medium Value</v>
      </c>
    </row>
    <row r="851" spans="1:16" x14ac:dyDescent="0.3">
      <c r="A851" t="s">
        <v>1637</v>
      </c>
      <c r="B851" s="1">
        <v>41879</v>
      </c>
      <c r="C851" s="1" t="str">
        <f>TEXT(Walmart[[#This Row],[Order Date]],"mmmm")</f>
        <v>August</v>
      </c>
      <c r="D851" s="1">
        <v>41881</v>
      </c>
      <c r="E851" s="1" t="str">
        <f>IF(DATEDIF(Walmart[[#This Row],[Order Date]],Walmart[[#This Row],[Ship Date]],"D")&lt;7,"On time","Delayed")</f>
        <v>On time</v>
      </c>
      <c r="F851" t="s">
        <v>1425</v>
      </c>
      <c r="G851" t="s">
        <v>14</v>
      </c>
      <c r="H851" t="s">
        <v>173</v>
      </c>
      <c r="I851" t="s">
        <v>16</v>
      </c>
      <c r="J851" t="s">
        <v>21</v>
      </c>
      <c r="K851" t="s">
        <v>805</v>
      </c>
      <c r="L851">
        <v>198.46</v>
      </c>
      <c r="M851">
        <v>2</v>
      </c>
      <c r="N851" t="str">
        <f>IF(Walmart[[#This Row],[Quantity]]&gt;=7,"Bulk",IF(Walmart[[#This Row],[Quantity]]&gt;=2,"Multi","Single"))</f>
        <v>Multi</v>
      </c>
      <c r="O851">
        <v>99.23</v>
      </c>
      <c r="P851" t="str">
        <f>IF(Walmart[[#This Row],[Sales]]&gt;=1000,"High Value", IF(Walmart[[#This Row],[Sales]]&gt;=500,"Medium Value","Low Value"))</f>
        <v>Low Value</v>
      </c>
    </row>
    <row r="852" spans="1:16" hidden="1" x14ac:dyDescent="0.3">
      <c r="A852" t="s">
        <v>2199</v>
      </c>
      <c r="B852" s="1">
        <v>41327</v>
      </c>
      <c r="C852" s="1" t="str">
        <f>TEXT(Walmart[[#This Row],[Order Date]],"mmmm")</f>
        <v>February</v>
      </c>
      <c r="D852" s="1">
        <v>41331</v>
      </c>
      <c r="E852" s="1" t="str">
        <f>IF(DATEDIF(Walmart[[#This Row],[Order Date]],Walmart[[#This Row],[Ship Date]],"D")&lt;7,"On time","Delayed")</f>
        <v>On time</v>
      </c>
      <c r="F852" t="s">
        <v>502</v>
      </c>
      <c r="G852" t="s">
        <v>14</v>
      </c>
      <c r="H852" t="s">
        <v>15</v>
      </c>
      <c r="I852" t="s">
        <v>16</v>
      </c>
      <c r="J852" t="s">
        <v>146</v>
      </c>
      <c r="K852" t="s">
        <v>2200</v>
      </c>
      <c r="L852">
        <v>445.96</v>
      </c>
      <c r="M852">
        <v>5</v>
      </c>
      <c r="N852" t="str">
        <f>IF(Walmart[[#This Row],[Quantity]]&gt;=7,"Bulk",IF(Walmart[[#This Row],[Quantity]]&gt;=2,"Multi","Single"))</f>
        <v>Multi</v>
      </c>
      <c r="O852">
        <v>55.75</v>
      </c>
      <c r="P852" t="str">
        <f>IF(Walmart[[#This Row],[Sales]]&gt;=1000,"High Value", IF(Walmart[[#This Row],[Sales]]&gt;=500,"Medium Value","Low Value"))</f>
        <v>Low Value</v>
      </c>
    </row>
    <row r="853" spans="1:16" x14ac:dyDescent="0.3">
      <c r="A853" t="s">
        <v>3388</v>
      </c>
      <c r="B853" s="1">
        <v>41879</v>
      </c>
      <c r="C853" s="1" t="str">
        <f>TEXT(Walmart[[#This Row],[Order Date]],"mmmm")</f>
        <v>August</v>
      </c>
      <c r="D853" s="1">
        <v>41883</v>
      </c>
      <c r="E853" s="1" t="str">
        <f>IF(DATEDIF(Walmart[[#This Row],[Order Date]],Walmart[[#This Row],[Ship Date]],"D")&lt;7,"On time","Delayed")</f>
        <v>On time</v>
      </c>
      <c r="F853" t="s">
        <v>327</v>
      </c>
      <c r="G853" t="s">
        <v>14</v>
      </c>
      <c r="H853" t="s">
        <v>299</v>
      </c>
      <c r="I853" t="s">
        <v>58</v>
      </c>
      <c r="J853" t="s">
        <v>21</v>
      </c>
      <c r="K853" t="s">
        <v>2114</v>
      </c>
      <c r="L853">
        <v>120.58</v>
      </c>
      <c r="M853">
        <v>8</v>
      </c>
      <c r="N853" t="str">
        <f>IF(Walmart[[#This Row],[Quantity]]&gt;=7,"Bulk",IF(Walmart[[#This Row],[Quantity]]&gt;=2,"Multi","Single"))</f>
        <v>Bulk</v>
      </c>
      <c r="O853">
        <v>33.159999999999997</v>
      </c>
      <c r="P853" t="str">
        <f>IF(Walmart[[#This Row],[Sales]]&gt;=1000,"High Value", IF(Walmart[[#This Row],[Sales]]&gt;=500,"Medium Value","Low Value"))</f>
        <v>Low Value</v>
      </c>
    </row>
    <row r="854" spans="1:16" x14ac:dyDescent="0.3">
      <c r="A854" t="s">
        <v>2132</v>
      </c>
      <c r="B854" s="1">
        <v>41874</v>
      </c>
      <c r="C854" s="1" t="str">
        <f>TEXT(Walmart[[#This Row],[Order Date]],"mmmm")</f>
        <v>August</v>
      </c>
      <c r="D854" s="1">
        <v>41875</v>
      </c>
      <c r="E854" s="1" t="str">
        <f>IF(DATEDIF(Walmart[[#This Row],[Order Date]],Walmart[[#This Row],[Ship Date]],"D")&lt;7,"On time","Delayed")</f>
        <v>On time</v>
      </c>
      <c r="F854" t="s">
        <v>2133</v>
      </c>
      <c r="G854" t="s">
        <v>14</v>
      </c>
      <c r="H854" t="s">
        <v>37</v>
      </c>
      <c r="I854" t="s">
        <v>16</v>
      </c>
      <c r="J854" t="s">
        <v>43</v>
      </c>
      <c r="K854" t="s">
        <v>81</v>
      </c>
      <c r="L854">
        <v>210.01</v>
      </c>
      <c r="M854">
        <v>1</v>
      </c>
      <c r="N854" t="str">
        <f>IF(Walmart[[#This Row],[Quantity]]&gt;=7,"Bulk",IF(Walmart[[#This Row],[Quantity]]&gt;=2,"Multi","Single"))</f>
        <v>Single</v>
      </c>
      <c r="O854">
        <v>2.63</v>
      </c>
      <c r="P854" t="str">
        <f>IF(Walmart[[#This Row],[Sales]]&gt;=1000,"High Value", IF(Walmart[[#This Row],[Sales]]&gt;=500,"Medium Value","Low Value"))</f>
        <v>Low Value</v>
      </c>
    </row>
    <row r="855" spans="1:16" hidden="1" x14ac:dyDescent="0.3">
      <c r="A855" t="s">
        <v>2206</v>
      </c>
      <c r="B855" s="1">
        <v>41638</v>
      </c>
      <c r="C855" s="1" t="str">
        <f>TEXT(Walmart[[#This Row],[Order Date]],"mmmm")</f>
        <v>December</v>
      </c>
      <c r="D855" s="1">
        <v>41642</v>
      </c>
      <c r="E855" s="1" t="str">
        <f>IF(DATEDIF(Walmart[[#This Row],[Order Date]],Walmart[[#This Row],[Ship Date]],"D")&lt;7,"On time","Delayed")</f>
        <v>On time</v>
      </c>
      <c r="F855" t="s">
        <v>616</v>
      </c>
      <c r="G855" t="s">
        <v>14</v>
      </c>
      <c r="H855" t="s">
        <v>15</v>
      </c>
      <c r="I855" t="s">
        <v>16</v>
      </c>
      <c r="J855" t="s">
        <v>27</v>
      </c>
      <c r="K855" t="s">
        <v>2207</v>
      </c>
      <c r="L855">
        <v>11.23</v>
      </c>
      <c r="M855">
        <v>3</v>
      </c>
      <c r="N855" t="str">
        <f>IF(Walmart[[#This Row],[Quantity]]&gt;=7,"Bulk",IF(Walmart[[#This Row],[Quantity]]&gt;=2,"Multi","Single"))</f>
        <v>Multi</v>
      </c>
      <c r="O855">
        <v>3.93</v>
      </c>
      <c r="P855" t="str">
        <f>IF(Walmart[[#This Row],[Sales]]&gt;=1000,"High Value", IF(Walmart[[#This Row],[Sales]]&gt;=500,"Medium Value","Low Value"))</f>
        <v>Low Value</v>
      </c>
    </row>
    <row r="856" spans="1:16" hidden="1" x14ac:dyDescent="0.3">
      <c r="A856" t="s">
        <v>2208</v>
      </c>
      <c r="B856" s="1">
        <v>41612</v>
      </c>
      <c r="C856" s="1" t="str">
        <f>TEXT(Walmart[[#This Row],[Order Date]],"mmmm")</f>
        <v>December</v>
      </c>
      <c r="D856" s="1">
        <v>41615</v>
      </c>
      <c r="E856" s="1" t="str">
        <f>IF(DATEDIF(Walmart[[#This Row],[Order Date]],Walmart[[#This Row],[Ship Date]],"D")&lt;7,"On time","Delayed")</f>
        <v>On time</v>
      </c>
      <c r="F856" t="s">
        <v>568</v>
      </c>
      <c r="G856" t="s">
        <v>14</v>
      </c>
      <c r="H856" t="s">
        <v>15</v>
      </c>
      <c r="I856" t="s">
        <v>16</v>
      </c>
      <c r="J856" t="s">
        <v>53</v>
      </c>
      <c r="K856" t="s">
        <v>2209</v>
      </c>
      <c r="L856">
        <v>1649.95</v>
      </c>
      <c r="M856">
        <v>5</v>
      </c>
      <c r="N856" t="str">
        <f>IF(Walmart[[#This Row],[Quantity]]&gt;=7,"Bulk",IF(Walmart[[#This Row],[Quantity]]&gt;=2,"Multi","Single"))</f>
        <v>Multi</v>
      </c>
      <c r="O856">
        <v>659.98</v>
      </c>
      <c r="P856" t="str">
        <f>IF(Walmart[[#This Row],[Sales]]&gt;=1000,"High Value", IF(Walmart[[#This Row],[Sales]]&gt;=500,"Medium Value","Low Value"))</f>
        <v>High Value</v>
      </c>
    </row>
    <row r="857" spans="1:16" hidden="1" x14ac:dyDescent="0.3">
      <c r="A857" t="s">
        <v>2210</v>
      </c>
      <c r="B857" s="1">
        <v>41440</v>
      </c>
      <c r="C857" s="1" t="str">
        <f>TEXT(Walmart[[#This Row],[Order Date]],"mmmm")</f>
        <v>June</v>
      </c>
      <c r="D857" s="1">
        <v>41440</v>
      </c>
      <c r="E857" s="1" t="str">
        <f>IF(DATEDIF(Walmart[[#This Row],[Order Date]],Walmart[[#This Row],[Ship Date]],"D")&lt;7,"On time","Delayed")</f>
        <v>On time</v>
      </c>
      <c r="F857" t="s">
        <v>2211</v>
      </c>
      <c r="G857" t="s">
        <v>14</v>
      </c>
      <c r="H857" t="s">
        <v>15</v>
      </c>
      <c r="I857" t="s">
        <v>16</v>
      </c>
      <c r="J857" t="s">
        <v>671</v>
      </c>
      <c r="K857" t="s">
        <v>2212</v>
      </c>
      <c r="L857">
        <v>599.16999999999996</v>
      </c>
      <c r="M857">
        <v>5</v>
      </c>
      <c r="N857" t="str">
        <f>IF(Walmart[[#This Row],[Quantity]]&gt;=7,"Bulk",IF(Walmart[[#This Row],[Quantity]]&gt;=2,"Multi","Single"))</f>
        <v>Multi</v>
      </c>
      <c r="O857">
        <v>35.25</v>
      </c>
      <c r="P857" t="str">
        <f>IF(Walmart[[#This Row],[Sales]]&gt;=1000,"High Value", IF(Walmart[[#This Row],[Sales]]&gt;=500,"Medium Value","Low Value"))</f>
        <v>Medium Value</v>
      </c>
    </row>
    <row r="858" spans="1:16" hidden="1" x14ac:dyDescent="0.3">
      <c r="A858" t="s">
        <v>2213</v>
      </c>
      <c r="B858" s="1">
        <v>41520</v>
      </c>
      <c r="C858" s="1" t="str">
        <f>TEXT(Walmart[[#This Row],[Order Date]],"mmmm")</f>
        <v>September</v>
      </c>
      <c r="D858" s="1">
        <v>41522</v>
      </c>
      <c r="E858" s="1" t="str">
        <f>IF(DATEDIF(Walmart[[#This Row],[Order Date]],Walmart[[#This Row],[Ship Date]],"D")&lt;7,"On time","Delayed")</f>
        <v>On time</v>
      </c>
      <c r="F858" t="s">
        <v>666</v>
      </c>
      <c r="G858" t="s">
        <v>14</v>
      </c>
      <c r="H858" t="s">
        <v>37</v>
      </c>
      <c r="I858" t="s">
        <v>16</v>
      </c>
      <c r="J858" t="s">
        <v>33</v>
      </c>
      <c r="K858" t="s">
        <v>2214</v>
      </c>
      <c r="L858">
        <v>46.53</v>
      </c>
      <c r="M858">
        <v>3</v>
      </c>
      <c r="N858" t="str">
        <f>IF(Walmart[[#This Row],[Quantity]]&gt;=7,"Bulk",IF(Walmart[[#This Row],[Quantity]]&gt;=2,"Multi","Single"))</f>
        <v>Multi</v>
      </c>
      <c r="O858">
        <v>12.1</v>
      </c>
      <c r="P858" t="str">
        <f>IF(Walmart[[#This Row],[Sales]]&gt;=1000,"High Value", IF(Walmart[[#This Row],[Sales]]&gt;=500,"Medium Value","Low Value"))</f>
        <v>Low Value</v>
      </c>
    </row>
    <row r="859" spans="1:16" x14ac:dyDescent="0.3">
      <c r="A859" t="s">
        <v>1521</v>
      </c>
      <c r="B859" s="1">
        <v>41873</v>
      </c>
      <c r="C859" s="1" t="str">
        <f>TEXT(Walmart[[#This Row],[Order Date]],"mmmm")</f>
        <v>August</v>
      </c>
      <c r="D859" s="1">
        <v>41874</v>
      </c>
      <c r="E859" s="1" t="str">
        <f>IF(DATEDIF(Walmart[[#This Row],[Order Date]],Walmart[[#This Row],[Ship Date]],"D")&lt;7,"On time","Delayed")</f>
        <v>On time</v>
      </c>
      <c r="F859" t="s">
        <v>1522</v>
      </c>
      <c r="G859" t="s">
        <v>14</v>
      </c>
      <c r="H859" t="s">
        <v>556</v>
      </c>
      <c r="I859" t="s">
        <v>16</v>
      </c>
      <c r="J859" t="s">
        <v>38</v>
      </c>
      <c r="K859" t="s">
        <v>1523</v>
      </c>
      <c r="L859">
        <v>17.12</v>
      </c>
      <c r="M859">
        <v>4</v>
      </c>
      <c r="N859" t="str">
        <f>IF(Walmart[[#This Row],[Quantity]]&gt;=7,"Bulk",IF(Walmart[[#This Row],[Quantity]]&gt;=2,"Multi","Single"))</f>
        <v>Multi</v>
      </c>
      <c r="O859">
        <v>4.96</v>
      </c>
      <c r="P859" t="str">
        <f>IF(Walmart[[#This Row],[Sales]]&gt;=1000,"High Value", IF(Walmart[[#This Row],[Sales]]&gt;=500,"Medium Value","Low Value"))</f>
        <v>Low Value</v>
      </c>
    </row>
    <row r="860" spans="1:16" hidden="1" x14ac:dyDescent="0.3">
      <c r="A860" t="s">
        <v>2218</v>
      </c>
      <c r="B860" s="1">
        <v>41201</v>
      </c>
      <c r="C860" s="1" t="str">
        <f>TEXT(Walmart[[#This Row],[Order Date]],"mmmm")</f>
        <v>October</v>
      </c>
      <c r="D860" s="1">
        <v>41206</v>
      </c>
      <c r="E860" s="1" t="str">
        <f>IF(DATEDIF(Walmart[[#This Row],[Order Date]],Walmart[[#This Row],[Ship Date]],"D")&lt;7,"On time","Delayed")</f>
        <v>On time</v>
      </c>
      <c r="F860" t="s">
        <v>1911</v>
      </c>
      <c r="G860" t="s">
        <v>14</v>
      </c>
      <c r="H860" t="s">
        <v>15</v>
      </c>
      <c r="I860" t="s">
        <v>16</v>
      </c>
      <c r="J860" t="s">
        <v>105</v>
      </c>
      <c r="K860" t="s">
        <v>2219</v>
      </c>
      <c r="L860">
        <v>1640.7</v>
      </c>
      <c r="M860">
        <v>5</v>
      </c>
      <c r="N860" t="str">
        <f>IF(Walmart[[#This Row],[Quantity]]&gt;=7,"Bulk",IF(Walmart[[#This Row],[Quantity]]&gt;=2,"Multi","Single"))</f>
        <v>Multi</v>
      </c>
      <c r="O860">
        <v>459.4</v>
      </c>
      <c r="P860" t="str">
        <f>IF(Walmart[[#This Row],[Sales]]&gt;=1000,"High Value", IF(Walmart[[#This Row],[Sales]]&gt;=500,"Medium Value","Low Value"))</f>
        <v>High Value</v>
      </c>
    </row>
    <row r="861" spans="1:16" x14ac:dyDescent="0.3">
      <c r="A861" t="s">
        <v>2550</v>
      </c>
      <c r="B861" s="1">
        <v>41873</v>
      </c>
      <c r="C861" s="1" t="str">
        <f>TEXT(Walmart[[#This Row],[Order Date]],"mmmm")</f>
        <v>August</v>
      </c>
      <c r="D861" s="1">
        <v>41873</v>
      </c>
      <c r="E861" s="1" t="str">
        <f>IF(DATEDIF(Walmart[[#This Row],[Order Date]],Walmart[[#This Row],[Ship Date]],"D")&lt;7,"On time","Delayed")</f>
        <v>On time</v>
      </c>
      <c r="F861" t="s">
        <v>574</v>
      </c>
      <c r="G861" t="s">
        <v>14</v>
      </c>
      <c r="H861" t="s">
        <v>2099</v>
      </c>
      <c r="I861" t="s">
        <v>58</v>
      </c>
      <c r="J861" t="s">
        <v>93</v>
      </c>
      <c r="K861" t="s">
        <v>2551</v>
      </c>
      <c r="L861">
        <v>83.88</v>
      </c>
      <c r="M861">
        <v>1</v>
      </c>
      <c r="N861" t="str">
        <f>IF(Walmart[[#This Row],[Quantity]]&gt;=7,"Bulk",IF(Walmart[[#This Row],[Quantity]]&gt;=2,"Multi","Single"))</f>
        <v>Single</v>
      </c>
      <c r="O861">
        <v>29.36</v>
      </c>
      <c r="P861" t="str">
        <f>IF(Walmart[[#This Row],[Sales]]&gt;=1000,"High Value", IF(Walmart[[#This Row],[Sales]]&gt;=500,"Medium Value","Low Value"))</f>
        <v>Low Value</v>
      </c>
    </row>
    <row r="862" spans="1:16" hidden="1" x14ac:dyDescent="0.3">
      <c r="A862" t="s">
        <v>2222</v>
      </c>
      <c r="B862" s="1">
        <v>41478</v>
      </c>
      <c r="C862" s="1" t="str">
        <f>TEXT(Walmart[[#This Row],[Order Date]],"mmmm")</f>
        <v>July</v>
      </c>
      <c r="D862" s="1">
        <v>41485</v>
      </c>
      <c r="E862" s="1" t="str">
        <f>IF(DATEDIF(Walmart[[#This Row],[Order Date]],Walmart[[#This Row],[Ship Date]],"D")&lt;7,"On time","Delayed")</f>
        <v>Delayed</v>
      </c>
      <c r="F862" t="s">
        <v>1123</v>
      </c>
      <c r="G862" t="s">
        <v>14</v>
      </c>
      <c r="H862" t="s">
        <v>1167</v>
      </c>
      <c r="I862" t="s">
        <v>227</v>
      </c>
      <c r="J862" t="s">
        <v>334</v>
      </c>
      <c r="K862" t="s">
        <v>2223</v>
      </c>
      <c r="L862">
        <v>86.2</v>
      </c>
      <c r="M862">
        <v>5</v>
      </c>
      <c r="N862" t="str">
        <f>IF(Walmart[[#This Row],[Quantity]]&gt;=7,"Bulk",IF(Walmart[[#This Row],[Quantity]]&gt;=2,"Multi","Single"))</f>
        <v>Multi</v>
      </c>
      <c r="O862">
        <v>25</v>
      </c>
      <c r="P862" t="str">
        <f>IF(Walmart[[#This Row],[Sales]]&gt;=1000,"High Value", IF(Walmart[[#This Row],[Sales]]&gt;=500,"Medium Value","Low Value"))</f>
        <v>Low Value</v>
      </c>
    </row>
    <row r="863" spans="1:16" x14ac:dyDescent="0.3">
      <c r="A863" t="s">
        <v>3020</v>
      </c>
      <c r="B863" s="1">
        <v>41873</v>
      </c>
      <c r="C863" s="1" t="str">
        <f>TEXT(Walmart[[#This Row],[Order Date]],"mmmm")</f>
        <v>August</v>
      </c>
      <c r="D863" s="1">
        <v>41877</v>
      </c>
      <c r="E863" s="1" t="str">
        <f>IF(DATEDIF(Walmart[[#This Row],[Order Date]],Walmart[[#This Row],[Ship Date]],"D")&lt;7,"On time","Delayed")</f>
        <v>On time</v>
      </c>
      <c r="F863" t="s">
        <v>2138</v>
      </c>
      <c r="G863" t="s">
        <v>14</v>
      </c>
      <c r="H863" t="s">
        <v>25</v>
      </c>
      <c r="I863" t="s">
        <v>26</v>
      </c>
      <c r="J863" t="s">
        <v>88</v>
      </c>
      <c r="K863" t="s">
        <v>3021</v>
      </c>
      <c r="L863">
        <v>388.7</v>
      </c>
      <c r="M863">
        <v>6</v>
      </c>
      <c r="N863" t="str">
        <f>IF(Walmart[[#This Row],[Quantity]]&gt;=7,"Bulk",IF(Walmart[[#This Row],[Quantity]]&gt;=2,"Multi","Single"))</f>
        <v>Multi</v>
      </c>
      <c r="O863">
        <v>38.869999999999997</v>
      </c>
      <c r="P863" t="str">
        <f>IF(Walmart[[#This Row],[Sales]]&gt;=1000,"High Value", IF(Walmart[[#This Row],[Sales]]&gt;=500,"Medium Value","Low Value"))</f>
        <v>Low Value</v>
      </c>
    </row>
    <row r="864" spans="1:16" x14ac:dyDescent="0.3">
      <c r="A864" t="s">
        <v>3529</v>
      </c>
      <c r="B864" s="1">
        <v>41873</v>
      </c>
      <c r="C864" s="1" t="str">
        <f>TEXT(Walmart[[#This Row],[Order Date]],"mmmm")</f>
        <v>August</v>
      </c>
      <c r="D864" s="1">
        <v>41877</v>
      </c>
      <c r="E864" s="1" t="str">
        <f>IF(DATEDIF(Walmart[[#This Row],[Order Date]],Walmart[[#This Row],[Ship Date]],"D")&lt;7,"On time","Delayed")</f>
        <v>On time</v>
      </c>
      <c r="F864" t="s">
        <v>3530</v>
      </c>
      <c r="G864" t="s">
        <v>14</v>
      </c>
      <c r="H864" t="s">
        <v>247</v>
      </c>
      <c r="I864" t="s">
        <v>77</v>
      </c>
      <c r="J864" t="s">
        <v>33</v>
      </c>
      <c r="K864" t="s">
        <v>3531</v>
      </c>
      <c r="L864">
        <v>237.1</v>
      </c>
      <c r="M864">
        <v>3</v>
      </c>
      <c r="N864" t="str">
        <f>IF(Walmart[[#This Row],[Quantity]]&gt;=7,"Bulk",IF(Walmart[[#This Row],[Quantity]]&gt;=2,"Multi","Single"))</f>
        <v>Multi</v>
      </c>
      <c r="O864">
        <v>20.75</v>
      </c>
      <c r="P864" t="str">
        <f>IF(Walmart[[#This Row],[Sales]]&gt;=1000,"High Value", IF(Walmart[[#This Row],[Sales]]&gt;=500,"Medium Value","Low Value"))</f>
        <v>Low Value</v>
      </c>
    </row>
    <row r="865" spans="1:16" x14ac:dyDescent="0.3">
      <c r="A865" t="s">
        <v>972</v>
      </c>
      <c r="B865" s="1">
        <v>41872</v>
      </c>
      <c r="C865" s="1" t="str">
        <f>TEXT(Walmart[[#This Row],[Order Date]],"mmmm")</f>
        <v>August</v>
      </c>
      <c r="D865" s="1">
        <v>41874</v>
      </c>
      <c r="E865" s="1" t="str">
        <f>IF(DATEDIF(Walmart[[#This Row],[Order Date]],Walmart[[#This Row],[Ship Date]],"D")&lt;7,"On time","Delayed")</f>
        <v>On time</v>
      </c>
      <c r="F865" t="s">
        <v>973</v>
      </c>
      <c r="G865" t="s">
        <v>14</v>
      </c>
      <c r="H865" t="s">
        <v>613</v>
      </c>
      <c r="I865" t="s">
        <v>16</v>
      </c>
      <c r="J865" t="s">
        <v>27</v>
      </c>
      <c r="K865" t="s">
        <v>974</v>
      </c>
      <c r="L865">
        <v>239.12</v>
      </c>
      <c r="M865">
        <v>5</v>
      </c>
      <c r="N865" t="str">
        <f>IF(Walmart[[#This Row],[Quantity]]&gt;=7,"Bulk",IF(Walmart[[#This Row],[Quantity]]&gt;=2,"Multi","Single"))</f>
        <v>Multi</v>
      </c>
      <c r="O865">
        <v>77.709999999999994</v>
      </c>
      <c r="P865" t="str">
        <f>IF(Walmart[[#This Row],[Sales]]&gt;=1000,"High Value", IF(Walmart[[#This Row],[Sales]]&gt;=500,"Medium Value","Low Value"))</f>
        <v>Low Value</v>
      </c>
    </row>
    <row r="866" spans="1:16" hidden="1" x14ac:dyDescent="0.3">
      <c r="A866" t="s">
        <v>2229</v>
      </c>
      <c r="B866" s="1">
        <v>40563</v>
      </c>
      <c r="C866" s="1" t="str">
        <f>TEXT(Walmart[[#This Row],[Order Date]],"mmmm")</f>
        <v>January</v>
      </c>
      <c r="D866" s="1">
        <v>40564</v>
      </c>
      <c r="E866" s="1" t="str">
        <f>IF(DATEDIF(Walmart[[#This Row],[Order Date]],Walmart[[#This Row],[Ship Date]],"D")&lt;7,"On time","Delayed")</f>
        <v>On time</v>
      </c>
      <c r="F866" t="s">
        <v>1738</v>
      </c>
      <c r="G866" t="s">
        <v>14</v>
      </c>
      <c r="H866" t="s">
        <v>104</v>
      </c>
      <c r="I866" t="s">
        <v>58</v>
      </c>
      <c r="J866" t="s">
        <v>27</v>
      </c>
      <c r="K866" t="s">
        <v>847</v>
      </c>
      <c r="L866">
        <v>32.340000000000003</v>
      </c>
      <c r="M866">
        <v>10</v>
      </c>
      <c r="N866" t="str">
        <f>IF(Walmart[[#This Row],[Quantity]]&gt;=7,"Bulk",IF(Walmart[[#This Row],[Quantity]]&gt;=2,"Multi","Single"))</f>
        <v>Bulk</v>
      </c>
      <c r="O866">
        <v>-23.72</v>
      </c>
      <c r="P866" t="str">
        <f>IF(Walmart[[#This Row],[Sales]]&gt;=1000,"High Value", IF(Walmart[[#This Row],[Sales]]&gt;=500,"Medium Value","Low Value"))</f>
        <v>Low Value</v>
      </c>
    </row>
    <row r="867" spans="1:16" hidden="1" x14ac:dyDescent="0.3">
      <c r="A867" t="s">
        <v>2230</v>
      </c>
      <c r="B867" s="1">
        <v>41435</v>
      </c>
      <c r="C867" s="1" t="str">
        <f>TEXT(Walmart[[#This Row],[Order Date]],"mmmm")</f>
        <v>June</v>
      </c>
      <c r="D867" s="1">
        <v>41440</v>
      </c>
      <c r="E867" s="1" t="str">
        <f>IF(DATEDIF(Walmart[[#This Row],[Order Date]],Walmart[[#This Row],[Ship Date]],"D")&lt;7,"On time","Delayed")</f>
        <v>On time</v>
      </c>
      <c r="F867" t="s">
        <v>2231</v>
      </c>
      <c r="G867" t="s">
        <v>14</v>
      </c>
      <c r="H867" t="s">
        <v>37</v>
      </c>
      <c r="I867" t="s">
        <v>16</v>
      </c>
      <c r="J867" t="s">
        <v>88</v>
      </c>
      <c r="K867" t="s">
        <v>1264</v>
      </c>
      <c r="L867">
        <v>122.35</v>
      </c>
      <c r="M867">
        <v>3</v>
      </c>
      <c r="N867" t="str">
        <f>IF(Walmart[[#This Row],[Quantity]]&gt;=7,"Bulk",IF(Walmart[[#This Row],[Quantity]]&gt;=2,"Multi","Single"))</f>
        <v>Multi</v>
      </c>
      <c r="O867">
        <v>13.76</v>
      </c>
      <c r="P867" t="str">
        <f>IF(Walmart[[#This Row],[Sales]]&gt;=1000,"High Value", IF(Walmart[[#This Row],[Sales]]&gt;=500,"Medium Value","Low Value"))</f>
        <v>Low Value</v>
      </c>
    </row>
    <row r="868" spans="1:16" hidden="1" x14ac:dyDescent="0.3">
      <c r="A868" t="s">
        <v>2232</v>
      </c>
      <c r="B868" s="1">
        <v>40812</v>
      </c>
      <c r="C868" s="1" t="str">
        <f>TEXT(Walmart[[#This Row],[Order Date]],"mmmm")</f>
        <v>September</v>
      </c>
      <c r="D868" s="1">
        <v>40813</v>
      </c>
      <c r="E868" s="1" t="str">
        <f>IF(DATEDIF(Walmart[[#This Row],[Order Date]],Walmart[[#This Row],[Ship Date]],"D")&lt;7,"On time","Delayed")</f>
        <v>On time</v>
      </c>
      <c r="F868" t="s">
        <v>1043</v>
      </c>
      <c r="G868" t="s">
        <v>14</v>
      </c>
      <c r="H868" t="s">
        <v>160</v>
      </c>
      <c r="I868" t="s">
        <v>16</v>
      </c>
      <c r="J868" t="s">
        <v>88</v>
      </c>
      <c r="K868" t="s">
        <v>2233</v>
      </c>
      <c r="L868">
        <v>585.54999999999995</v>
      </c>
      <c r="M868">
        <v>3</v>
      </c>
      <c r="N868" t="str">
        <f>IF(Walmart[[#This Row],[Quantity]]&gt;=7,"Bulk",IF(Walmart[[#This Row],[Quantity]]&gt;=2,"Multi","Single"))</f>
        <v>Multi</v>
      </c>
      <c r="O868">
        <v>73.19</v>
      </c>
      <c r="P868" t="str">
        <f>IF(Walmart[[#This Row],[Sales]]&gt;=1000,"High Value", IF(Walmart[[#This Row],[Sales]]&gt;=500,"Medium Value","Low Value"))</f>
        <v>Medium Value</v>
      </c>
    </row>
    <row r="869" spans="1:16" x14ac:dyDescent="0.3">
      <c r="A869" t="s">
        <v>2408</v>
      </c>
      <c r="B869" s="1">
        <v>41872</v>
      </c>
      <c r="C869" s="1" t="str">
        <f>TEXT(Walmart[[#This Row],[Order Date]],"mmmm")</f>
        <v>August</v>
      </c>
      <c r="D869" s="1">
        <v>41877</v>
      </c>
      <c r="E869" s="1" t="str">
        <f>IF(DATEDIF(Walmart[[#This Row],[Order Date]],Walmart[[#This Row],[Ship Date]],"D")&lt;7,"On time","Delayed")</f>
        <v>On time</v>
      </c>
      <c r="F869" t="s">
        <v>2409</v>
      </c>
      <c r="G869" t="s">
        <v>14</v>
      </c>
      <c r="H869" t="s">
        <v>37</v>
      </c>
      <c r="I869" t="s">
        <v>16</v>
      </c>
      <c r="J869" t="s">
        <v>334</v>
      </c>
      <c r="K869" t="s">
        <v>2410</v>
      </c>
      <c r="L869">
        <v>17.22</v>
      </c>
      <c r="M869">
        <v>3</v>
      </c>
      <c r="N869" t="str">
        <f>IF(Walmart[[#This Row],[Quantity]]&gt;=7,"Bulk",IF(Walmart[[#This Row],[Quantity]]&gt;=2,"Multi","Single"))</f>
        <v>Multi</v>
      </c>
      <c r="O869">
        <v>5.17</v>
      </c>
      <c r="P869" t="str">
        <f>IF(Walmart[[#This Row],[Sales]]&gt;=1000,"High Value", IF(Walmart[[#This Row],[Sales]]&gt;=500,"Medium Value","Low Value"))</f>
        <v>Low Value</v>
      </c>
    </row>
    <row r="870" spans="1:16" x14ac:dyDescent="0.3">
      <c r="A870" t="s">
        <v>2952</v>
      </c>
      <c r="B870" s="1">
        <v>41872</v>
      </c>
      <c r="C870" s="1" t="str">
        <f>TEXT(Walmart[[#This Row],[Order Date]],"mmmm")</f>
        <v>August</v>
      </c>
      <c r="D870" s="1">
        <v>41879</v>
      </c>
      <c r="E870" s="1" t="str">
        <f>IF(DATEDIF(Walmart[[#This Row],[Order Date]],Walmart[[#This Row],[Ship Date]],"D")&lt;7,"On time","Delayed")</f>
        <v>Delayed</v>
      </c>
      <c r="F870" t="s">
        <v>1019</v>
      </c>
      <c r="G870" t="s">
        <v>14</v>
      </c>
      <c r="H870" t="s">
        <v>15</v>
      </c>
      <c r="I870" t="s">
        <v>16</v>
      </c>
      <c r="J870" t="s">
        <v>93</v>
      </c>
      <c r="K870" t="s">
        <v>2953</v>
      </c>
      <c r="L870">
        <v>25.92</v>
      </c>
      <c r="M870">
        <v>4</v>
      </c>
      <c r="N870" t="str">
        <f>IF(Walmart[[#This Row],[Quantity]]&gt;=7,"Bulk",IF(Walmart[[#This Row],[Quantity]]&gt;=2,"Multi","Single"))</f>
        <v>Multi</v>
      </c>
      <c r="O870">
        <v>12.44</v>
      </c>
      <c r="P870" t="str">
        <f>IF(Walmart[[#This Row],[Sales]]&gt;=1000,"High Value", IF(Walmart[[#This Row],[Sales]]&gt;=500,"Medium Value","Low Value"))</f>
        <v>Low Value</v>
      </c>
    </row>
    <row r="871" spans="1:16" hidden="1" x14ac:dyDescent="0.3">
      <c r="A871" t="s">
        <v>2238</v>
      </c>
      <c r="B871" s="1">
        <v>40875</v>
      </c>
      <c r="C871" s="1" t="str">
        <f>TEXT(Walmart[[#This Row],[Order Date]],"mmmm")</f>
        <v>November</v>
      </c>
      <c r="D871" s="1">
        <v>40875</v>
      </c>
      <c r="E871" s="1" t="str">
        <f>IF(DATEDIF(Walmart[[#This Row],[Order Date]],Walmart[[#This Row],[Ship Date]],"D")&lt;7,"On time","Delayed")</f>
        <v>On time</v>
      </c>
      <c r="F871" t="s">
        <v>2239</v>
      </c>
      <c r="G871" t="s">
        <v>14</v>
      </c>
      <c r="H871" t="s">
        <v>37</v>
      </c>
      <c r="I871" t="s">
        <v>16</v>
      </c>
      <c r="J871" t="s">
        <v>334</v>
      </c>
      <c r="K871" t="s">
        <v>125</v>
      </c>
      <c r="L871">
        <v>7.36</v>
      </c>
      <c r="M871">
        <v>2</v>
      </c>
      <c r="N871" t="str">
        <f>IF(Walmart[[#This Row],[Quantity]]&gt;=7,"Bulk",IF(Walmart[[#This Row],[Quantity]]&gt;=2,"Multi","Single"))</f>
        <v>Multi</v>
      </c>
      <c r="O871">
        <v>0.15</v>
      </c>
      <c r="P871" t="str">
        <f>IF(Walmart[[#This Row],[Sales]]&gt;=1000,"High Value", IF(Walmart[[#This Row],[Sales]]&gt;=500,"Medium Value","Low Value"))</f>
        <v>Low Value</v>
      </c>
    </row>
    <row r="872" spans="1:16" hidden="1" x14ac:dyDescent="0.3">
      <c r="A872" t="s">
        <v>2240</v>
      </c>
      <c r="B872" s="1">
        <v>41556</v>
      </c>
      <c r="C872" s="1" t="str">
        <f>TEXT(Walmart[[#This Row],[Order Date]],"mmmm")</f>
        <v>October</v>
      </c>
      <c r="D872" s="1">
        <v>41556</v>
      </c>
      <c r="E872" s="1" t="str">
        <f>IF(DATEDIF(Walmart[[#This Row],[Order Date]],Walmart[[#This Row],[Ship Date]],"D")&lt;7,"On time","Delayed")</f>
        <v>On time</v>
      </c>
      <c r="F872" t="s">
        <v>246</v>
      </c>
      <c r="G872" t="s">
        <v>14</v>
      </c>
      <c r="H872" t="s">
        <v>15</v>
      </c>
      <c r="I872" t="s">
        <v>16</v>
      </c>
      <c r="J872" t="s">
        <v>93</v>
      </c>
      <c r="K872" t="s">
        <v>2241</v>
      </c>
      <c r="L872">
        <v>61.96</v>
      </c>
      <c r="M872">
        <v>2</v>
      </c>
      <c r="N872" t="str">
        <f>IF(Walmart[[#This Row],[Quantity]]&gt;=7,"Bulk",IF(Walmart[[#This Row],[Quantity]]&gt;=2,"Multi","Single"))</f>
        <v>Multi</v>
      </c>
      <c r="O872">
        <v>27.88</v>
      </c>
      <c r="P872" t="str">
        <f>IF(Walmart[[#This Row],[Sales]]&gt;=1000,"High Value", IF(Walmart[[#This Row],[Sales]]&gt;=500,"Medium Value","Low Value"))</f>
        <v>Low Value</v>
      </c>
    </row>
    <row r="873" spans="1:16" hidden="1" x14ac:dyDescent="0.3">
      <c r="A873" t="s">
        <v>2242</v>
      </c>
      <c r="B873" s="1">
        <v>41190</v>
      </c>
      <c r="C873" s="1" t="str">
        <f>TEXT(Walmart[[#This Row],[Order Date]],"mmmm")</f>
        <v>October</v>
      </c>
      <c r="D873" s="1">
        <v>41194</v>
      </c>
      <c r="E873" s="1" t="str">
        <f>IF(DATEDIF(Walmart[[#This Row],[Order Date]],Walmart[[#This Row],[Ship Date]],"D")&lt;7,"On time","Delayed")</f>
        <v>On time</v>
      </c>
      <c r="F873" t="s">
        <v>711</v>
      </c>
      <c r="G873" t="s">
        <v>14</v>
      </c>
      <c r="H873" t="s">
        <v>37</v>
      </c>
      <c r="I873" t="s">
        <v>16</v>
      </c>
      <c r="J873" t="s">
        <v>21</v>
      </c>
      <c r="K873" t="s">
        <v>668</v>
      </c>
      <c r="L873">
        <v>145.9</v>
      </c>
      <c r="M873">
        <v>5</v>
      </c>
      <c r="N873" t="str">
        <f>IF(Walmart[[#This Row],[Quantity]]&gt;=7,"Bulk",IF(Walmart[[#This Row],[Quantity]]&gt;=2,"Multi","Single"))</f>
        <v>Multi</v>
      </c>
      <c r="O873">
        <v>62.74</v>
      </c>
      <c r="P873" t="str">
        <f>IF(Walmart[[#This Row],[Sales]]&gt;=1000,"High Value", IF(Walmart[[#This Row],[Sales]]&gt;=500,"Medium Value","Low Value"))</f>
        <v>Low Value</v>
      </c>
    </row>
    <row r="874" spans="1:16" hidden="1" x14ac:dyDescent="0.3">
      <c r="A874" t="s">
        <v>2243</v>
      </c>
      <c r="B874" s="1">
        <v>40599</v>
      </c>
      <c r="C874" s="1" t="str">
        <f>TEXT(Walmart[[#This Row],[Order Date]],"mmmm")</f>
        <v>February</v>
      </c>
      <c r="D874" s="1">
        <v>40604</v>
      </c>
      <c r="E874" s="1" t="str">
        <f>IF(DATEDIF(Walmart[[#This Row],[Order Date]],Walmart[[#This Row],[Ship Date]],"D")&lt;7,"On time","Delayed")</f>
        <v>On time</v>
      </c>
      <c r="F874" t="s">
        <v>2244</v>
      </c>
      <c r="G874" t="s">
        <v>14</v>
      </c>
      <c r="H874" t="s">
        <v>920</v>
      </c>
      <c r="I874" t="s">
        <v>69</v>
      </c>
      <c r="J874" t="s">
        <v>93</v>
      </c>
      <c r="K874" t="s">
        <v>2245</v>
      </c>
      <c r="L874">
        <v>32.9</v>
      </c>
      <c r="M874">
        <v>4</v>
      </c>
      <c r="N874" t="str">
        <f>IF(Walmart[[#This Row],[Quantity]]&gt;=7,"Bulk",IF(Walmart[[#This Row],[Quantity]]&gt;=2,"Multi","Single"))</f>
        <v>Multi</v>
      </c>
      <c r="O874">
        <v>11.1</v>
      </c>
      <c r="P874" t="str">
        <f>IF(Walmart[[#This Row],[Sales]]&gt;=1000,"High Value", IF(Walmart[[#This Row],[Sales]]&gt;=500,"Medium Value","Low Value"))</f>
        <v>Low Value</v>
      </c>
    </row>
    <row r="875" spans="1:16" hidden="1" x14ac:dyDescent="0.3">
      <c r="A875" t="s">
        <v>2246</v>
      </c>
      <c r="B875" s="1">
        <v>41431</v>
      </c>
      <c r="C875" s="1" t="str">
        <f>TEXT(Walmart[[#This Row],[Order Date]],"mmmm")</f>
        <v>June</v>
      </c>
      <c r="D875" s="1">
        <v>41433</v>
      </c>
      <c r="E875" s="1" t="str">
        <f>IF(DATEDIF(Walmart[[#This Row],[Order Date]],Walmart[[#This Row],[Ship Date]],"D")&lt;7,"On time","Delayed")</f>
        <v>On time</v>
      </c>
      <c r="F875" t="s">
        <v>2247</v>
      </c>
      <c r="G875" t="s">
        <v>14</v>
      </c>
      <c r="H875" t="s">
        <v>153</v>
      </c>
      <c r="I875" t="s">
        <v>16</v>
      </c>
      <c r="J875" t="s">
        <v>27</v>
      </c>
      <c r="K875" t="s">
        <v>1256</v>
      </c>
      <c r="L875">
        <v>21.55</v>
      </c>
      <c r="M875">
        <v>6</v>
      </c>
      <c r="N875" t="str">
        <f>IF(Walmart[[#This Row],[Quantity]]&gt;=7,"Bulk",IF(Walmart[[#This Row],[Quantity]]&gt;=2,"Multi","Single"))</f>
        <v>Multi</v>
      </c>
      <c r="O875">
        <v>7</v>
      </c>
      <c r="P875" t="str">
        <f>IF(Walmart[[#This Row],[Sales]]&gt;=1000,"High Value", IF(Walmart[[#This Row],[Sales]]&gt;=500,"Medium Value","Low Value"))</f>
        <v>Low Value</v>
      </c>
    </row>
    <row r="876" spans="1:16" hidden="1" x14ac:dyDescent="0.3">
      <c r="A876" t="s">
        <v>2248</v>
      </c>
      <c r="B876" s="1">
        <v>41619</v>
      </c>
      <c r="C876" s="1" t="str">
        <f>TEXT(Walmart[[#This Row],[Order Date]],"mmmm")</f>
        <v>December</v>
      </c>
      <c r="D876" s="1">
        <v>41621</v>
      </c>
      <c r="E876" s="1" t="str">
        <f>IF(DATEDIF(Walmart[[#This Row],[Order Date]],Walmart[[#This Row],[Ship Date]],"D")&lt;7,"On time","Delayed")</f>
        <v>On time</v>
      </c>
      <c r="F876" t="s">
        <v>1493</v>
      </c>
      <c r="G876" t="s">
        <v>14</v>
      </c>
      <c r="H876" t="s">
        <v>190</v>
      </c>
      <c r="I876" t="s">
        <v>16</v>
      </c>
      <c r="J876" t="s">
        <v>93</v>
      </c>
      <c r="K876" t="s">
        <v>2249</v>
      </c>
      <c r="L876">
        <v>80.28</v>
      </c>
      <c r="M876">
        <v>12</v>
      </c>
      <c r="N876" t="str">
        <f>IF(Walmart[[#This Row],[Quantity]]&gt;=7,"Bulk",IF(Walmart[[#This Row],[Quantity]]&gt;=2,"Multi","Single"))</f>
        <v>Bulk</v>
      </c>
      <c r="O876">
        <v>36.93</v>
      </c>
      <c r="P876" t="str">
        <f>IF(Walmart[[#This Row],[Sales]]&gt;=1000,"High Value", IF(Walmart[[#This Row],[Sales]]&gt;=500,"Medium Value","Low Value"))</f>
        <v>Low Value</v>
      </c>
    </row>
    <row r="877" spans="1:16" x14ac:dyDescent="0.3">
      <c r="A877" t="s">
        <v>3227</v>
      </c>
      <c r="B877" s="1">
        <v>41871</v>
      </c>
      <c r="C877" s="1" t="str">
        <f>TEXT(Walmart[[#This Row],[Order Date]],"mmmm")</f>
        <v>August</v>
      </c>
      <c r="D877" s="1">
        <v>41875</v>
      </c>
      <c r="E877" s="1" t="str">
        <f>IF(DATEDIF(Walmart[[#This Row],[Order Date]],Walmart[[#This Row],[Ship Date]],"D")&lt;7,"On time","Delayed")</f>
        <v>On time</v>
      </c>
      <c r="F877" t="s">
        <v>1619</v>
      </c>
      <c r="G877" t="s">
        <v>14</v>
      </c>
      <c r="H877" t="s">
        <v>1051</v>
      </c>
      <c r="I877" t="s">
        <v>32</v>
      </c>
      <c r="J877" t="s">
        <v>27</v>
      </c>
      <c r="K877" t="s">
        <v>2623</v>
      </c>
      <c r="L877">
        <v>102.72</v>
      </c>
      <c r="M877">
        <v>3</v>
      </c>
      <c r="N877" t="str">
        <f>IF(Walmart[[#This Row],[Quantity]]&gt;=7,"Bulk",IF(Walmart[[#This Row],[Quantity]]&gt;=2,"Multi","Single"))</f>
        <v>Multi</v>
      </c>
      <c r="O877">
        <v>37.24</v>
      </c>
      <c r="P877" t="str">
        <f>IF(Walmart[[#This Row],[Sales]]&gt;=1000,"High Value", IF(Walmart[[#This Row],[Sales]]&gt;=500,"Medium Value","Low Value"))</f>
        <v>Low Value</v>
      </c>
    </row>
    <row r="878" spans="1:16" x14ac:dyDescent="0.3">
      <c r="A878" t="s">
        <v>1792</v>
      </c>
      <c r="B878" s="1">
        <v>41870</v>
      </c>
      <c r="C878" s="1" t="str">
        <f>TEXT(Walmart[[#This Row],[Order Date]],"mmmm")</f>
        <v>August</v>
      </c>
      <c r="D878" s="1">
        <v>41874</v>
      </c>
      <c r="E878" s="1" t="str">
        <f>IF(DATEDIF(Walmart[[#This Row],[Order Date]],Walmart[[#This Row],[Ship Date]],"D")&lt;7,"On time","Delayed")</f>
        <v>On time</v>
      </c>
      <c r="F878" t="s">
        <v>1793</v>
      </c>
      <c r="G878" t="s">
        <v>14</v>
      </c>
      <c r="H878" t="s">
        <v>25</v>
      </c>
      <c r="I878" t="s">
        <v>26</v>
      </c>
      <c r="J878" t="s">
        <v>33</v>
      </c>
      <c r="K878" t="s">
        <v>512</v>
      </c>
      <c r="L878">
        <v>323.10000000000002</v>
      </c>
      <c r="M878">
        <v>2</v>
      </c>
      <c r="N878" t="str">
        <f>IF(Walmart[[#This Row],[Quantity]]&gt;=7,"Bulk",IF(Walmart[[#This Row],[Quantity]]&gt;=2,"Multi","Single"))</f>
        <v>Multi</v>
      </c>
      <c r="O878">
        <v>61.39</v>
      </c>
      <c r="P878" t="str">
        <f>IF(Walmart[[#This Row],[Sales]]&gt;=1000,"High Value", IF(Walmart[[#This Row],[Sales]]&gt;=500,"Medium Value","Low Value"))</f>
        <v>Low Value</v>
      </c>
    </row>
    <row r="879" spans="1:16" hidden="1" x14ac:dyDescent="0.3">
      <c r="A879" t="s">
        <v>2256</v>
      </c>
      <c r="B879" s="1">
        <v>41628</v>
      </c>
      <c r="C879" s="1" t="str">
        <f>TEXT(Walmart[[#This Row],[Order Date]],"mmmm")</f>
        <v>December</v>
      </c>
      <c r="D879" s="1">
        <v>41634</v>
      </c>
      <c r="E879" s="1" t="str">
        <f>IF(DATEDIF(Walmart[[#This Row],[Order Date]],Walmart[[#This Row],[Ship Date]],"D")&lt;7,"On time","Delayed")</f>
        <v>On time</v>
      </c>
      <c r="F879" t="s">
        <v>302</v>
      </c>
      <c r="G879" t="s">
        <v>14</v>
      </c>
      <c r="H879" t="s">
        <v>215</v>
      </c>
      <c r="I879" t="s">
        <v>58</v>
      </c>
      <c r="J879" t="s">
        <v>43</v>
      </c>
      <c r="K879" t="s">
        <v>2257</v>
      </c>
      <c r="L879">
        <v>455.97</v>
      </c>
      <c r="M879">
        <v>6</v>
      </c>
      <c r="N879" t="str">
        <f>IF(Walmart[[#This Row],[Quantity]]&gt;=7,"Bulk",IF(Walmart[[#This Row],[Quantity]]&gt;=2,"Multi","Single"))</f>
        <v>Multi</v>
      </c>
      <c r="O879">
        <v>-218.87</v>
      </c>
      <c r="P879" t="str">
        <f>IF(Walmart[[#This Row],[Sales]]&gt;=1000,"High Value", IF(Walmart[[#This Row],[Sales]]&gt;=500,"Medium Value","Low Value"))</f>
        <v>Low Value</v>
      </c>
    </row>
    <row r="880" spans="1:16" x14ac:dyDescent="0.3">
      <c r="A880" t="s">
        <v>2278</v>
      </c>
      <c r="B880" s="1">
        <v>41870</v>
      </c>
      <c r="C880" s="1" t="str">
        <f>TEXT(Walmart[[#This Row],[Order Date]],"mmmm")</f>
        <v>August</v>
      </c>
      <c r="D880" s="1">
        <v>41874</v>
      </c>
      <c r="E880" s="1" t="str">
        <f>IF(DATEDIF(Walmart[[#This Row],[Order Date]],Walmart[[#This Row],[Ship Date]],"D")&lt;7,"On time","Delayed")</f>
        <v>On time</v>
      </c>
      <c r="F880" t="s">
        <v>425</v>
      </c>
      <c r="G880" t="s">
        <v>14</v>
      </c>
      <c r="H880" t="s">
        <v>25</v>
      </c>
      <c r="I880" t="s">
        <v>26</v>
      </c>
      <c r="J880" t="s">
        <v>53</v>
      </c>
      <c r="K880" t="s">
        <v>2279</v>
      </c>
      <c r="L880">
        <v>843.9</v>
      </c>
      <c r="M880">
        <v>2</v>
      </c>
      <c r="N880" t="str">
        <f>IF(Walmart[[#This Row],[Quantity]]&gt;=7,"Bulk",IF(Walmart[[#This Row],[Quantity]]&gt;=2,"Multi","Single"))</f>
        <v>Multi</v>
      </c>
      <c r="O880">
        <v>371.32</v>
      </c>
      <c r="P880" t="str">
        <f>IF(Walmart[[#This Row],[Sales]]&gt;=1000,"High Value", IF(Walmart[[#This Row],[Sales]]&gt;=500,"Medium Value","Low Value"))</f>
        <v>Medium Value</v>
      </c>
    </row>
    <row r="881" spans="1:16" hidden="1" x14ac:dyDescent="0.3">
      <c r="A881" t="s">
        <v>2261</v>
      </c>
      <c r="B881" s="1">
        <v>40875</v>
      </c>
      <c r="C881" s="1" t="str">
        <f>TEXT(Walmart[[#This Row],[Order Date]],"mmmm")</f>
        <v>November</v>
      </c>
      <c r="D881" s="1">
        <v>40878</v>
      </c>
      <c r="E881" s="1" t="str">
        <f>IF(DATEDIF(Walmart[[#This Row],[Order Date]],Walmart[[#This Row],[Ship Date]],"D")&lt;7,"On time","Delayed")</f>
        <v>On time</v>
      </c>
      <c r="F881" t="s">
        <v>2005</v>
      </c>
      <c r="G881" t="s">
        <v>14</v>
      </c>
      <c r="H881" t="s">
        <v>37</v>
      </c>
      <c r="I881" t="s">
        <v>16</v>
      </c>
      <c r="J881" t="s">
        <v>105</v>
      </c>
      <c r="K881" t="s">
        <v>2262</v>
      </c>
      <c r="L881">
        <v>43.68</v>
      </c>
      <c r="M881">
        <v>3</v>
      </c>
      <c r="N881" t="str">
        <f>IF(Walmart[[#This Row],[Quantity]]&gt;=7,"Bulk",IF(Walmart[[#This Row],[Quantity]]&gt;=2,"Multi","Single"))</f>
        <v>Multi</v>
      </c>
      <c r="O881">
        <v>11.79</v>
      </c>
      <c r="P881" t="str">
        <f>IF(Walmart[[#This Row],[Sales]]&gt;=1000,"High Value", IF(Walmart[[#This Row],[Sales]]&gt;=500,"Medium Value","Low Value"))</f>
        <v>Low Value</v>
      </c>
    </row>
    <row r="882" spans="1:16" hidden="1" x14ac:dyDescent="0.3">
      <c r="A882" t="s">
        <v>2263</v>
      </c>
      <c r="B882" s="1">
        <v>41249</v>
      </c>
      <c r="C882" s="1" t="str">
        <f>TEXT(Walmart[[#This Row],[Order Date]],"mmmm")</f>
        <v>December</v>
      </c>
      <c r="D882" s="1">
        <v>41253</v>
      </c>
      <c r="E882" s="1" t="str">
        <f>IF(DATEDIF(Walmart[[#This Row],[Order Date]],Walmart[[#This Row],[Ship Date]],"D")&lt;7,"On time","Delayed")</f>
        <v>On time</v>
      </c>
      <c r="F882" t="s">
        <v>1047</v>
      </c>
      <c r="G882" t="s">
        <v>14</v>
      </c>
      <c r="H882" t="s">
        <v>747</v>
      </c>
      <c r="I882" t="s">
        <v>227</v>
      </c>
      <c r="J882" t="s">
        <v>93</v>
      </c>
      <c r="K882" t="s">
        <v>2264</v>
      </c>
      <c r="L882">
        <v>6.48</v>
      </c>
      <c r="M882">
        <v>1</v>
      </c>
      <c r="N882" t="str">
        <f>IF(Walmart[[#This Row],[Quantity]]&gt;=7,"Bulk",IF(Walmart[[#This Row],[Quantity]]&gt;=2,"Multi","Single"))</f>
        <v>Single</v>
      </c>
      <c r="O882">
        <v>3.11</v>
      </c>
      <c r="P882" t="str">
        <f>IF(Walmart[[#This Row],[Sales]]&gt;=1000,"High Value", IF(Walmart[[#This Row],[Sales]]&gt;=500,"Medium Value","Low Value"))</f>
        <v>Low Value</v>
      </c>
    </row>
    <row r="883" spans="1:16" hidden="1" x14ac:dyDescent="0.3">
      <c r="A883" t="s">
        <v>2265</v>
      </c>
      <c r="B883" s="1">
        <v>41621</v>
      </c>
      <c r="C883" s="1" t="str">
        <f>TEXT(Walmart[[#This Row],[Order Date]],"mmmm")</f>
        <v>December</v>
      </c>
      <c r="D883" s="1">
        <v>41625</v>
      </c>
      <c r="E883" s="1" t="str">
        <f>IF(DATEDIF(Walmart[[#This Row],[Order Date]],Walmart[[#This Row],[Ship Date]],"D")&lt;7,"On time","Delayed")</f>
        <v>On time</v>
      </c>
      <c r="F883" t="s">
        <v>2266</v>
      </c>
      <c r="G883" t="s">
        <v>14</v>
      </c>
      <c r="H883" t="s">
        <v>100</v>
      </c>
      <c r="I883" t="s">
        <v>16</v>
      </c>
      <c r="J883" t="s">
        <v>21</v>
      </c>
      <c r="K883" t="s">
        <v>2267</v>
      </c>
      <c r="L883">
        <v>383.64</v>
      </c>
      <c r="M883">
        <v>6</v>
      </c>
      <c r="N883" t="str">
        <f>IF(Walmart[[#This Row],[Quantity]]&gt;=7,"Bulk",IF(Walmart[[#This Row],[Quantity]]&gt;=2,"Multi","Single"))</f>
        <v>Multi</v>
      </c>
      <c r="O883">
        <v>122.76</v>
      </c>
      <c r="P883" t="str">
        <f>IF(Walmart[[#This Row],[Sales]]&gt;=1000,"High Value", IF(Walmart[[#This Row],[Sales]]&gt;=500,"Medium Value","Low Value"))</f>
        <v>Low Value</v>
      </c>
    </row>
    <row r="884" spans="1:16" x14ac:dyDescent="0.3">
      <c r="A884" t="s">
        <v>2483</v>
      </c>
      <c r="B884" s="1">
        <v>41870</v>
      </c>
      <c r="C884" s="1" t="str">
        <f>TEXT(Walmart[[#This Row],[Order Date]],"mmmm")</f>
        <v>August</v>
      </c>
      <c r="D884" s="1">
        <v>41877</v>
      </c>
      <c r="E884" s="1" t="str">
        <f>IF(DATEDIF(Walmart[[#This Row],[Order Date]],Walmart[[#This Row],[Ship Date]],"D")&lt;7,"On time","Delayed")</f>
        <v>Delayed</v>
      </c>
      <c r="F884" t="s">
        <v>801</v>
      </c>
      <c r="G884" t="s">
        <v>14</v>
      </c>
      <c r="H884" t="s">
        <v>25</v>
      </c>
      <c r="I884" t="s">
        <v>26</v>
      </c>
      <c r="J884" t="s">
        <v>27</v>
      </c>
      <c r="K884" t="s">
        <v>2484</v>
      </c>
      <c r="L884">
        <v>2793.53</v>
      </c>
      <c r="M884">
        <v>9</v>
      </c>
      <c r="N884" t="str">
        <f>IF(Walmart[[#This Row],[Quantity]]&gt;=7,"Bulk",IF(Walmart[[#This Row],[Quantity]]&gt;=2,"Multi","Single"))</f>
        <v>Bulk</v>
      </c>
      <c r="O884">
        <v>942.82</v>
      </c>
      <c r="P884" t="str">
        <f>IF(Walmart[[#This Row],[Sales]]&gt;=1000,"High Value", IF(Walmart[[#This Row],[Sales]]&gt;=500,"Medium Value","Low Value"))</f>
        <v>High Value</v>
      </c>
    </row>
    <row r="885" spans="1:16" hidden="1" x14ac:dyDescent="0.3">
      <c r="A885" t="s">
        <v>2270</v>
      </c>
      <c r="B885" s="1">
        <v>40892</v>
      </c>
      <c r="C885" s="1" t="str">
        <f>TEXT(Walmart[[#This Row],[Order Date]],"mmmm")</f>
        <v>December</v>
      </c>
      <c r="D885" s="1">
        <v>40896</v>
      </c>
      <c r="E885" s="1" t="str">
        <f>IF(DATEDIF(Walmart[[#This Row],[Order Date]],Walmart[[#This Row],[Ship Date]],"D")&lt;7,"On time","Delayed")</f>
        <v>On time</v>
      </c>
      <c r="F885" t="s">
        <v>176</v>
      </c>
      <c r="G885" t="s">
        <v>14</v>
      </c>
      <c r="H885" t="s">
        <v>160</v>
      </c>
      <c r="I885" t="s">
        <v>16</v>
      </c>
      <c r="J885" t="s">
        <v>21</v>
      </c>
      <c r="K885" t="s">
        <v>2271</v>
      </c>
      <c r="L885">
        <v>6.16</v>
      </c>
      <c r="M885">
        <v>2</v>
      </c>
      <c r="N885" t="str">
        <f>IF(Walmart[[#This Row],[Quantity]]&gt;=7,"Bulk",IF(Walmart[[#This Row],[Quantity]]&gt;=2,"Multi","Single"))</f>
        <v>Multi</v>
      </c>
      <c r="O885">
        <v>1.97</v>
      </c>
      <c r="P885" t="str">
        <f>IF(Walmart[[#This Row],[Sales]]&gt;=1000,"High Value", IF(Walmart[[#This Row],[Sales]]&gt;=500,"Medium Value","Low Value"))</f>
        <v>Low Value</v>
      </c>
    </row>
    <row r="886" spans="1:16" hidden="1" x14ac:dyDescent="0.3">
      <c r="A886" t="s">
        <v>2272</v>
      </c>
      <c r="B886" s="1">
        <v>40987</v>
      </c>
      <c r="C886" s="1" t="str">
        <f>TEXT(Walmart[[#This Row],[Order Date]],"mmmm")</f>
        <v>March</v>
      </c>
      <c r="D886" s="1">
        <v>40988</v>
      </c>
      <c r="E886" s="1" t="str">
        <f>IF(DATEDIF(Walmart[[#This Row],[Order Date]],Walmart[[#This Row],[Ship Date]],"D")&lt;7,"On time","Delayed")</f>
        <v>On time</v>
      </c>
      <c r="F886" t="s">
        <v>1332</v>
      </c>
      <c r="G886" t="s">
        <v>14</v>
      </c>
      <c r="H886" t="s">
        <v>412</v>
      </c>
      <c r="I886" t="s">
        <v>16</v>
      </c>
      <c r="J886" t="s">
        <v>191</v>
      </c>
      <c r="K886" t="s">
        <v>1859</v>
      </c>
      <c r="L886">
        <v>10.9</v>
      </c>
      <c r="M886">
        <v>5</v>
      </c>
      <c r="N886" t="str">
        <f>IF(Walmart[[#This Row],[Quantity]]&gt;=7,"Bulk",IF(Walmart[[#This Row],[Quantity]]&gt;=2,"Multi","Single"))</f>
        <v>Multi</v>
      </c>
      <c r="O886">
        <v>3.6</v>
      </c>
      <c r="P886" t="str">
        <f>IF(Walmart[[#This Row],[Sales]]&gt;=1000,"High Value", IF(Walmart[[#This Row],[Sales]]&gt;=500,"Medium Value","Low Value"))</f>
        <v>Low Value</v>
      </c>
    </row>
    <row r="887" spans="1:16" hidden="1" x14ac:dyDescent="0.3">
      <c r="A887" t="s">
        <v>2273</v>
      </c>
      <c r="B887" s="1">
        <v>40743</v>
      </c>
      <c r="C887" s="1" t="str">
        <f>TEXT(Walmart[[#This Row],[Order Date]],"mmmm")</f>
        <v>July</v>
      </c>
      <c r="D887" s="1">
        <v>40748</v>
      </c>
      <c r="E887" s="1" t="str">
        <f>IF(DATEDIF(Walmart[[#This Row],[Order Date]],Walmart[[#This Row],[Ship Date]],"D")&lt;7,"On time","Delayed")</f>
        <v>On time</v>
      </c>
      <c r="F887" t="s">
        <v>1396</v>
      </c>
      <c r="G887" t="s">
        <v>14</v>
      </c>
      <c r="H887" t="s">
        <v>285</v>
      </c>
      <c r="I887" t="s">
        <v>286</v>
      </c>
      <c r="J887" t="s">
        <v>27</v>
      </c>
      <c r="K887" t="s">
        <v>479</v>
      </c>
      <c r="L887">
        <v>6.1</v>
      </c>
      <c r="M887">
        <v>2</v>
      </c>
      <c r="N887" t="str">
        <f>IF(Walmart[[#This Row],[Quantity]]&gt;=7,"Bulk",IF(Walmart[[#This Row],[Quantity]]&gt;=2,"Multi","Single"))</f>
        <v>Multi</v>
      </c>
      <c r="O887">
        <v>2.21</v>
      </c>
      <c r="P887" t="str">
        <f>IF(Walmart[[#This Row],[Sales]]&gt;=1000,"High Value", IF(Walmart[[#This Row],[Sales]]&gt;=500,"Medium Value","Low Value"))</f>
        <v>Low Value</v>
      </c>
    </row>
    <row r="888" spans="1:16" hidden="1" x14ac:dyDescent="0.3">
      <c r="A888" t="s">
        <v>2274</v>
      </c>
      <c r="B888" s="1">
        <v>41617</v>
      </c>
      <c r="C888" s="1" t="str">
        <f>TEXT(Walmart[[#This Row],[Order Date]],"mmmm")</f>
        <v>December</v>
      </c>
      <c r="D888" s="1">
        <v>41620</v>
      </c>
      <c r="E888" s="1" t="str">
        <f>IF(DATEDIF(Walmart[[#This Row],[Order Date]],Walmart[[#This Row],[Ship Date]],"D")&lt;7,"On time","Delayed")</f>
        <v>On time</v>
      </c>
      <c r="F888" t="s">
        <v>198</v>
      </c>
      <c r="G888" t="s">
        <v>14</v>
      </c>
      <c r="H888" t="s">
        <v>37</v>
      </c>
      <c r="I888" t="s">
        <v>16</v>
      </c>
      <c r="J888" t="s">
        <v>33</v>
      </c>
      <c r="K888" t="s">
        <v>1444</v>
      </c>
      <c r="L888">
        <v>34.049999999999997</v>
      </c>
      <c r="M888">
        <v>3</v>
      </c>
      <c r="N888" t="str">
        <f>IF(Walmart[[#This Row],[Quantity]]&gt;=7,"Bulk",IF(Walmart[[#This Row],[Quantity]]&gt;=2,"Multi","Single"))</f>
        <v>Multi</v>
      </c>
      <c r="O888">
        <v>9.5299999999999994</v>
      </c>
      <c r="P888" t="str">
        <f>IF(Walmart[[#This Row],[Sales]]&gt;=1000,"High Value", IF(Walmart[[#This Row],[Sales]]&gt;=500,"Medium Value","Low Value"))</f>
        <v>Low Value</v>
      </c>
    </row>
    <row r="889" spans="1:16" hidden="1" x14ac:dyDescent="0.3">
      <c r="A889" t="s">
        <v>2275</v>
      </c>
      <c r="B889" s="1">
        <v>41249</v>
      </c>
      <c r="C889" s="1" t="str">
        <f>TEXT(Walmart[[#This Row],[Order Date]],"mmmm")</f>
        <v>December</v>
      </c>
      <c r="D889" s="1">
        <v>41254</v>
      </c>
      <c r="E889" s="1" t="str">
        <f>IF(DATEDIF(Walmart[[#This Row],[Order Date]],Walmart[[#This Row],[Ship Date]],"D")&lt;7,"On time","Delayed")</f>
        <v>On time</v>
      </c>
      <c r="F889" t="s">
        <v>2276</v>
      </c>
      <c r="G889" t="s">
        <v>14</v>
      </c>
      <c r="H889" t="s">
        <v>37</v>
      </c>
      <c r="I889" t="s">
        <v>16</v>
      </c>
      <c r="J889" t="s">
        <v>105</v>
      </c>
      <c r="K889" t="s">
        <v>2277</v>
      </c>
      <c r="L889">
        <v>7.78</v>
      </c>
      <c r="M889">
        <v>2</v>
      </c>
      <c r="N889" t="str">
        <f>IF(Walmart[[#This Row],[Quantity]]&gt;=7,"Bulk",IF(Walmart[[#This Row],[Quantity]]&gt;=2,"Multi","Single"))</f>
        <v>Multi</v>
      </c>
      <c r="O889">
        <v>2.02</v>
      </c>
      <c r="P889" t="str">
        <f>IF(Walmart[[#This Row],[Sales]]&gt;=1000,"High Value", IF(Walmart[[#This Row],[Sales]]&gt;=500,"Medium Value","Low Value"))</f>
        <v>Low Value</v>
      </c>
    </row>
    <row r="890" spans="1:16" x14ac:dyDescent="0.3">
      <c r="A890" t="s">
        <v>2998</v>
      </c>
      <c r="B890" s="1">
        <v>41869</v>
      </c>
      <c r="C890" s="1" t="str">
        <f>TEXT(Walmart[[#This Row],[Order Date]],"mmmm")</f>
        <v>August</v>
      </c>
      <c r="D890" s="1">
        <v>41876</v>
      </c>
      <c r="E890" s="1" t="str">
        <f>IF(DATEDIF(Walmart[[#This Row],[Order Date]],Walmart[[#This Row],[Ship Date]],"D")&lt;7,"On time","Delayed")</f>
        <v>Delayed</v>
      </c>
      <c r="F890" t="s">
        <v>689</v>
      </c>
      <c r="G890" t="s">
        <v>14</v>
      </c>
      <c r="H890" t="s">
        <v>164</v>
      </c>
      <c r="I890" t="s">
        <v>16</v>
      </c>
      <c r="J890" t="s">
        <v>124</v>
      </c>
      <c r="K890" t="s">
        <v>125</v>
      </c>
      <c r="L890">
        <v>23.36</v>
      </c>
      <c r="M890">
        <v>2</v>
      </c>
      <c r="N890" t="str">
        <f>IF(Walmart[[#This Row],[Quantity]]&gt;=7,"Bulk",IF(Walmart[[#This Row],[Quantity]]&gt;=2,"Multi","Single"))</f>
        <v>Multi</v>
      </c>
      <c r="O890">
        <v>11.68</v>
      </c>
      <c r="P890" t="str">
        <f>IF(Walmart[[#This Row],[Sales]]&gt;=1000,"High Value", IF(Walmart[[#This Row],[Sales]]&gt;=500,"Medium Value","Low Value"))</f>
        <v>Low Value</v>
      </c>
    </row>
    <row r="891" spans="1:16" hidden="1" x14ac:dyDescent="0.3">
      <c r="A891" t="s">
        <v>2280</v>
      </c>
      <c r="B891" s="1">
        <v>41170</v>
      </c>
      <c r="C891" s="1" t="str">
        <f>TEXT(Walmart[[#This Row],[Order Date]],"mmmm")</f>
        <v>September</v>
      </c>
      <c r="D891" s="1">
        <v>41173</v>
      </c>
      <c r="E891" s="1" t="str">
        <f>IF(DATEDIF(Walmart[[#This Row],[Order Date]],Walmart[[#This Row],[Ship Date]],"D")&lt;7,"On time","Delayed")</f>
        <v>On time</v>
      </c>
      <c r="F891" t="s">
        <v>1543</v>
      </c>
      <c r="G891" t="s">
        <v>14</v>
      </c>
      <c r="H891" t="s">
        <v>160</v>
      </c>
      <c r="I891" t="s">
        <v>16</v>
      </c>
      <c r="J891" t="s">
        <v>33</v>
      </c>
      <c r="K891" t="s">
        <v>2136</v>
      </c>
      <c r="L891">
        <v>443.92</v>
      </c>
      <c r="M891">
        <v>4</v>
      </c>
      <c r="N891" t="str">
        <f>IF(Walmart[[#This Row],[Quantity]]&gt;=7,"Bulk",IF(Walmart[[#This Row],[Quantity]]&gt;=2,"Multi","Single"))</f>
        <v>Multi</v>
      </c>
      <c r="O891">
        <v>8.8800000000000008</v>
      </c>
      <c r="P891" t="str">
        <f>IF(Walmart[[#This Row],[Sales]]&gt;=1000,"High Value", IF(Walmart[[#This Row],[Sales]]&gt;=500,"Medium Value","Low Value"))</f>
        <v>Low Value</v>
      </c>
    </row>
    <row r="892" spans="1:16" hidden="1" x14ac:dyDescent="0.3">
      <c r="A892" t="s">
        <v>2281</v>
      </c>
      <c r="B892" s="1">
        <v>41572</v>
      </c>
      <c r="C892" s="1" t="str">
        <f>TEXT(Walmart[[#This Row],[Order Date]],"mmmm")</f>
        <v>October</v>
      </c>
      <c r="D892" s="1">
        <v>41576</v>
      </c>
      <c r="E892" s="1" t="str">
        <f>IF(DATEDIF(Walmart[[#This Row],[Order Date]],Walmart[[#This Row],[Ship Date]],"D")&lt;7,"On time","Delayed")</f>
        <v>On time</v>
      </c>
      <c r="F892" t="s">
        <v>752</v>
      </c>
      <c r="G892" t="s">
        <v>14</v>
      </c>
      <c r="H892" t="s">
        <v>15</v>
      </c>
      <c r="I892" t="s">
        <v>16</v>
      </c>
      <c r="J892" t="s">
        <v>53</v>
      </c>
      <c r="K892" t="s">
        <v>2282</v>
      </c>
      <c r="L892">
        <v>100</v>
      </c>
      <c r="M892">
        <v>4</v>
      </c>
      <c r="N892" t="str">
        <f>IF(Walmart[[#This Row],[Quantity]]&gt;=7,"Bulk",IF(Walmart[[#This Row],[Quantity]]&gt;=2,"Multi","Single"))</f>
        <v>Multi</v>
      </c>
      <c r="O892">
        <v>21</v>
      </c>
      <c r="P892" t="str">
        <f>IF(Walmart[[#This Row],[Sales]]&gt;=1000,"High Value", IF(Walmart[[#This Row],[Sales]]&gt;=500,"Medium Value","Low Value"))</f>
        <v>Low Value</v>
      </c>
    </row>
    <row r="893" spans="1:16" hidden="1" x14ac:dyDescent="0.3">
      <c r="A893" t="s">
        <v>2283</v>
      </c>
      <c r="B893" s="1">
        <v>40815</v>
      </c>
      <c r="C893" s="1" t="str">
        <f>TEXT(Walmart[[#This Row],[Order Date]],"mmmm")</f>
        <v>September</v>
      </c>
      <c r="D893" s="1">
        <v>40817</v>
      </c>
      <c r="E893" s="1" t="str">
        <f>IF(DATEDIF(Walmart[[#This Row],[Order Date]],Walmart[[#This Row],[Ship Date]],"D")&lt;7,"On time","Delayed")</f>
        <v>On time</v>
      </c>
      <c r="F893" t="s">
        <v>2284</v>
      </c>
      <c r="G893" t="s">
        <v>14</v>
      </c>
      <c r="H893" t="s">
        <v>25</v>
      </c>
      <c r="I893" t="s">
        <v>26</v>
      </c>
      <c r="J893" t="s">
        <v>21</v>
      </c>
      <c r="K893" t="s">
        <v>2228</v>
      </c>
      <c r="L893">
        <v>6.16</v>
      </c>
      <c r="M893">
        <v>2</v>
      </c>
      <c r="N893" t="str">
        <f>IF(Walmart[[#This Row],[Quantity]]&gt;=7,"Bulk",IF(Walmart[[#This Row],[Quantity]]&gt;=2,"Multi","Single"))</f>
        <v>Multi</v>
      </c>
      <c r="O893">
        <v>2.96</v>
      </c>
      <c r="P893" t="str">
        <f>IF(Walmart[[#This Row],[Sales]]&gt;=1000,"High Value", IF(Walmart[[#This Row],[Sales]]&gt;=500,"Medium Value","Low Value"))</f>
        <v>Low Value</v>
      </c>
    </row>
    <row r="894" spans="1:16" x14ac:dyDescent="0.3">
      <c r="A894" t="s">
        <v>1147</v>
      </c>
      <c r="B894" s="1">
        <v>41866</v>
      </c>
      <c r="C894" s="1" t="str">
        <f>TEXT(Walmart[[#This Row],[Order Date]],"mmmm")</f>
        <v>August</v>
      </c>
      <c r="D894" s="1">
        <v>41868</v>
      </c>
      <c r="E894" s="1" t="str">
        <f>IF(DATEDIF(Walmart[[#This Row],[Order Date]],Walmart[[#This Row],[Ship Date]],"D")&lt;7,"On time","Delayed")</f>
        <v>On time</v>
      </c>
      <c r="F894" t="s">
        <v>612</v>
      </c>
      <c r="G894" t="s">
        <v>14</v>
      </c>
      <c r="H894" t="s">
        <v>37</v>
      </c>
      <c r="I894" t="s">
        <v>16</v>
      </c>
      <c r="J894" t="s">
        <v>17</v>
      </c>
      <c r="K894" t="s">
        <v>1148</v>
      </c>
      <c r="L894">
        <v>5.76</v>
      </c>
      <c r="M894">
        <v>2</v>
      </c>
      <c r="N894" t="str">
        <f>IF(Walmart[[#This Row],[Quantity]]&gt;=7,"Bulk",IF(Walmart[[#This Row],[Quantity]]&gt;=2,"Multi","Single"))</f>
        <v>Multi</v>
      </c>
      <c r="O894">
        <v>2.82</v>
      </c>
      <c r="P894" t="str">
        <f>IF(Walmart[[#This Row],[Sales]]&gt;=1000,"High Value", IF(Walmart[[#This Row],[Sales]]&gt;=500,"Medium Value","Low Value"))</f>
        <v>Low Value</v>
      </c>
    </row>
    <row r="895" spans="1:16" hidden="1" x14ac:dyDescent="0.3">
      <c r="A895" t="s">
        <v>2287</v>
      </c>
      <c r="B895" s="1">
        <v>40898</v>
      </c>
      <c r="C895" s="1" t="str">
        <f>TEXT(Walmart[[#This Row],[Order Date]],"mmmm")</f>
        <v>December</v>
      </c>
      <c r="D895" s="1">
        <v>40904</v>
      </c>
      <c r="E895" s="1" t="str">
        <f>IF(DATEDIF(Walmart[[#This Row],[Order Date]],Walmart[[#This Row],[Ship Date]],"D")&lt;7,"On time","Delayed")</f>
        <v>On time</v>
      </c>
      <c r="F895" t="s">
        <v>428</v>
      </c>
      <c r="G895" t="s">
        <v>14</v>
      </c>
      <c r="H895" t="s">
        <v>160</v>
      </c>
      <c r="I895" t="s">
        <v>16</v>
      </c>
      <c r="J895" t="s">
        <v>88</v>
      </c>
      <c r="K895" t="s">
        <v>1261</v>
      </c>
      <c r="L895">
        <v>1325.76</v>
      </c>
      <c r="M895">
        <v>6</v>
      </c>
      <c r="N895" t="str">
        <f>IF(Walmart[[#This Row],[Quantity]]&gt;=7,"Bulk",IF(Walmart[[#This Row],[Quantity]]&gt;=2,"Multi","Single"))</f>
        <v>Multi</v>
      </c>
      <c r="O895">
        <v>149.15</v>
      </c>
      <c r="P895" t="str">
        <f>IF(Walmart[[#This Row],[Sales]]&gt;=1000,"High Value", IF(Walmart[[#This Row],[Sales]]&gt;=500,"Medium Value","Low Value"))</f>
        <v>High Value</v>
      </c>
    </row>
    <row r="896" spans="1:16" x14ac:dyDescent="0.3">
      <c r="A896" t="s">
        <v>1860</v>
      </c>
      <c r="B896" s="1">
        <v>41866</v>
      </c>
      <c r="C896" s="1" t="str">
        <f>TEXT(Walmart[[#This Row],[Order Date]],"mmmm")</f>
        <v>August</v>
      </c>
      <c r="D896" s="1">
        <v>41873</v>
      </c>
      <c r="E896" s="1" t="str">
        <f>IF(DATEDIF(Walmart[[#This Row],[Order Date]],Walmart[[#This Row],[Ship Date]],"D")&lt;7,"On time","Delayed")</f>
        <v>Delayed</v>
      </c>
      <c r="F896" t="s">
        <v>1861</v>
      </c>
      <c r="G896" t="s">
        <v>14</v>
      </c>
      <c r="H896" t="s">
        <v>15</v>
      </c>
      <c r="I896" t="s">
        <v>16</v>
      </c>
      <c r="J896" t="s">
        <v>43</v>
      </c>
      <c r="K896" t="s">
        <v>1862</v>
      </c>
      <c r="L896">
        <v>418.3</v>
      </c>
      <c r="M896">
        <v>3</v>
      </c>
      <c r="N896" t="str">
        <f>IF(Walmart[[#This Row],[Quantity]]&gt;=7,"Bulk",IF(Walmart[[#This Row],[Quantity]]&gt;=2,"Multi","Single"))</f>
        <v>Multi</v>
      </c>
      <c r="O896">
        <v>5.23</v>
      </c>
      <c r="P896" t="str">
        <f>IF(Walmart[[#This Row],[Sales]]&gt;=1000,"High Value", IF(Walmart[[#This Row],[Sales]]&gt;=500,"Medium Value","Low Value"))</f>
        <v>Low Value</v>
      </c>
    </row>
    <row r="897" spans="1:16" x14ac:dyDescent="0.3">
      <c r="A897" t="s">
        <v>1355</v>
      </c>
      <c r="B897" s="1">
        <v>41865</v>
      </c>
      <c r="C897" s="1" t="str">
        <f>TEXT(Walmart[[#This Row],[Order Date]],"mmmm")</f>
        <v>August</v>
      </c>
      <c r="D897" s="1">
        <v>41865</v>
      </c>
      <c r="E897" s="1" t="str">
        <f>IF(DATEDIF(Walmart[[#This Row],[Order Date]],Walmart[[#This Row],[Ship Date]],"D")&lt;7,"On time","Delayed")</f>
        <v>On time</v>
      </c>
      <c r="F897" t="s">
        <v>378</v>
      </c>
      <c r="G897" t="s">
        <v>14</v>
      </c>
      <c r="H897" t="s">
        <v>37</v>
      </c>
      <c r="I897" t="s">
        <v>16</v>
      </c>
      <c r="J897" t="s">
        <v>33</v>
      </c>
      <c r="K897" t="s">
        <v>300</v>
      </c>
      <c r="L897">
        <v>31.44</v>
      </c>
      <c r="M897">
        <v>3</v>
      </c>
      <c r="N897" t="str">
        <f>IF(Walmart[[#This Row],[Quantity]]&gt;=7,"Bulk",IF(Walmart[[#This Row],[Quantity]]&gt;=2,"Multi","Single"))</f>
        <v>Multi</v>
      </c>
      <c r="O897">
        <v>8.49</v>
      </c>
      <c r="P897" t="str">
        <f>IF(Walmart[[#This Row],[Sales]]&gt;=1000,"High Value", IF(Walmart[[#This Row],[Sales]]&gt;=500,"Medium Value","Low Value"))</f>
        <v>Low Value</v>
      </c>
    </row>
    <row r="898" spans="1:16" x14ac:dyDescent="0.3">
      <c r="A898" t="s">
        <v>2839</v>
      </c>
      <c r="B898" s="1">
        <v>41865</v>
      </c>
      <c r="C898" s="1" t="str">
        <f>TEXT(Walmart[[#This Row],[Order Date]],"mmmm")</f>
        <v>August</v>
      </c>
      <c r="D898" s="1">
        <v>41872</v>
      </c>
      <c r="E898" s="1" t="str">
        <f>IF(DATEDIF(Walmart[[#This Row],[Order Date]],Walmart[[#This Row],[Ship Date]],"D")&lt;7,"On time","Delayed")</f>
        <v>Delayed</v>
      </c>
      <c r="F898" t="s">
        <v>1707</v>
      </c>
      <c r="G898" t="s">
        <v>14</v>
      </c>
      <c r="H898" t="s">
        <v>160</v>
      </c>
      <c r="I898" t="s">
        <v>16</v>
      </c>
      <c r="J898" t="s">
        <v>27</v>
      </c>
      <c r="K898" t="s">
        <v>2840</v>
      </c>
      <c r="L898">
        <v>36.020000000000003</v>
      </c>
      <c r="M898">
        <v>3</v>
      </c>
      <c r="N898" t="str">
        <f>IF(Walmart[[#This Row],[Quantity]]&gt;=7,"Bulk",IF(Walmart[[#This Row],[Quantity]]&gt;=2,"Multi","Single"))</f>
        <v>Multi</v>
      </c>
      <c r="O898">
        <v>11.71</v>
      </c>
      <c r="P898" t="str">
        <f>IF(Walmart[[#This Row],[Sales]]&gt;=1000,"High Value", IF(Walmart[[#This Row],[Sales]]&gt;=500,"Medium Value","Low Value"))</f>
        <v>Low Value</v>
      </c>
    </row>
    <row r="899" spans="1:16" hidden="1" x14ac:dyDescent="0.3">
      <c r="A899" t="s">
        <v>2293</v>
      </c>
      <c r="B899" s="1">
        <v>40851</v>
      </c>
      <c r="C899" s="1" t="str">
        <f>TEXT(Walmart[[#This Row],[Order Date]],"mmmm")</f>
        <v>November</v>
      </c>
      <c r="D899" s="1">
        <v>40858</v>
      </c>
      <c r="E899" s="1" t="str">
        <f>IF(DATEDIF(Walmart[[#This Row],[Order Date]],Walmart[[#This Row],[Ship Date]],"D")&lt;7,"On time","Delayed")</f>
        <v>Delayed</v>
      </c>
      <c r="F899" t="s">
        <v>1801</v>
      </c>
      <c r="G899" t="s">
        <v>14</v>
      </c>
      <c r="H899" t="s">
        <v>190</v>
      </c>
      <c r="I899" t="s">
        <v>16</v>
      </c>
      <c r="J899" t="s">
        <v>38</v>
      </c>
      <c r="K899" t="s">
        <v>97</v>
      </c>
      <c r="L899">
        <v>2.94</v>
      </c>
      <c r="M899">
        <v>1</v>
      </c>
      <c r="N899" t="str">
        <f>IF(Walmart[[#This Row],[Quantity]]&gt;=7,"Bulk",IF(Walmart[[#This Row],[Quantity]]&gt;=2,"Multi","Single"))</f>
        <v>Single</v>
      </c>
      <c r="O899">
        <v>0.79</v>
      </c>
      <c r="P899" t="str">
        <f>IF(Walmart[[#This Row],[Sales]]&gt;=1000,"High Value", IF(Walmart[[#This Row],[Sales]]&gt;=500,"Medium Value","Low Value"))</f>
        <v>Low Value</v>
      </c>
    </row>
    <row r="900" spans="1:16" hidden="1" x14ac:dyDescent="0.3">
      <c r="A900" t="s">
        <v>2294</v>
      </c>
      <c r="B900" s="1">
        <v>41627</v>
      </c>
      <c r="C900" s="1" t="str">
        <f>TEXT(Walmart[[#This Row],[Order Date]],"mmmm")</f>
        <v>December</v>
      </c>
      <c r="D900" s="1">
        <v>41630</v>
      </c>
      <c r="E900" s="1" t="str">
        <f>IF(DATEDIF(Walmart[[#This Row],[Order Date]],Walmart[[#This Row],[Ship Date]],"D")&lt;7,"On time","Delayed")</f>
        <v>On time</v>
      </c>
      <c r="F900" t="s">
        <v>1022</v>
      </c>
      <c r="G900" t="s">
        <v>14</v>
      </c>
      <c r="H900" t="s">
        <v>341</v>
      </c>
      <c r="I900" t="s">
        <v>69</v>
      </c>
      <c r="J900" t="s">
        <v>27</v>
      </c>
      <c r="K900" t="s">
        <v>279</v>
      </c>
      <c r="L900">
        <v>45.24</v>
      </c>
      <c r="M900">
        <v>4</v>
      </c>
      <c r="N900" t="str">
        <f>IF(Walmart[[#This Row],[Quantity]]&gt;=7,"Bulk",IF(Walmart[[#This Row],[Quantity]]&gt;=2,"Multi","Single"))</f>
        <v>Multi</v>
      </c>
      <c r="O900">
        <v>-30.16</v>
      </c>
      <c r="P900" t="str">
        <f>IF(Walmart[[#This Row],[Sales]]&gt;=1000,"High Value", IF(Walmart[[#This Row],[Sales]]&gt;=500,"Medium Value","Low Value"))</f>
        <v>Low Value</v>
      </c>
    </row>
    <row r="901" spans="1:16" hidden="1" x14ac:dyDescent="0.3">
      <c r="A901" t="s">
        <v>2295</v>
      </c>
      <c r="B901" s="1">
        <v>41542</v>
      </c>
      <c r="C901" s="1" t="str">
        <f>TEXT(Walmart[[#This Row],[Order Date]],"mmmm")</f>
        <v>September</v>
      </c>
      <c r="D901" s="1">
        <v>41549</v>
      </c>
      <c r="E901" s="1" t="str">
        <f>IF(DATEDIF(Walmart[[#This Row],[Order Date]],Walmart[[#This Row],[Ship Date]],"D")&lt;7,"On time","Delayed")</f>
        <v>Delayed</v>
      </c>
      <c r="F901" t="s">
        <v>2040</v>
      </c>
      <c r="G901" t="s">
        <v>14</v>
      </c>
      <c r="H901" t="s">
        <v>76</v>
      </c>
      <c r="I901" t="s">
        <v>77</v>
      </c>
      <c r="J901" t="s">
        <v>21</v>
      </c>
      <c r="K901" t="s">
        <v>2296</v>
      </c>
      <c r="L901">
        <v>21.44</v>
      </c>
      <c r="M901">
        <v>2</v>
      </c>
      <c r="N901" t="str">
        <f>IF(Walmart[[#This Row],[Quantity]]&gt;=7,"Bulk",IF(Walmart[[#This Row],[Quantity]]&gt;=2,"Multi","Single"))</f>
        <v>Multi</v>
      </c>
      <c r="O901">
        <v>7.5</v>
      </c>
      <c r="P901" t="str">
        <f>IF(Walmart[[#This Row],[Sales]]&gt;=1000,"High Value", IF(Walmart[[#This Row],[Sales]]&gt;=500,"Medium Value","Low Value"))</f>
        <v>Low Value</v>
      </c>
    </row>
    <row r="902" spans="1:16" hidden="1" x14ac:dyDescent="0.3">
      <c r="A902" t="s">
        <v>2297</v>
      </c>
      <c r="B902" s="1">
        <v>41437</v>
      </c>
      <c r="C902" s="1" t="str">
        <f>TEXT(Walmart[[#This Row],[Order Date]],"mmmm")</f>
        <v>June</v>
      </c>
      <c r="D902" s="1">
        <v>41441</v>
      </c>
      <c r="E902" s="1" t="str">
        <f>IF(DATEDIF(Walmart[[#This Row],[Order Date]],Walmart[[#This Row],[Ship Date]],"D")&lt;7,"On time","Delayed")</f>
        <v>On time</v>
      </c>
      <c r="F902" t="s">
        <v>1290</v>
      </c>
      <c r="G902" t="s">
        <v>14</v>
      </c>
      <c r="H902" t="s">
        <v>25</v>
      </c>
      <c r="I902" t="s">
        <v>26</v>
      </c>
      <c r="J902" t="s">
        <v>17</v>
      </c>
      <c r="K902" t="s">
        <v>2298</v>
      </c>
      <c r="L902">
        <v>14.62</v>
      </c>
      <c r="M902">
        <v>2</v>
      </c>
      <c r="N902" t="str">
        <f>IF(Walmart[[#This Row],[Quantity]]&gt;=7,"Bulk",IF(Walmart[[#This Row],[Quantity]]&gt;=2,"Multi","Single"))</f>
        <v>Multi</v>
      </c>
      <c r="O902">
        <v>6.87</v>
      </c>
      <c r="P902" t="str">
        <f>IF(Walmart[[#This Row],[Sales]]&gt;=1000,"High Value", IF(Walmart[[#This Row],[Sales]]&gt;=500,"Medium Value","Low Value"))</f>
        <v>Low Value</v>
      </c>
    </row>
    <row r="903" spans="1:16" hidden="1" x14ac:dyDescent="0.3">
      <c r="A903" t="s">
        <v>2299</v>
      </c>
      <c r="B903" s="1">
        <v>41069</v>
      </c>
      <c r="C903" s="1" t="str">
        <f>TEXT(Walmart[[#This Row],[Order Date]],"mmmm")</f>
        <v>June</v>
      </c>
      <c r="D903" s="1">
        <v>41071</v>
      </c>
      <c r="E903" s="1" t="str">
        <f>IF(DATEDIF(Walmart[[#This Row],[Order Date]],Walmart[[#This Row],[Ship Date]],"D")&lt;7,"On time","Delayed")</f>
        <v>On time</v>
      </c>
      <c r="F903" t="s">
        <v>331</v>
      </c>
      <c r="G903" t="s">
        <v>14</v>
      </c>
      <c r="H903" t="s">
        <v>2300</v>
      </c>
      <c r="I903" t="s">
        <v>1438</v>
      </c>
      <c r="J903" t="s">
        <v>21</v>
      </c>
      <c r="K903" t="s">
        <v>2301</v>
      </c>
      <c r="L903">
        <v>355.36</v>
      </c>
      <c r="M903">
        <v>4</v>
      </c>
      <c r="N903" t="str">
        <f>IF(Walmart[[#This Row],[Quantity]]&gt;=7,"Bulk",IF(Walmart[[#This Row],[Quantity]]&gt;=2,"Multi","Single"))</f>
        <v>Multi</v>
      </c>
      <c r="O903">
        <v>92.39</v>
      </c>
      <c r="P903" t="str">
        <f>IF(Walmart[[#This Row],[Sales]]&gt;=1000,"High Value", IF(Walmart[[#This Row],[Sales]]&gt;=500,"Medium Value","Low Value"))</f>
        <v>Low Value</v>
      </c>
    </row>
    <row r="904" spans="1:16" hidden="1" x14ac:dyDescent="0.3">
      <c r="A904" t="s">
        <v>2302</v>
      </c>
      <c r="B904" s="1">
        <v>41296</v>
      </c>
      <c r="C904" s="1" t="str">
        <f>TEXT(Walmart[[#This Row],[Order Date]],"mmmm")</f>
        <v>January</v>
      </c>
      <c r="D904" s="1">
        <v>41301</v>
      </c>
      <c r="E904" s="1" t="str">
        <f>IF(DATEDIF(Walmart[[#This Row],[Order Date]],Walmart[[#This Row],[Ship Date]],"D")&lt;7,"On time","Delayed")</f>
        <v>On time</v>
      </c>
      <c r="F904" t="s">
        <v>976</v>
      </c>
      <c r="G904" t="s">
        <v>14</v>
      </c>
      <c r="H904" t="s">
        <v>25</v>
      </c>
      <c r="I904" t="s">
        <v>26</v>
      </c>
      <c r="J904" t="s">
        <v>93</v>
      </c>
      <c r="K904" t="s">
        <v>927</v>
      </c>
      <c r="L904">
        <v>12.96</v>
      </c>
      <c r="M904">
        <v>2</v>
      </c>
      <c r="N904" t="str">
        <f>IF(Walmart[[#This Row],[Quantity]]&gt;=7,"Bulk",IF(Walmart[[#This Row],[Quantity]]&gt;=2,"Multi","Single"))</f>
        <v>Multi</v>
      </c>
      <c r="O904">
        <v>6.22</v>
      </c>
      <c r="P904" t="str">
        <f>IF(Walmart[[#This Row],[Sales]]&gt;=1000,"High Value", IF(Walmart[[#This Row],[Sales]]&gt;=500,"Medium Value","Low Value"))</f>
        <v>Low Value</v>
      </c>
    </row>
    <row r="905" spans="1:16" hidden="1" x14ac:dyDescent="0.3">
      <c r="A905" t="s">
        <v>2303</v>
      </c>
      <c r="B905" s="1">
        <v>40691</v>
      </c>
      <c r="C905" s="1" t="str">
        <f>TEXT(Walmart[[#This Row],[Order Date]],"mmmm")</f>
        <v>May</v>
      </c>
      <c r="D905" s="1">
        <v>40696</v>
      </c>
      <c r="E905" s="1" t="str">
        <f>IF(DATEDIF(Walmart[[#This Row],[Order Date]],Walmart[[#This Row],[Ship Date]],"D")&lt;7,"On time","Delayed")</f>
        <v>On time</v>
      </c>
      <c r="F905" t="s">
        <v>2304</v>
      </c>
      <c r="G905" t="s">
        <v>14</v>
      </c>
      <c r="H905" t="s">
        <v>25</v>
      </c>
      <c r="I905" t="s">
        <v>26</v>
      </c>
      <c r="J905" t="s">
        <v>146</v>
      </c>
      <c r="K905" t="s">
        <v>2305</v>
      </c>
      <c r="L905">
        <v>57.41</v>
      </c>
      <c r="M905">
        <v>6</v>
      </c>
      <c r="N905" t="str">
        <f>IF(Walmart[[#This Row],[Quantity]]&gt;=7,"Bulk",IF(Walmart[[#This Row],[Quantity]]&gt;=2,"Multi","Single"))</f>
        <v>Multi</v>
      </c>
      <c r="O905">
        <v>5.74</v>
      </c>
      <c r="P905" t="str">
        <f>IF(Walmart[[#This Row],[Sales]]&gt;=1000,"High Value", IF(Walmart[[#This Row],[Sales]]&gt;=500,"Medium Value","Low Value"))</f>
        <v>Low Value</v>
      </c>
    </row>
    <row r="906" spans="1:16" hidden="1" x14ac:dyDescent="0.3">
      <c r="A906" t="s">
        <v>2306</v>
      </c>
      <c r="B906" s="1">
        <v>41218</v>
      </c>
      <c r="C906" s="1" t="str">
        <f>TEXT(Walmart[[#This Row],[Order Date]],"mmmm")</f>
        <v>November</v>
      </c>
      <c r="D906" s="1">
        <v>41218</v>
      </c>
      <c r="E906" s="1" t="str">
        <f>IF(DATEDIF(Walmart[[#This Row],[Order Date]],Walmart[[#This Row],[Ship Date]],"D")&lt;7,"On time","Delayed")</f>
        <v>On time</v>
      </c>
      <c r="F906" t="s">
        <v>204</v>
      </c>
      <c r="G906" t="s">
        <v>14</v>
      </c>
      <c r="H906" t="s">
        <v>25</v>
      </c>
      <c r="I906" t="s">
        <v>26</v>
      </c>
      <c r="J906" t="s">
        <v>27</v>
      </c>
      <c r="K906" t="s">
        <v>2307</v>
      </c>
      <c r="L906">
        <v>98.35</v>
      </c>
      <c r="M906">
        <v>3</v>
      </c>
      <c r="N906" t="str">
        <f>IF(Walmart[[#This Row],[Quantity]]&gt;=7,"Bulk",IF(Walmart[[#This Row],[Quantity]]&gt;=2,"Multi","Single"))</f>
        <v>Multi</v>
      </c>
      <c r="O906">
        <v>35.65</v>
      </c>
      <c r="P906" t="str">
        <f>IF(Walmart[[#This Row],[Sales]]&gt;=1000,"High Value", IF(Walmart[[#This Row],[Sales]]&gt;=500,"Medium Value","Low Value"))</f>
        <v>Low Value</v>
      </c>
    </row>
    <row r="907" spans="1:16" hidden="1" x14ac:dyDescent="0.3">
      <c r="A907" t="s">
        <v>2308</v>
      </c>
      <c r="B907" s="1">
        <v>41400</v>
      </c>
      <c r="C907" s="1" t="str">
        <f>TEXT(Walmart[[#This Row],[Order Date]],"mmmm")</f>
        <v>May</v>
      </c>
      <c r="D907" s="1">
        <v>41402</v>
      </c>
      <c r="E907" s="1" t="str">
        <f>IF(DATEDIF(Walmart[[#This Row],[Order Date]],Walmart[[#This Row],[Ship Date]],"D")&lt;7,"On time","Delayed")</f>
        <v>On time</v>
      </c>
      <c r="F907" t="s">
        <v>2309</v>
      </c>
      <c r="G907" t="s">
        <v>14</v>
      </c>
      <c r="H907" t="s">
        <v>37</v>
      </c>
      <c r="I907" t="s">
        <v>16</v>
      </c>
      <c r="J907" t="s">
        <v>43</v>
      </c>
      <c r="K907" t="s">
        <v>2310</v>
      </c>
      <c r="L907">
        <v>71.09</v>
      </c>
      <c r="M907">
        <v>2</v>
      </c>
      <c r="N907" t="str">
        <f>IF(Walmart[[#This Row],[Quantity]]&gt;=7,"Bulk",IF(Walmart[[#This Row],[Quantity]]&gt;=2,"Multi","Single"))</f>
        <v>Multi</v>
      </c>
      <c r="O907">
        <v>-1.78</v>
      </c>
      <c r="P907" t="str">
        <f>IF(Walmart[[#This Row],[Sales]]&gt;=1000,"High Value", IF(Walmart[[#This Row],[Sales]]&gt;=500,"Medium Value","Low Value"))</f>
        <v>Low Value</v>
      </c>
    </row>
    <row r="908" spans="1:16" x14ac:dyDescent="0.3">
      <c r="A908" t="s">
        <v>2328</v>
      </c>
      <c r="B908" s="1">
        <v>41864</v>
      </c>
      <c r="C908" s="1" t="str">
        <f>TEXT(Walmart[[#This Row],[Order Date]],"mmmm")</f>
        <v>August</v>
      </c>
      <c r="D908" s="1">
        <v>41867</v>
      </c>
      <c r="E908" s="1" t="str">
        <f>IF(DATEDIF(Walmart[[#This Row],[Order Date]],Walmart[[#This Row],[Ship Date]],"D")&lt;7,"On time","Delayed")</f>
        <v>On time</v>
      </c>
      <c r="F908" t="s">
        <v>1086</v>
      </c>
      <c r="G908" t="s">
        <v>14</v>
      </c>
      <c r="H908" t="s">
        <v>2329</v>
      </c>
      <c r="I908" t="s">
        <v>16</v>
      </c>
      <c r="J908" t="s">
        <v>105</v>
      </c>
      <c r="K908" t="s">
        <v>2330</v>
      </c>
      <c r="L908">
        <v>542.94000000000005</v>
      </c>
      <c r="M908">
        <v>3</v>
      </c>
      <c r="N908" t="str">
        <f>IF(Walmart[[#This Row],[Quantity]]&gt;=7,"Bulk",IF(Walmart[[#This Row],[Quantity]]&gt;=2,"Multi","Single"))</f>
        <v>Multi</v>
      </c>
      <c r="O908">
        <v>152.02000000000001</v>
      </c>
      <c r="P908" t="str">
        <f>IF(Walmart[[#This Row],[Sales]]&gt;=1000,"High Value", IF(Walmart[[#This Row],[Sales]]&gt;=500,"Medium Value","Low Value"))</f>
        <v>Medium Value</v>
      </c>
    </row>
    <row r="909" spans="1:16" hidden="1" x14ac:dyDescent="0.3">
      <c r="A909" t="s">
        <v>2313</v>
      </c>
      <c r="B909" s="1">
        <v>41227</v>
      </c>
      <c r="C909" s="1" t="str">
        <f>TEXT(Walmart[[#This Row],[Order Date]],"mmmm")</f>
        <v>November</v>
      </c>
      <c r="D909" s="1">
        <v>41230</v>
      </c>
      <c r="E909" s="1" t="str">
        <f>IF(DATEDIF(Walmart[[#This Row],[Order Date]],Walmart[[#This Row],[Ship Date]],"D")&lt;7,"On time","Delayed")</f>
        <v>On time</v>
      </c>
      <c r="F909" t="s">
        <v>1782</v>
      </c>
      <c r="G909" t="s">
        <v>14</v>
      </c>
      <c r="H909" t="s">
        <v>926</v>
      </c>
      <c r="I909" t="s">
        <v>69</v>
      </c>
      <c r="J909" t="s">
        <v>191</v>
      </c>
      <c r="K909" t="s">
        <v>2314</v>
      </c>
      <c r="L909">
        <v>8.7200000000000006</v>
      </c>
      <c r="M909">
        <v>5</v>
      </c>
      <c r="N909" t="str">
        <f>IF(Walmart[[#This Row],[Quantity]]&gt;=7,"Bulk",IF(Walmart[[#This Row],[Quantity]]&gt;=2,"Multi","Single"))</f>
        <v>Multi</v>
      </c>
      <c r="O909">
        <v>2.29</v>
      </c>
      <c r="P909" t="str">
        <f>IF(Walmart[[#This Row],[Sales]]&gt;=1000,"High Value", IF(Walmart[[#This Row],[Sales]]&gt;=500,"Medium Value","Low Value"))</f>
        <v>Low Value</v>
      </c>
    </row>
    <row r="910" spans="1:16" hidden="1" x14ac:dyDescent="0.3">
      <c r="A910" t="s">
        <v>2315</v>
      </c>
      <c r="B910" s="1">
        <v>41544</v>
      </c>
      <c r="C910" s="1" t="str">
        <f>TEXT(Walmart[[#This Row],[Order Date]],"mmmm")</f>
        <v>September</v>
      </c>
      <c r="D910" s="1">
        <v>41548</v>
      </c>
      <c r="E910" s="1" t="str">
        <f>IF(DATEDIF(Walmart[[#This Row],[Order Date]],Walmart[[#This Row],[Ship Date]],"D")&lt;7,"On time","Delayed")</f>
        <v>On time</v>
      </c>
      <c r="F910" t="s">
        <v>2316</v>
      </c>
      <c r="G910" t="s">
        <v>14</v>
      </c>
      <c r="H910" t="s">
        <v>37</v>
      </c>
      <c r="I910" t="s">
        <v>16</v>
      </c>
      <c r="J910" t="s">
        <v>93</v>
      </c>
      <c r="K910" t="s">
        <v>1585</v>
      </c>
      <c r="L910">
        <v>12.96</v>
      </c>
      <c r="M910">
        <v>2</v>
      </c>
      <c r="N910" t="str">
        <f>IF(Walmart[[#This Row],[Quantity]]&gt;=7,"Bulk",IF(Walmart[[#This Row],[Quantity]]&gt;=2,"Multi","Single"))</f>
        <v>Multi</v>
      </c>
      <c r="O910">
        <v>6.22</v>
      </c>
      <c r="P910" t="str">
        <f>IF(Walmart[[#This Row],[Sales]]&gt;=1000,"High Value", IF(Walmart[[#This Row],[Sales]]&gt;=500,"Medium Value","Low Value"))</f>
        <v>Low Value</v>
      </c>
    </row>
    <row r="911" spans="1:16" hidden="1" x14ac:dyDescent="0.3">
      <c r="A911" t="s">
        <v>2317</v>
      </c>
      <c r="B911" s="1">
        <v>40564</v>
      </c>
      <c r="C911" s="1" t="str">
        <f>TEXT(Walmart[[#This Row],[Order Date]],"mmmm")</f>
        <v>January</v>
      </c>
      <c r="D911" s="1">
        <v>40569</v>
      </c>
      <c r="E911" s="1" t="str">
        <f>IF(DATEDIF(Walmart[[#This Row],[Order Date]],Walmart[[#This Row],[Ship Date]],"D")&lt;7,"On time","Delayed")</f>
        <v>On time</v>
      </c>
      <c r="F911" t="s">
        <v>1825</v>
      </c>
      <c r="G911" t="s">
        <v>14</v>
      </c>
      <c r="H911" t="s">
        <v>15</v>
      </c>
      <c r="I911" t="s">
        <v>16</v>
      </c>
      <c r="J911" t="s">
        <v>93</v>
      </c>
      <c r="K911" t="s">
        <v>983</v>
      </c>
      <c r="L911">
        <v>19.36</v>
      </c>
      <c r="M911">
        <v>2</v>
      </c>
      <c r="N911" t="str">
        <f>IF(Walmart[[#This Row],[Quantity]]&gt;=7,"Bulk",IF(Walmart[[#This Row],[Quantity]]&gt;=2,"Multi","Single"))</f>
        <v>Multi</v>
      </c>
      <c r="O911">
        <v>9.2899999999999991</v>
      </c>
      <c r="P911" t="str">
        <f>IF(Walmart[[#This Row],[Sales]]&gt;=1000,"High Value", IF(Walmart[[#This Row],[Sales]]&gt;=500,"Medium Value","Low Value"))</f>
        <v>Low Value</v>
      </c>
    </row>
    <row r="912" spans="1:16" x14ac:dyDescent="0.3">
      <c r="A912" t="s">
        <v>3071</v>
      </c>
      <c r="B912" s="1">
        <v>41864</v>
      </c>
      <c r="C912" s="1" t="str">
        <f>TEXT(Walmart[[#This Row],[Order Date]],"mmmm")</f>
        <v>August</v>
      </c>
      <c r="D912" s="1">
        <v>41871</v>
      </c>
      <c r="E912" s="1" t="str">
        <f>IF(DATEDIF(Walmart[[#This Row],[Order Date]],Walmart[[#This Row],[Ship Date]],"D")&lt;7,"On time","Delayed")</f>
        <v>Delayed</v>
      </c>
      <c r="F912" t="s">
        <v>3072</v>
      </c>
      <c r="G912" t="s">
        <v>14</v>
      </c>
      <c r="H912" t="s">
        <v>25</v>
      </c>
      <c r="I912" t="s">
        <v>26</v>
      </c>
      <c r="J912" t="s">
        <v>287</v>
      </c>
      <c r="K912" t="s">
        <v>2870</v>
      </c>
      <c r="L912">
        <v>299.99</v>
      </c>
      <c r="M912">
        <v>1</v>
      </c>
      <c r="N912" t="str">
        <f>IF(Walmart[[#This Row],[Quantity]]&gt;=7,"Bulk",IF(Walmart[[#This Row],[Quantity]]&gt;=2,"Multi","Single"))</f>
        <v>Single</v>
      </c>
      <c r="O912">
        <v>90</v>
      </c>
      <c r="P912" t="str">
        <f>IF(Walmart[[#This Row],[Sales]]&gt;=1000,"High Value", IF(Walmart[[#This Row],[Sales]]&gt;=500,"Medium Value","Low Value"))</f>
        <v>Low Value</v>
      </c>
    </row>
    <row r="913" spans="1:16" x14ac:dyDescent="0.3">
      <c r="A913" t="s">
        <v>1733</v>
      </c>
      <c r="B913" s="1">
        <v>41859</v>
      </c>
      <c r="C913" s="1" t="str">
        <f>TEXT(Walmart[[#This Row],[Order Date]],"mmmm")</f>
        <v>August</v>
      </c>
      <c r="D913" s="1">
        <v>41865</v>
      </c>
      <c r="E913" s="1" t="str">
        <f>IF(DATEDIF(Walmart[[#This Row],[Order Date]],Walmart[[#This Row],[Ship Date]],"D")&lt;7,"On time","Delayed")</f>
        <v>On time</v>
      </c>
      <c r="F913" t="s">
        <v>378</v>
      </c>
      <c r="G913" t="s">
        <v>14</v>
      </c>
      <c r="H913" t="s">
        <v>160</v>
      </c>
      <c r="I913" t="s">
        <v>16</v>
      </c>
      <c r="J913" t="s">
        <v>146</v>
      </c>
      <c r="K913" t="s">
        <v>1734</v>
      </c>
      <c r="L913">
        <v>159.96</v>
      </c>
      <c r="M913">
        <v>5</v>
      </c>
      <c r="N913" t="str">
        <f>IF(Walmart[[#This Row],[Quantity]]&gt;=7,"Bulk",IF(Walmart[[#This Row],[Quantity]]&gt;=2,"Multi","Single"))</f>
        <v>Multi</v>
      </c>
      <c r="O913">
        <v>18</v>
      </c>
      <c r="P913" t="str">
        <f>IF(Walmart[[#This Row],[Sales]]&gt;=1000,"High Value", IF(Walmart[[#This Row],[Sales]]&gt;=500,"Medium Value","Low Value"))</f>
        <v>Low Value</v>
      </c>
    </row>
    <row r="914" spans="1:16" hidden="1" x14ac:dyDescent="0.3">
      <c r="A914" t="s">
        <v>2324</v>
      </c>
      <c r="B914" s="1">
        <v>41296</v>
      </c>
      <c r="C914" s="1" t="str">
        <f>TEXT(Walmart[[#This Row],[Order Date]],"mmmm")</f>
        <v>January</v>
      </c>
      <c r="D914" s="1">
        <v>41302</v>
      </c>
      <c r="E914" s="1" t="str">
        <f>IF(DATEDIF(Walmart[[#This Row],[Order Date]],Walmart[[#This Row],[Ship Date]],"D")&lt;7,"On time","Delayed")</f>
        <v>On time</v>
      </c>
      <c r="F914" t="s">
        <v>321</v>
      </c>
      <c r="G914" t="s">
        <v>14</v>
      </c>
      <c r="H914" t="s">
        <v>160</v>
      </c>
      <c r="I914" t="s">
        <v>16</v>
      </c>
      <c r="J914" t="s">
        <v>17</v>
      </c>
      <c r="K914" t="s">
        <v>2325</v>
      </c>
      <c r="L914">
        <v>44.4</v>
      </c>
      <c r="M914">
        <v>3</v>
      </c>
      <c r="N914" t="str">
        <f>IF(Walmart[[#This Row],[Quantity]]&gt;=7,"Bulk",IF(Walmart[[#This Row],[Quantity]]&gt;=2,"Multi","Single"))</f>
        <v>Multi</v>
      </c>
      <c r="O914">
        <v>22.2</v>
      </c>
      <c r="P914" t="str">
        <f>IF(Walmart[[#This Row],[Sales]]&gt;=1000,"High Value", IF(Walmart[[#This Row],[Sales]]&gt;=500,"Medium Value","Low Value"))</f>
        <v>Low Value</v>
      </c>
    </row>
    <row r="915" spans="1:16" hidden="1" x14ac:dyDescent="0.3">
      <c r="A915" t="s">
        <v>2326</v>
      </c>
      <c r="B915" s="1">
        <v>41639</v>
      </c>
      <c r="C915" s="1" t="str">
        <f>TEXT(Walmart[[#This Row],[Order Date]],"mmmm")</f>
        <v>December</v>
      </c>
      <c r="D915" s="1">
        <v>41639</v>
      </c>
      <c r="E915" s="1" t="str">
        <f>IF(DATEDIF(Walmart[[#This Row],[Order Date]],Walmart[[#This Row],[Ship Date]],"D")&lt;7,"On time","Delayed")</f>
        <v>On time</v>
      </c>
      <c r="F915" t="s">
        <v>2327</v>
      </c>
      <c r="G915" t="s">
        <v>14</v>
      </c>
      <c r="H915" t="s">
        <v>15</v>
      </c>
      <c r="I915" t="s">
        <v>16</v>
      </c>
      <c r="J915" t="s">
        <v>33</v>
      </c>
      <c r="K915" t="s">
        <v>2008</v>
      </c>
      <c r="L915">
        <v>481.32</v>
      </c>
      <c r="M915">
        <v>4</v>
      </c>
      <c r="N915" t="str">
        <f>IF(Walmart[[#This Row],[Quantity]]&gt;=7,"Bulk",IF(Walmart[[#This Row],[Quantity]]&gt;=2,"Multi","Single"))</f>
        <v>Multi</v>
      </c>
      <c r="O915">
        <v>125.14</v>
      </c>
      <c r="P915" t="str">
        <f>IF(Walmart[[#This Row],[Sales]]&gt;=1000,"High Value", IF(Walmart[[#This Row],[Sales]]&gt;=500,"Medium Value","Low Value"))</f>
        <v>Low Value</v>
      </c>
    </row>
    <row r="916" spans="1:16" x14ac:dyDescent="0.3">
      <c r="A916" t="s">
        <v>1852</v>
      </c>
      <c r="B916" s="1">
        <v>41859</v>
      </c>
      <c r="C916" s="1" t="str">
        <f>TEXT(Walmart[[#This Row],[Order Date]],"mmmm")</f>
        <v>August</v>
      </c>
      <c r="D916" s="1">
        <v>41864</v>
      </c>
      <c r="E916" s="1" t="str">
        <f>IF(DATEDIF(Walmart[[#This Row],[Order Date]],Walmart[[#This Row],[Ship Date]],"D")&lt;7,"On time","Delayed")</f>
        <v>On time</v>
      </c>
      <c r="F916" t="s">
        <v>881</v>
      </c>
      <c r="G916" t="s">
        <v>14</v>
      </c>
      <c r="H916" t="s">
        <v>109</v>
      </c>
      <c r="I916" t="s">
        <v>16</v>
      </c>
      <c r="J916" t="s">
        <v>93</v>
      </c>
      <c r="K916" t="s">
        <v>1853</v>
      </c>
      <c r="L916">
        <v>244.55</v>
      </c>
      <c r="M916">
        <v>5</v>
      </c>
      <c r="N916" t="str">
        <f>IF(Walmart[[#This Row],[Quantity]]&gt;=7,"Bulk",IF(Walmart[[#This Row],[Quantity]]&gt;=2,"Multi","Single"))</f>
        <v>Multi</v>
      </c>
      <c r="O916">
        <v>114.94</v>
      </c>
      <c r="P916" t="str">
        <f>IF(Walmart[[#This Row],[Sales]]&gt;=1000,"High Value", IF(Walmart[[#This Row],[Sales]]&gt;=500,"Medium Value","Low Value"))</f>
        <v>Low Value</v>
      </c>
    </row>
    <row r="917" spans="1:16" hidden="1" x14ac:dyDescent="0.3">
      <c r="A917" t="s">
        <v>2331</v>
      </c>
      <c r="B917" s="1">
        <v>41162</v>
      </c>
      <c r="C917" s="1" t="str">
        <f>TEXT(Walmart[[#This Row],[Order Date]],"mmmm")</f>
        <v>September</v>
      </c>
      <c r="D917" s="1">
        <v>41164</v>
      </c>
      <c r="E917" s="1" t="str">
        <f>IF(DATEDIF(Walmart[[#This Row],[Order Date]],Walmart[[#This Row],[Ship Date]],"D")&lt;7,"On time","Delayed")</f>
        <v>On time</v>
      </c>
      <c r="F917" t="s">
        <v>881</v>
      </c>
      <c r="G917" t="s">
        <v>14</v>
      </c>
      <c r="H917" t="s">
        <v>25</v>
      </c>
      <c r="I917" t="s">
        <v>26</v>
      </c>
      <c r="J917" t="s">
        <v>33</v>
      </c>
      <c r="K917" t="s">
        <v>2332</v>
      </c>
      <c r="L917">
        <v>353.88</v>
      </c>
      <c r="M917">
        <v>6</v>
      </c>
      <c r="N917" t="str">
        <f>IF(Walmart[[#This Row],[Quantity]]&gt;=7,"Bulk",IF(Walmart[[#This Row],[Quantity]]&gt;=2,"Multi","Single"))</f>
        <v>Multi</v>
      </c>
      <c r="O917">
        <v>17.690000000000001</v>
      </c>
      <c r="P917" t="str">
        <f>IF(Walmart[[#This Row],[Sales]]&gt;=1000,"High Value", IF(Walmart[[#This Row],[Sales]]&gt;=500,"Medium Value","Low Value"))</f>
        <v>Low Value</v>
      </c>
    </row>
    <row r="918" spans="1:16" hidden="1" x14ac:dyDescent="0.3">
      <c r="A918" t="s">
        <v>2333</v>
      </c>
      <c r="B918" s="1">
        <v>40855</v>
      </c>
      <c r="C918" s="1" t="str">
        <f>TEXT(Walmart[[#This Row],[Order Date]],"mmmm")</f>
        <v>November</v>
      </c>
      <c r="D918" s="1">
        <v>40861</v>
      </c>
      <c r="E918" s="1" t="str">
        <f>IF(DATEDIF(Walmart[[#This Row],[Order Date]],Walmart[[#This Row],[Ship Date]],"D")&lt;7,"On time","Delayed")</f>
        <v>On time</v>
      </c>
      <c r="F918" t="s">
        <v>41</v>
      </c>
      <c r="G918" t="s">
        <v>14</v>
      </c>
      <c r="H918" t="s">
        <v>2334</v>
      </c>
      <c r="I918" t="s">
        <v>16</v>
      </c>
      <c r="J918" t="s">
        <v>146</v>
      </c>
      <c r="K918" t="s">
        <v>2335</v>
      </c>
      <c r="L918">
        <v>333.58</v>
      </c>
      <c r="M918">
        <v>3</v>
      </c>
      <c r="N918" t="str">
        <f>IF(Walmart[[#This Row],[Quantity]]&gt;=7,"Bulk",IF(Walmart[[#This Row],[Quantity]]&gt;=2,"Multi","Single"))</f>
        <v>Multi</v>
      </c>
      <c r="O918">
        <v>25.02</v>
      </c>
      <c r="P918" t="str">
        <f>IF(Walmart[[#This Row],[Sales]]&gt;=1000,"High Value", IF(Walmart[[#This Row],[Sales]]&gt;=500,"Medium Value","Low Value"))</f>
        <v>Low Value</v>
      </c>
    </row>
    <row r="919" spans="1:16" hidden="1" x14ac:dyDescent="0.3">
      <c r="A919" t="s">
        <v>2336</v>
      </c>
      <c r="B919" s="1">
        <v>41176</v>
      </c>
      <c r="C919" s="1" t="str">
        <f>TEXT(Walmart[[#This Row],[Order Date]],"mmmm")</f>
        <v>September</v>
      </c>
      <c r="D919" s="1">
        <v>41180</v>
      </c>
      <c r="E919" s="1" t="str">
        <f>IF(DATEDIF(Walmart[[#This Row],[Order Date]],Walmart[[#This Row],[Ship Date]],"D")&lt;7,"On time","Delayed")</f>
        <v>On time</v>
      </c>
      <c r="F919" t="s">
        <v>700</v>
      </c>
      <c r="G919" t="s">
        <v>14</v>
      </c>
      <c r="H919" t="s">
        <v>15</v>
      </c>
      <c r="I919" t="s">
        <v>16</v>
      </c>
      <c r="J919" t="s">
        <v>21</v>
      </c>
      <c r="K919" t="s">
        <v>2337</v>
      </c>
      <c r="L919">
        <v>14.91</v>
      </c>
      <c r="M919">
        <v>3</v>
      </c>
      <c r="N919" t="str">
        <f>IF(Walmart[[#This Row],[Quantity]]&gt;=7,"Bulk",IF(Walmart[[#This Row],[Quantity]]&gt;=2,"Multi","Single"))</f>
        <v>Multi</v>
      </c>
      <c r="O919">
        <v>4.62</v>
      </c>
      <c r="P919" t="str">
        <f>IF(Walmart[[#This Row],[Sales]]&gt;=1000,"High Value", IF(Walmart[[#This Row],[Sales]]&gt;=500,"Medium Value","Low Value"))</f>
        <v>Low Value</v>
      </c>
    </row>
    <row r="920" spans="1:16" hidden="1" x14ac:dyDescent="0.3">
      <c r="A920" t="s">
        <v>2338</v>
      </c>
      <c r="B920" s="1">
        <v>41377</v>
      </c>
      <c r="C920" s="1" t="str">
        <f>TEXT(Walmart[[#This Row],[Order Date]],"mmmm")</f>
        <v>April</v>
      </c>
      <c r="D920" s="1">
        <v>41381</v>
      </c>
      <c r="E920" s="1" t="str">
        <f>IF(DATEDIF(Walmart[[#This Row],[Order Date]],Walmart[[#This Row],[Ship Date]],"D")&lt;7,"On time","Delayed")</f>
        <v>On time</v>
      </c>
      <c r="F920" t="s">
        <v>2339</v>
      </c>
      <c r="G920" t="s">
        <v>14</v>
      </c>
      <c r="H920" t="s">
        <v>15</v>
      </c>
      <c r="I920" t="s">
        <v>16</v>
      </c>
      <c r="J920" t="s">
        <v>88</v>
      </c>
      <c r="K920" t="s">
        <v>2340</v>
      </c>
      <c r="L920">
        <v>638.29</v>
      </c>
      <c r="M920">
        <v>7</v>
      </c>
      <c r="N920" t="str">
        <f>IF(Walmart[[#This Row],[Quantity]]&gt;=7,"Bulk",IF(Walmart[[#This Row],[Quantity]]&gt;=2,"Multi","Single"))</f>
        <v>Bulk</v>
      </c>
      <c r="O920">
        <v>-31.91</v>
      </c>
      <c r="P920" t="str">
        <f>IF(Walmart[[#This Row],[Sales]]&gt;=1000,"High Value", IF(Walmart[[#This Row],[Sales]]&gt;=500,"Medium Value","Low Value"))</f>
        <v>Medium Value</v>
      </c>
    </row>
    <row r="921" spans="1:16" hidden="1" x14ac:dyDescent="0.3">
      <c r="A921" t="s">
        <v>2341</v>
      </c>
      <c r="B921" s="1">
        <v>41613</v>
      </c>
      <c r="C921" s="1" t="str">
        <f>TEXT(Walmart[[#This Row],[Order Date]],"mmmm")</f>
        <v>December</v>
      </c>
      <c r="D921" s="1">
        <v>41618</v>
      </c>
      <c r="E921" s="1" t="str">
        <f>IF(DATEDIF(Walmart[[#This Row],[Order Date]],Walmart[[#This Row],[Ship Date]],"D")&lt;7,"On time","Delayed")</f>
        <v>On time</v>
      </c>
      <c r="F921" t="s">
        <v>660</v>
      </c>
      <c r="G921" t="s">
        <v>14</v>
      </c>
      <c r="H921" t="s">
        <v>37</v>
      </c>
      <c r="I921" t="s">
        <v>16</v>
      </c>
      <c r="J921" t="s">
        <v>93</v>
      </c>
      <c r="K921" t="s">
        <v>2342</v>
      </c>
      <c r="L921">
        <v>104.85</v>
      </c>
      <c r="M921">
        <v>1</v>
      </c>
      <c r="N921" t="str">
        <f>IF(Walmart[[#This Row],[Quantity]]&gt;=7,"Bulk",IF(Walmart[[#This Row],[Quantity]]&gt;=2,"Multi","Single"))</f>
        <v>Single</v>
      </c>
      <c r="O921">
        <v>50.33</v>
      </c>
      <c r="P921" t="str">
        <f>IF(Walmart[[#This Row],[Sales]]&gt;=1000,"High Value", IF(Walmart[[#This Row],[Sales]]&gt;=500,"Medium Value","Low Value"))</f>
        <v>Low Value</v>
      </c>
    </row>
    <row r="922" spans="1:16" hidden="1" x14ac:dyDescent="0.3">
      <c r="A922" t="s">
        <v>2343</v>
      </c>
      <c r="B922" s="1">
        <v>40858</v>
      </c>
      <c r="C922" s="1" t="str">
        <f>TEXT(Walmart[[#This Row],[Order Date]],"mmmm")</f>
        <v>November</v>
      </c>
      <c r="D922" s="1">
        <v>40865</v>
      </c>
      <c r="E922" s="1" t="str">
        <f>IF(DATEDIF(Walmart[[#This Row],[Order Date]],Walmart[[#This Row],[Ship Date]],"D")&lt;7,"On time","Delayed")</f>
        <v>Delayed</v>
      </c>
      <c r="F922" t="s">
        <v>580</v>
      </c>
      <c r="G922" t="s">
        <v>14</v>
      </c>
      <c r="H922" t="s">
        <v>15</v>
      </c>
      <c r="I922" t="s">
        <v>16</v>
      </c>
      <c r="J922" t="s">
        <v>38</v>
      </c>
      <c r="K922" t="s">
        <v>1527</v>
      </c>
      <c r="L922">
        <v>30.48</v>
      </c>
      <c r="M922">
        <v>3</v>
      </c>
      <c r="N922" t="str">
        <f>IF(Walmart[[#This Row],[Quantity]]&gt;=7,"Bulk",IF(Walmart[[#This Row],[Quantity]]&gt;=2,"Multi","Single"))</f>
        <v>Multi</v>
      </c>
      <c r="O922">
        <v>7.92</v>
      </c>
      <c r="P922" t="str">
        <f>IF(Walmart[[#This Row],[Sales]]&gt;=1000,"High Value", IF(Walmart[[#This Row],[Sales]]&gt;=500,"Medium Value","Low Value"))</f>
        <v>Low Value</v>
      </c>
    </row>
    <row r="923" spans="1:16" hidden="1" x14ac:dyDescent="0.3">
      <c r="A923" t="s">
        <v>2344</v>
      </c>
      <c r="B923" s="1">
        <v>41001</v>
      </c>
      <c r="C923" s="1" t="str">
        <f>TEXT(Walmart[[#This Row],[Order Date]],"mmmm")</f>
        <v>April</v>
      </c>
      <c r="D923" s="1">
        <v>41008</v>
      </c>
      <c r="E923" s="1" t="str">
        <f>IF(DATEDIF(Walmart[[#This Row],[Order Date]],Walmart[[#This Row],[Ship Date]],"D")&lt;7,"On time","Delayed")</f>
        <v>Delayed</v>
      </c>
      <c r="F923" t="s">
        <v>2345</v>
      </c>
      <c r="G923" t="s">
        <v>14</v>
      </c>
      <c r="H923" t="s">
        <v>15</v>
      </c>
      <c r="I923" t="s">
        <v>16</v>
      </c>
      <c r="J923" t="s">
        <v>1168</v>
      </c>
      <c r="K923" t="s">
        <v>2346</v>
      </c>
      <c r="L923">
        <v>71.98</v>
      </c>
      <c r="M923">
        <v>3</v>
      </c>
      <c r="N923" t="str">
        <f>IF(Walmart[[#This Row],[Quantity]]&gt;=7,"Bulk",IF(Walmart[[#This Row],[Quantity]]&gt;=2,"Multi","Single"))</f>
        <v>Multi</v>
      </c>
      <c r="O923">
        <v>24.29</v>
      </c>
      <c r="P923" t="str">
        <f>IF(Walmart[[#This Row],[Sales]]&gt;=1000,"High Value", IF(Walmart[[#This Row],[Sales]]&gt;=500,"Medium Value","Low Value"))</f>
        <v>Low Value</v>
      </c>
    </row>
    <row r="924" spans="1:16" hidden="1" x14ac:dyDescent="0.3">
      <c r="A924" t="s">
        <v>2347</v>
      </c>
      <c r="B924" s="1">
        <v>41255</v>
      </c>
      <c r="C924" s="1" t="str">
        <f>TEXT(Walmart[[#This Row],[Order Date]],"mmmm")</f>
        <v>December</v>
      </c>
      <c r="D924" s="1">
        <v>41259</v>
      </c>
      <c r="E924" s="1" t="str">
        <f>IF(DATEDIF(Walmart[[#This Row],[Order Date]],Walmart[[#This Row],[Ship Date]],"D")&lt;7,"On time","Delayed")</f>
        <v>On time</v>
      </c>
      <c r="F924" t="s">
        <v>265</v>
      </c>
      <c r="G924" t="s">
        <v>14</v>
      </c>
      <c r="H924" t="s">
        <v>2348</v>
      </c>
      <c r="I924" t="s">
        <v>16</v>
      </c>
      <c r="J924" t="s">
        <v>38</v>
      </c>
      <c r="K924" t="s">
        <v>113</v>
      </c>
      <c r="L924">
        <v>2.21</v>
      </c>
      <c r="M924">
        <v>1</v>
      </c>
      <c r="N924" t="str">
        <f>IF(Walmart[[#This Row],[Quantity]]&gt;=7,"Bulk",IF(Walmart[[#This Row],[Quantity]]&gt;=2,"Multi","Single"))</f>
        <v>Single</v>
      </c>
      <c r="O924">
        <v>0.6</v>
      </c>
      <c r="P924" t="str">
        <f>IF(Walmart[[#This Row],[Sales]]&gt;=1000,"High Value", IF(Walmart[[#This Row],[Sales]]&gt;=500,"Medium Value","Low Value"))</f>
        <v>Low Value</v>
      </c>
    </row>
    <row r="925" spans="1:16" x14ac:dyDescent="0.3">
      <c r="A925" t="s">
        <v>3322</v>
      </c>
      <c r="B925" s="1">
        <v>41859</v>
      </c>
      <c r="C925" s="1" t="str">
        <f>TEXT(Walmart[[#This Row],[Order Date]],"mmmm")</f>
        <v>August</v>
      </c>
      <c r="D925" s="1">
        <v>41863</v>
      </c>
      <c r="E925" s="1" t="str">
        <f>IF(DATEDIF(Walmart[[#This Row],[Order Date]],Walmart[[#This Row],[Ship Date]],"D")&lt;7,"On time","Delayed")</f>
        <v>On time</v>
      </c>
      <c r="F925" t="s">
        <v>3323</v>
      </c>
      <c r="G925" t="s">
        <v>14</v>
      </c>
      <c r="H925" t="s">
        <v>717</v>
      </c>
      <c r="I925" t="s">
        <v>16</v>
      </c>
      <c r="J925" t="s">
        <v>146</v>
      </c>
      <c r="K925" t="s">
        <v>3324</v>
      </c>
      <c r="L925">
        <v>707.88</v>
      </c>
      <c r="M925">
        <v>3</v>
      </c>
      <c r="N925" t="str">
        <f>IF(Walmart[[#This Row],[Quantity]]&gt;=7,"Bulk",IF(Walmart[[#This Row],[Quantity]]&gt;=2,"Multi","Single"))</f>
        <v>Multi</v>
      </c>
      <c r="O925">
        <v>44.24</v>
      </c>
      <c r="P925" t="str">
        <f>IF(Walmart[[#This Row],[Sales]]&gt;=1000,"High Value", IF(Walmart[[#This Row],[Sales]]&gt;=500,"Medium Value","Low Value"))</f>
        <v>Medium Value</v>
      </c>
    </row>
    <row r="926" spans="1:16" x14ac:dyDescent="0.3">
      <c r="A926" t="s">
        <v>2078</v>
      </c>
      <c r="B926" s="1">
        <v>41856</v>
      </c>
      <c r="C926" s="1" t="str">
        <f>TEXT(Walmart[[#This Row],[Order Date]],"mmmm")</f>
        <v>August</v>
      </c>
      <c r="D926" s="1">
        <v>41859</v>
      </c>
      <c r="E926" s="1" t="str">
        <f>IF(DATEDIF(Walmart[[#This Row],[Order Date]],Walmart[[#This Row],[Ship Date]],"D")&lt;7,"On time","Delayed")</f>
        <v>On time</v>
      </c>
      <c r="F926" t="s">
        <v>1177</v>
      </c>
      <c r="G926" t="s">
        <v>14</v>
      </c>
      <c r="H926" t="s">
        <v>2079</v>
      </c>
      <c r="I926" t="s">
        <v>77</v>
      </c>
      <c r="J926" t="s">
        <v>93</v>
      </c>
      <c r="K926" t="s">
        <v>2080</v>
      </c>
      <c r="L926">
        <v>7.97</v>
      </c>
      <c r="M926">
        <v>2</v>
      </c>
      <c r="N926" t="str">
        <f>IF(Walmart[[#This Row],[Quantity]]&gt;=7,"Bulk",IF(Walmart[[#This Row],[Quantity]]&gt;=2,"Multi","Single"))</f>
        <v>Multi</v>
      </c>
      <c r="O926">
        <v>2.89</v>
      </c>
      <c r="P926" t="str">
        <f>IF(Walmart[[#This Row],[Sales]]&gt;=1000,"High Value", IF(Walmart[[#This Row],[Sales]]&gt;=500,"Medium Value","Low Value"))</f>
        <v>Low Value</v>
      </c>
    </row>
    <row r="927" spans="1:16" hidden="1" x14ac:dyDescent="0.3">
      <c r="A927" t="s">
        <v>2353</v>
      </c>
      <c r="B927" s="1">
        <v>40990</v>
      </c>
      <c r="C927" s="1" t="str">
        <f>TEXT(Walmart[[#This Row],[Order Date]],"mmmm")</f>
        <v>March</v>
      </c>
      <c r="D927" s="1">
        <v>40992</v>
      </c>
      <c r="E927" s="1" t="str">
        <f>IF(DATEDIF(Walmart[[#This Row],[Order Date]],Walmart[[#This Row],[Ship Date]],"D")&lt;7,"On time","Delayed")</f>
        <v>On time</v>
      </c>
      <c r="F927" t="s">
        <v>121</v>
      </c>
      <c r="G927" t="s">
        <v>14</v>
      </c>
      <c r="H927" t="s">
        <v>1140</v>
      </c>
      <c r="I927" t="s">
        <v>16</v>
      </c>
      <c r="J927" t="s">
        <v>146</v>
      </c>
      <c r="K927" t="s">
        <v>718</v>
      </c>
      <c r="L927">
        <v>15.98</v>
      </c>
      <c r="M927">
        <v>2</v>
      </c>
      <c r="N927" t="str">
        <f>IF(Walmart[[#This Row],[Quantity]]&gt;=7,"Bulk",IF(Walmart[[#This Row],[Quantity]]&gt;=2,"Multi","Single"))</f>
        <v>Multi</v>
      </c>
      <c r="O927">
        <v>1.2</v>
      </c>
      <c r="P927" t="str">
        <f>IF(Walmart[[#This Row],[Sales]]&gt;=1000,"High Value", IF(Walmart[[#This Row],[Sales]]&gt;=500,"Medium Value","Low Value"))</f>
        <v>Low Value</v>
      </c>
    </row>
    <row r="928" spans="1:16" hidden="1" x14ac:dyDescent="0.3">
      <c r="A928" t="s">
        <v>2354</v>
      </c>
      <c r="B928" s="1">
        <v>40990</v>
      </c>
      <c r="C928" s="1" t="str">
        <f>TEXT(Walmart[[#This Row],[Order Date]],"mmmm")</f>
        <v>March</v>
      </c>
      <c r="D928" s="1">
        <v>40994</v>
      </c>
      <c r="E928" s="1" t="str">
        <f>IF(DATEDIF(Walmart[[#This Row],[Order Date]],Walmart[[#This Row],[Ship Date]],"D")&lt;7,"On time","Delayed")</f>
        <v>On time</v>
      </c>
      <c r="F928" t="s">
        <v>2355</v>
      </c>
      <c r="G928" t="s">
        <v>14</v>
      </c>
      <c r="H928" t="s">
        <v>160</v>
      </c>
      <c r="I928" t="s">
        <v>16</v>
      </c>
      <c r="J928" t="s">
        <v>93</v>
      </c>
      <c r="K928" t="s">
        <v>125</v>
      </c>
      <c r="L928">
        <v>105.52</v>
      </c>
      <c r="M928">
        <v>4</v>
      </c>
      <c r="N928" t="str">
        <f>IF(Walmart[[#This Row],[Quantity]]&gt;=7,"Bulk",IF(Walmart[[#This Row],[Quantity]]&gt;=2,"Multi","Single"))</f>
        <v>Multi</v>
      </c>
      <c r="O928">
        <v>48.54</v>
      </c>
      <c r="P928" t="str">
        <f>IF(Walmart[[#This Row],[Sales]]&gt;=1000,"High Value", IF(Walmart[[#This Row],[Sales]]&gt;=500,"Medium Value","Low Value"))</f>
        <v>Low Value</v>
      </c>
    </row>
    <row r="929" spans="1:16" x14ac:dyDescent="0.3">
      <c r="A929" t="s">
        <v>1913</v>
      </c>
      <c r="B929" s="1">
        <v>41855</v>
      </c>
      <c r="C929" s="1" t="str">
        <f>TEXT(Walmart[[#This Row],[Order Date]],"mmmm")</f>
        <v>August</v>
      </c>
      <c r="D929" s="1">
        <v>41860</v>
      </c>
      <c r="E929" s="1" t="str">
        <f>IF(DATEDIF(Walmart[[#This Row],[Order Date]],Walmart[[#This Row],[Ship Date]],"D")&lt;7,"On time","Delayed")</f>
        <v>On time</v>
      </c>
      <c r="F929" t="s">
        <v>1914</v>
      </c>
      <c r="G929" t="s">
        <v>14</v>
      </c>
      <c r="H929" t="s">
        <v>37</v>
      </c>
      <c r="I929" t="s">
        <v>16</v>
      </c>
      <c r="J929" t="s">
        <v>17</v>
      </c>
      <c r="K929" t="s">
        <v>313</v>
      </c>
      <c r="L929">
        <v>51.75</v>
      </c>
      <c r="M929">
        <v>5</v>
      </c>
      <c r="N929" t="str">
        <f>IF(Walmart[[#This Row],[Quantity]]&gt;=7,"Bulk",IF(Walmart[[#This Row],[Quantity]]&gt;=2,"Multi","Single"))</f>
        <v>Multi</v>
      </c>
      <c r="O929">
        <v>24.84</v>
      </c>
      <c r="P929" t="str">
        <f>IF(Walmart[[#This Row],[Sales]]&gt;=1000,"High Value", IF(Walmart[[#This Row],[Sales]]&gt;=500,"Medium Value","Low Value"))</f>
        <v>Low Value</v>
      </c>
    </row>
    <row r="930" spans="1:16" hidden="1" x14ac:dyDescent="0.3">
      <c r="A930" t="s">
        <v>2359</v>
      </c>
      <c r="B930" s="1">
        <v>41108</v>
      </c>
      <c r="C930" s="1" t="str">
        <f>TEXT(Walmart[[#This Row],[Order Date]],"mmmm")</f>
        <v>July</v>
      </c>
      <c r="D930" s="1">
        <v>41112</v>
      </c>
      <c r="E930" s="1" t="str">
        <f>IF(DATEDIF(Walmart[[#This Row],[Order Date]],Walmart[[#This Row],[Ship Date]],"D")&lt;7,"On time","Delayed")</f>
        <v>On time</v>
      </c>
      <c r="F930" t="s">
        <v>505</v>
      </c>
      <c r="G930" t="s">
        <v>14</v>
      </c>
      <c r="H930" t="s">
        <v>160</v>
      </c>
      <c r="I930" t="s">
        <v>16</v>
      </c>
      <c r="J930" t="s">
        <v>53</v>
      </c>
      <c r="K930" t="s">
        <v>2360</v>
      </c>
      <c r="L930">
        <v>519.96</v>
      </c>
      <c r="M930">
        <v>4</v>
      </c>
      <c r="N930" t="str">
        <f>IF(Walmart[[#This Row],[Quantity]]&gt;=7,"Bulk",IF(Walmart[[#This Row],[Quantity]]&gt;=2,"Multi","Single"))</f>
        <v>Multi</v>
      </c>
      <c r="O930">
        <v>176.79</v>
      </c>
      <c r="P930" t="str">
        <f>IF(Walmart[[#This Row],[Sales]]&gt;=1000,"High Value", IF(Walmart[[#This Row],[Sales]]&gt;=500,"Medium Value","Low Value"))</f>
        <v>Medium Value</v>
      </c>
    </row>
    <row r="931" spans="1:16" x14ac:dyDescent="0.3">
      <c r="A931" t="s">
        <v>2749</v>
      </c>
      <c r="B931" s="1">
        <v>41855</v>
      </c>
      <c r="C931" s="1" t="str">
        <f>TEXT(Walmart[[#This Row],[Order Date]],"mmmm")</f>
        <v>August</v>
      </c>
      <c r="D931" s="1">
        <v>41858</v>
      </c>
      <c r="E931" s="1" t="str">
        <f>IF(DATEDIF(Walmart[[#This Row],[Order Date]],Walmart[[#This Row],[Ship Date]],"D")&lt;7,"On time","Delayed")</f>
        <v>On time</v>
      </c>
      <c r="F931" t="s">
        <v>1312</v>
      </c>
      <c r="G931" t="s">
        <v>14</v>
      </c>
      <c r="H931" t="s">
        <v>15</v>
      </c>
      <c r="I931" t="s">
        <v>16</v>
      </c>
      <c r="J931" t="s">
        <v>33</v>
      </c>
      <c r="K931" t="s">
        <v>1102</v>
      </c>
      <c r="L931">
        <v>99.87</v>
      </c>
      <c r="M931">
        <v>3</v>
      </c>
      <c r="N931" t="str">
        <f>IF(Walmart[[#This Row],[Quantity]]&gt;=7,"Bulk",IF(Walmart[[#This Row],[Quantity]]&gt;=2,"Multi","Single"))</f>
        <v>Multi</v>
      </c>
      <c r="O931">
        <v>23.97</v>
      </c>
      <c r="P931" t="str">
        <f>IF(Walmart[[#This Row],[Sales]]&gt;=1000,"High Value", IF(Walmart[[#This Row],[Sales]]&gt;=500,"Medium Value","Low Value"))</f>
        <v>Low Value</v>
      </c>
    </row>
    <row r="932" spans="1:16" hidden="1" x14ac:dyDescent="0.3">
      <c r="A932" t="s">
        <v>2364</v>
      </c>
      <c r="B932" s="1">
        <v>40995</v>
      </c>
      <c r="C932" s="1" t="str">
        <f>TEXT(Walmart[[#This Row],[Order Date]],"mmmm")</f>
        <v>March</v>
      </c>
      <c r="D932" s="1">
        <v>41002</v>
      </c>
      <c r="E932" s="1" t="str">
        <f>IF(DATEDIF(Walmart[[#This Row],[Order Date]],Walmart[[#This Row],[Ship Date]],"D")&lt;7,"On time","Delayed")</f>
        <v>Delayed</v>
      </c>
      <c r="F932" t="s">
        <v>1825</v>
      </c>
      <c r="G932" t="s">
        <v>14</v>
      </c>
      <c r="H932" t="s">
        <v>25</v>
      </c>
      <c r="I932" t="s">
        <v>26</v>
      </c>
      <c r="J932" t="s">
        <v>33</v>
      </c>
      <c r="K932" t="s">
        <v>2365</v>
      </c>
      <c r="L932">
        <v>83.7</v>
      </c>
      <c r="M932">
        <v>5</v>
      </c>
      <c r="N932" t="str">
        <f>IF(Walmart[[#This Row],[Quantity]]&gt;=7,"Bulk",IF(Walmart[[#This Row],[Quantity]]&gt;=2,"Multi","Single"))</f>
        <v>Multi</v>
      </c>
      <c r="O932">
        <v>3.35</v>
      </c>
      <c r="P932" t="str">
        <f>IF(Walmart[[#This Row],[Sales]]&gt;=1000,"High Value", IF(Walmart[[#This Row],[Sales]]&gt;=500,"Medium Value","Low Value"))</f>
        <v>Low Value</v>
      </c>
    </row>
    <row r="933" spans="1:16" hidden="1" x14ac:dyDescent="0.3">
      <c r="A933" t="s">
        <v>2366</v>
      </c>
      <c r="B933" s="1">
        <v>41230</v>
      </c>
      <c r="C933" s="1" t="str">
        <f>TEXT(Walmart[[#This Row],[Order Date]],"mmmm")</f>
        <v>November</v>
      </c>
      <c r="D933" s="1">
        <v>41234</v>
      </c>
      <c r="E933" s="1" t="str">
        <f>IF(DATEDIF(Walmart[[#This Row],[Order Date]],Walmart[[#This Row],[Ship Date]],"D")&lt;7,"On time","Delayed")</f>
        <v>On time</v>
      </c>
      <c r="F933" t="s">
        <v>2367</v>
      </c>
      <c r="G933" t="s">
        <v>14</v>
      </c>
      <c r="H933" t="s">
        <v>160</v>
      </c>
      <c r="I933" t="s">
        <v>16</v>
      </c>
      <c r="J933" t="s">
        <v>146</v>
      </c>
      <c r="K933" t="s">
        <v>2368</v>
      </c>
      <c r="L933">
        <v>415.97</v>
      </c>
      <c r="M933">
        <v>4</v>
      </c>
      <c r="N933" t="str">
        <f>IF(Walmart[[#This Row],[Quantity]]&gt;=7,"Bulk",IF(Walmart[[#This Row],[Quantity]]&gt;=2,"Multi","Single"))</f>
        <v>Multi</v>
      </c>
      <c r="O933">
        <v>52</v>
      </c>
      <c r="P933" t="str">
        <f>IF(Walmart[[#This Row],[Sales]]&gt;=1000,"High Value", IF(Walmart[[#This Row],[Sales]]&gt;=500,"Medium Value","Low Value"))</f>
        <v>Low Value</v>
      </c>
    </row>
    <row r="934" spans="1:16" x14ac:dyDescent="0.3">
      <c r="A934" t="s">
        <v>3331</v>
      </c>
      <c r="B934" s="1">
        <v>41855</v>
      </c>
      <c r="C934" s="1" t="str">
        <f>TEXT(Walmart[[#This Row],[Order Date]],"mmmm")</f>
        <v>August</v>
      </c>
      <c r="D934" s="1">
        <v>41860</v>
      </c>
      <c r="E934" s="1" t="str">
        <f>IF(DATEDIF(Walmart[[#This Row],[Order Date]],Walmart[[#This Row],[Ship Date]],"D")&lt;7,"On time","Delayed")</f>
        <v>On time</v>
      </c>
      <c r="F934" t="s">
        <v>2667</v>
      </c>
      <c r="G934" t="s">
        <v>14</v>
      </c>
      <c r="H934" t="s">
        <v>25</v>
      </c>
      <c r="I934" t="s">
        <v>26</v>
      </c>
      <c r="J934" t="s">
        <v>33</v>
      </c>
      <c r="K934" t="s">
        <v>3332</v>
      </c>
      <c r="L934">
        <v>16.059999999999999</v>
      </c>
      <c r="M934">
        <v>1</v>
      </c>
      <c r="N934" t="str">
        <f>IF(Walmart[[#This Row],[Quantity]]&gt;=7,"Bulk",IF(Walmart[[#This Row],[Quantity]]&gt;=2,"Multi","Single"))</f>
        <v>Single</v>
      </c>
      <c r="O934">
        <v>4.18</v>
      </c>
      <c r="P934" t="str">
        <f>IF(Walmart[[#This Row],[Sales]]&gt;=1000,"High Value", IF(Walmart[[#This Row],[Sales]]&gt;=500,"Medium Value","Low Value"))</f>
        <v>Low Value</v>
      </c>
    </row>
    <row r="935" spans="1:16" hidden="1" x14ac:dyDescent="0.3">
      <c r="A935" t="s">
        <v>2371</v>
      </c>
      <c r="B935" s="1">
        <v>41586</v>
      </c>
      <c r="C935" s="1" t="str">
        <f>TEXT(Walmart[[#This Row],[Order Date]],"mmmm")</f>
        <v>November</v>
      </c>
      <c r="D935" s="1">
        <v>41591</v>
      </c>
      <c r="E935" s="1" t="str">
        <f>IF(DATEDIF(Walmart[[#This Row],[Order Date]],Walmart[[#This Row],[Ship Date]],"D")&lt;7,"On time","Delayed")</f>
        <v>On time</v>
      </c>
      <c r="F935" t="s">
        <v>1779</v>
      </c>
      <c r="G935" t="s">
        <v>14</v>
      </c>
      <c r="H935" t="s">
        <v>2372</v>
      </c>
      <c r="I935" t="s">
        <v>2373</v>
      </c>
      <c r="J935" t="s">
        <v>88</v>
      </c>
      <c r="K935" t="s">
        <v>1354</v>
      </c>
      <c r="L935">
        <v>1603.14</v>
      </c>
      <c r="M935">
        <v>4</v>
      </c>
      <c r="N935" t="str">
        <f>IF(Walmart[[#This Row],[Quantity]]&gt;=7,"Bulk",IF(Walmart[[#This Row],[Quantity]]&gt;=2,"Multi","Single"))</f>
        <v>Multi</v>
      </c>
      <c r="O935">
        <v>100.2</v>
      </c>
      <c r="P935" t="str">
        <f>IF(Walmart[[#This Row],[Sales]]&gt;=1000,"High Value", IF(Walmart[[#This Row],[Sales]]&gt;=500,"Medium Value","Low Value"))</f>
        <v>High Value</v>
      </c>
    </row>
    <row r="936" spans="1:16" hidden="1" x14ac:dyDescent="0.3">
      <c r="A936" t="s">
        <v>2374</v>
      </c>
      <c r="B936" s="1">
        <v>41440</v>
      </c>
      <c r="C936" s="1" t="str">
        <f>TEXT(Walmart[[#This Row],[Order Date]],"mmmm")</f>
        <v>June</v>
      </c>
      <c r="D936" s="1">
        <v>41440</v>
      </c>
      <c r="E936" s="1" t="str">
        <f>IF(DATEDIF(Walmart[[#This Row],[Order Date]],Walmart[[#This Row],[Ship Date]],"D")&lt;7,"On time","Delayed")</f>
        <v>On time</v>
      </c>
      <c r="F936" t="s">
        <v>988</v>
      </c>
      <c r="G936" t="s">
        <v>14</v>
      </c>
      <c r="H936" t="s">
        <v>309</v>
      </c>
      <c r="I936" t="s">
        <v>16</v>
      </c>
      <c r="J936" t="s">
        <v>43</v>
      </c>
      <c r="K936" t="s">
        <v>2375</v>
      </c>
      <c r="L936">
        <v>1293.49</v>
      </c>
      <c r="M936">
        <v>7</v>
      </c>
      <c r="N936" t="str">
        <f>IF(Walmart[[#This Row],[Quantity]]&gt;=7,"Bulk",IF(Walmart[[#This Row],[Quantity]]&gt;=2,"Multi","Single"))</f>
        <v>Bulk</v>
      </c>
      <c r="O936">
        <v>80.84</v>
      </c>
      <c r="P936" t="str">
        <f>IF(Walmart[[#This Row],[Sales]]&gt;=1000,"High Value", IF(Walmart[[#This Row],[Sales]]&gt;=500,"Medium Value","Low Value"))</f>
        <v>High Value</v>
      </c>
    </row>
    <row r="937" spans="1:16" hidden="1" x14ac:dyDescent="0.3">
      <c r="A937" t="s">
        <v>2376</v>
      </c>
      <c r="B937" s="1">
        <v>41536</v>
      </c>
      <c r="C937" s="1" t="str">
        <f>TEXT(Walmart[[#This Row],[Order Date]],"mmmm")</f>
        <v>September</v>
      </c>
      <c r="D937" s="1">
        <v>41540</v>
      </c>
      <c r="E937" s="1" t="str">
        <f>IF(DATEDIF(Walmart[[#This Row],[Order Date]],Walmart[[#This Row],[Ship Date]],"D")&lt;7,"On time","Delayed")</f>
        <v>On time</v>
      </c>
      <c r="F937" t="s">
        <v>729</v>
      </c>
      <c r="G937" t="s">
        <v>14</v>
      </c>
      <c r="H937" t="s">
        <v>160</v>
      </c>
      <c r="I937" t="s">
        <v>16</v>
      </c>
      <c r="J937" t="s">
        <v>88</v>
      </c>
      <c r="K937" t="s">
        <v>1354</v>
      </c>
      <c r="L937">
        <v>801.57</v>
      </c>
      <c r="M937">
        <v>2</v>
      </c>
      <c r="N937" t="str">
        <f>IF(Walmart[[#This Row],[Quantity]]&gt;=7,"Bulk",IF(Walmart[[#This Row],[Quantity]]&gt;=2,"Multi","Single"))</f>
        <v>Multi</v>
      </c>
      <c r="O937">
        <v>50.1</v>
      </c>
      <c r="P937" t="str">
        <f>IF(Walmart[[#This Row],[Sales]]&gt;=1000,"High Value", IF(Walmart[[#This Row],[Sales]]&gt;=500,"Medium Value","Low Value"))</f>
        <v>Medium Value</v>
      </c>
    </row>
    <row r="938" spans="1:16" hidden="1" x14ac:dyDescent="0.3">
      <c r="A938" t="s">
        <v>2377</v>
      </c>
      <c r="B938" s="1">
        <v>41347</v>
      </c>
      <c r="C938" s="1" t="str">
        <f>TEXT(Walmart[[#This Row],[Order Date]],"mmmm")</f>
        <v>March</v>
      </c>
      <c r="D938" s="1">
        <v>41349</v>
      </c>
      <c r="E938" s="1" t="str">
        <f>IF(DATEDIF(Walmart[[#This Row],[Order Date]],Walmart[[#This Row],[Ship Date]],"D")&lt;7,"On time","Delayed")</f>
        <v>On time</v>
      </c>
      <c r="F938" t="s">
        <v>2002</v>
      </c>
      <c r="G938" t="s">
        <v>14</v>
      </c>
      <c r="H938" t="s">
        <v>37</v>
      </c>
      <c r="I938" t="s">
        <v>16</v>
      </c>
      <c r="J938" t="s">
        <v>21</v>
      </c>
      <c r="K938" t="s">
        <v>2378</v>
      </c>
      <c r="L938">
        <v>28.28</v>
      </c>
      <c r="M938">
        <v>2</v>
      </c>
      <c r="N938" t="str">
        <f>IF(Walmart[[#This Row],[Quantity]]&gt;=7,"Bulk",IF(Walmart[[#This Row],[Quantity]]&gt;=2,"Multi","Single"))</f>
        <v>Multi</v>
      </c>
      <c r="O938">
        <v>7.35</v>
      </c>
      <c r="P938" t="str">
        <f>IF(Walmart[[#This Row],[Sales]]&gt;=1000,"High Value", IF(Walmart[[#This Row],[Sales]]&gt;=500,"Medium Value","Low Value"))</f>
        <v>Low Value</v>
      </c>
    </row>
    <row r="939" spans="1:16" hidden="1" x14ac:dyDescent="0.3">
      <c r="A939" t="s">
        <v>2379</v>
      </c>
      <c r="B939" s="1">
        <v>40832</v>
      </c>
      <c r="C939" s="1" t="str">
        <f>TEXT(Walmart[[#This Row],[Order Date]],"mmmm")</f>
        <v>October</v>
      </c>
      <c r="D939" s="1">
        <v>40833</v>
      </c>
      <c r="E939" s="1" t="str">
        <f>IF(DATEDIF(Walmart[[#This Row],[Order Date]],Walmart[[#This Row],[Ship Date]],"D")&lt;7,"On time","Delayed")</f>
        <v>On time</v>
      </c>
      <c r="F939" t="s">
        <v>2380</v>
      </c>
      <c r="G939" t="s">
        <v>14</v>
      </c>
      <c r="H939" t="s">
        <v>37</v>
      </c>
      <c r="I939" t="s">
        <v>16</v>
      </c>
      <c r="J939" t="s">
        <v>27</v>
      </c>
      <c r="K939" t="s">
        <v>2381</v>
      </c>
      <c r="L939">
        <v>14.35</v>
      </c>
      <c r="M939">
        <v>3</v>
      </c>
      <c r="N939" t="str">
        <f>IF(Walmart[[#This Row],[Quantity]]&gt;=7,"Bulk",IF(Walmart[[#This Row],[Quantity]]&gt;=2,"Multi","Single"))</f>
        <v>Multi</v>
      </c>
      <c r="O939">
        <v>5.0199999999999996</v>
      </c>
      <c r="P939" t="str">
        <f>IF(Walmart[[#This Row],[Sales]]&gt;=1000,"High Value", IF(Walmart[[#This Row],[Sales]]&gt;=500,"Medium Value","Low Value"))</f>
        <v>Low Value</v>
      </c>
    </row>
    <row r="940" spans="1:16" x14ac:dyDescent="0.3">
      <c r="A940" t="s">
        <v>1053</v>
      </c>
      <c r="B940" s="1">
        <v>41853</v>
      </c>
      <c r="C940" s="1" t="str">
        <f>TEXT(Walmart[[#This Row],[Order Date]],"mmmm")</f>
        <v>August</v>
      </c>
      <c r="D940" s="1">
        <v>41856</v>
      </c>
      <c r="E940" s="1" t="str">
        <f>IF(DATEDIF(Walmart[[#This Row],[Order Date]],Walmart[[#This Row],[Ship Date]],"D")&lt;7,"On time","Delayed")</f>
        <v>On time</v>
      </c>
      <c r="F940" t="s">
        <v>1054</v>
      </c>
      <c r="G940" t="s">
        <v>14</v>
      </c>
      <c r="H940" t="s">
        <v>447</v>
      </c>
      <c r="I940" t="s">
        <v>16</v>
      </c>
      <c r="J940" t="s">
        <v>27</v>
      </c>
      <c r="K940" t="s">
        <v>1055</v>
      </c>
      <c r="L940">
        <v>54.9</v>
      </c>
      <c r="M940">
        <v>2</v>
      </c>
      <c r="N940" t="str">
        <f>IF(Walmart[[#This Row],[Quantity]]&gt;=7,"Bulk",IF(Walmart[[#This Row],[Quantity]]&gt;=2,"Multi","Single"))</f>
        <v>Multi</v>
      </c>
      <c r="O940">
        <v>18.53</v>
      </c>
      <c r="P940" t="str">
        <f>IF(Walmart[[#This Row],[Sales]]&gt;=1000,"High Value", IF(Walmart[[#This Row],[Sales]]&gt;=500,"Medium Value","Low Value"))</f>
        <v>Low Value</v>
      </c>
    </row>
    <row r="941" spans="1:16" hidden="1" x14ac:dyDescent="0.3">
      <c r="A941" t="s">
        <v>2384</v>
      </c>
      <c r="B941" s="1">
        <v>40848</v>
      </c>
      <c r="C941" s="1" t="str">
        <f>TEXT(Walmart[[#This Row],[Order Date]],"mmmm")</f>
        <v>November</v>
      </c>
      <c r="D941" s="1">
        <v>40855</v>
      </c>
      <c r="E941" s="1" t="str">
        <f>IF(DATEDIF(Walmart[[#This Row],[Order Date]],Walmart[[#This Row],[Ship Date]],"D")&lt;7,"On time","Delayed")</f>
        <v>Delayed</v>
      </c>
      <c r="F941" t="s">
        <v>1697</v>
      </c>
      <c r="G941" t="s">
        <v>14</v>
      </c>
      <c r="H941" t="s">
        <v>15</v>
      </c>
      <c r="I941" t="s">
        <v>16</v>
      </c>
      <c r="J941" t="s">
        <v>17</v>
      </c>
      <c r="K941" t="s">
        <v>2325</v>
      </c>
      <c r="L941">
        <v>44.4</v>
      </c>
      <c r="M941">
        <v>3</v>
      </c>
      <c r="N941" t="str">
        <f>IF(Walmart[[#This Row],[Quantity]]&gt;=7,"Bulk",IF(Walmart[[#This Row],[Quantity]]&gt;=2,"Multi","Single"))</f>
        <v>Multi</v>
      </c>
      <c r="O941">
        <v>22.2</v>
      </c>
      <c r="P941" t="str">
        <f>IF(Walmart[[#This Row],[Sales]]&gt;=1000,"High Value", IF(Walmart[[#This Row],[Sales]]&gt;=500,"Medium Value","Low Value"))</f>
        <v>Low Value</v>
      </c>
    </row>
    <row r="942" spans="1:16" x14ac:dyDescent="0.3">
      <c r="A942" t="s">
        <v>2681</v>
      </c>
      <c r="B942" s="1">
        <v>41853</v>
      </c>
      <c r="C942" s="1" t="str">
        <f>TEXT(Walmart[[#This Row],[Order Date]],"mmmm")</f>
        <v>August</v>
      </c>
      <c r="D942" s="1">
        <v>41857</v>
      </c>
      <c r="E942" s="1" t="str">
        <f>IF(DATEDIF(Walmart[[#This Row],[Order Date]],Walmart[[#This Row],[Ship Date]],"D")&lt;7,"On time","Delayed")</f>
        <v>On time</v>
      </c>
      <c r="F942" t="s">
        <v>2682</v>
      </c>
      <c r="G942" t="s">
        <v>14</v>
      </c>
      <c r="H942" t="s">
        <v>37</v>
      </c>
      <c r="I942" t="s">
        <v>16</v>
      </c>
      <c r="J942" t="s">
        <v>33</v>
      </c>
      <c r="K942" t="s">
        <v>861</v>
      </c>
      <c r="L942">
        <v>186.54</v>
      </c>
      <c r="M942">
        <v>3</v>
      </c>
      <c r="N942" t="str">
        <f>IF(Walmart[[#This Row],[Quantity]]&gt;=7,"Bulk",IF(Walmart[[#This Row],[Quantity]]&gt;=2,"Multi","Single"))</f>
        <v>Multi</v>
      </c>
      <c r="O942">
        <v>50.37</v>
      </c>
      <c r="P942" t="str">
        <f>IF(Walmart[[#This Row],[Sales]]&gt;=1000,"High Value", IF(Walmart[[#This Row],[Sales]]&gt;=500,"Medium Value","Low Value"))</f>
        <v>Low Value</v>
      </c>
    </row>
    <row r="943" spans="1:16" hidden="1" x14ac:dyDescent="0.3">
      <c r="A943" t="s">
        <v>2386</v>
      </c>
      <c r="B943" s="1">
        <v>41233</v>
      </c>
      <c r="C943" s="1" t="str">
        <f>TEXT(Walmart[[#This Row],[Order Date]],"mmmm")</f>
        <v>November</v>
      </c>
      <c r="D943" s="1">
        <v>41237</v>
      </c>
      <c r="E943" s="1" t="str">
        <f>IF(DATEDIF(Walmart[[#This Row],[Order Date]],Walmart[[#This Row],[Ship Date]],"D")&lt;7,"On time","Delayed")</f>
        <v>On time</v>
      </c>
      <c r="F943" t="s">
        <v>1050</v>
      </c>
      <c r="G943" t="s">
        <v>14</v>
      </c>
      <c r="H943" t="s">
        <v>37</v>
      </c>
      <c r="I943" t="s">
        <v>16</v>
      </c>
      <c r="J943" t="s">
        <v>27</v>
      </c>
      <c r="K943" t="s">
        <v>2387</v>
      </c>
      <c r="L943">
        <v>24.19</v>
      </c>
      <c r="M943">
        <v>9</v>
      </c>
      <c r="N943" t="str">
        <f>IF(Walmart[[#This Row],[Quantity]]&gt;=7,"Bulk",IF(Walmart[[#This Row],[Quantity]]&gt;=2,"Multi","Single"))</f>
        <v>Bulk</v>
      </c>
      <c r="O943">
        <v>7.56</v>
      </c>
      <c r="P943" t="str">
        <f>IF(Walmart[[#This Row],[Sales]]&gt;=1000,"High Value", IF(Walmart[[#This Row],[Sales]]&gt;=500,"Medium Value","Low Value"))</f>
        <v>Low Value</v>
      </c>
    </row>
    <row r="944" spans="1:16" x14ac:dyDescent="0.3">
      <c r="A944" t="s">
        <v>2557</v>
      </c>
      <c r="B944" s="1">
        <v>41852</v>
      </c>
      <c r="C944" s="1" t="str">
        <f>TEXT(Walmart[[#This Row],[Order Date]],"mmmm")</f>
        <v>August</v>
      </c>
      <c r="D944" s="1">
        <v>41855</v>
      </c>
      <c r="E944" s="1" t="str">
        <f>IF(DATEDIF(Walmart[[#This Row],[Order Date]],Walmart[[#This Row],[Ship Date]],"D")&lt;7,"On time","Delayed")</f>
        <v>On time</v>
      </c>
      <c r="F944" t="s">
        <v>2558</v>
      </c>
      <c r="G944" t="s">
        <v>14</v>
      </c>
      <c r="H944" t="s">
        <v>37</v>
      </c>
      <c r="I944" t="s">
        <v>16</v>
      </c>
      <c r="J944" t="s">
        <v>33</v>
      </c>
      <c r="K944" t="s">
        <v>821</v>
      </c>
      <c r="L944">
        <v>56.56</v>
      </c>
      <c r="M944">
        <v>2</v>
      </c>
      <c r="N944" t="str">
        <f>IF(Walmart[[#This Row],[Quantity]]&gt;=7,"Bulk",IF(Walmart[[#This Row],[Quantity]]&gt;=2,"Multi","Single"))</f>
        <v>Multi</v>
      </c>
      <c r="O944">
        <v>15.27</v>
      </c>
      <c r="P944" t="str">
        <f>IF(Walmart[[#This Row],[Sales]]&gt;=1000,"High Value", IF(Walmart[[#This Row],[Sales]]&gt;=500,"Medium Value","Low Value"))</f>
        <v>Low Value</v>
      </c>
    </row>
    <row r="945" spans="1:16" hidden="1" x14ac:dyDescent="0.3">
      <c r="A945" t="s">
        <v>2389</v>
      </c>
      <c r="B945" s="1">
        <v>41611</v>
      </c>
      <c r="C945" s="1" t="str">
        <f>TEXT(Walmart[[#This Row],[Order Date]],"mmmm")</f>
        <v>December</v>
      </c>
      <c r="D945" s="1">
        <v>41616</v>
      </c>
      <c r="E945" s="1" t="str">
        <f>IF(DATEDIF(Walmart[[#This Row],[Order Date]],Walmart[[#This Row],[Ship Date]],"D")&lt;7,"On time","Delayed")</f>
        <v>On time</v>
      </c>
      <c r="F945" t="s">
        <v>2383</v>
      </c>
      <c r="G945" t="s">
        <v>14</v>
      </c>
      <c r="H945" t="s">
        <v>109</v>
      </c>
      <c r="I945" t="s">
        <v>16</v>
      </c>
      <c r="J945" t="s">
        <v>27</v>
      </c>
      <c r="K945" t="s">
        <v>2390</v>
      </c>
      <c r="L945">
        <v>24.7</v>
      </c>
      <c r="M945">
        <v>2</v>
      </c>
      <c r="N945" t="str">
        <f>IF(Walmart[[#This Row],[Quantity]]&gt;=7,"Bulk",IF(Walmart[[#This Row],[Quantity]]&gt;=2,"Multi","Single"))</f>
        <v>Multi</v>
      </c>
      <c r="O945">
        <v>9.26</v>
      </c>
      <c r="P945" t="str">
        <f>IF(Walmart[[#This Row],[Sales]]&gt;=1000,"High Value", IF(Walmart[[#This Row],[Sales]]&gt;=500,"Medium Value","Low Value"))</f>
        <v>Low Value</v>
      </c>
    </row>
    <row r="946" spans="1:16" hidden="1" x14ac:dyDescent="0.3">
      <c r="A946" t="s">
        <v>2391</v>
      </c>
      <c r="B946" s="1">
        <v>41626</v>
      </c>
      <c r="C946" s="1" t="str">
        <f>TEXT(Walmart[[#This Row],[Order Date]],"mmmm")</f>
        <v>December</v>
      </c>
      <c r="D946" s="1">
        <v>41631</v>
      </c>
      <c r="E946" s="1" t="str">
        <f>IF(DATEDIF(Walmart[[#This Row],[Order Date]],Walmart[[#This Row],[Ship Date]],"D")&lt;7,"On time","Delayed")</f>
        <v>On time</v>
      </c>
      <c r="F946" t="s">
        <v>2392</v>
      </c>
      <c r="G946" t="s">
        <v>14</v>
      </c>
      <c r="H946" t="s">
        <v>25</v>
      </c>
      <c r="I946" t="s">
        <v>26</v>
      </c>
      <c r="J946" t="s">
        <v>33</v>
      </c>
      <c r="K946" t="s">
        <v>150</v>
      </c>
      <c r="L946">
        <v>46.53</v>
      </c>
      <c r="M946">
        <v>3</v>
      </c>
      <c r="N946" t="str">
        <f>IF(Walmart[[#This Row],[Quantity]]&gt;=7,"Bulk",IF(Walmart[[#This Row],[Quantity]]&gt;=2,"Multi","Single"))</f>
        <v>Multi</v>
      </c>
      <c r="O946">
        <v>13.03</v>
      </c>
      <c r="P946" t="str">
        <f>IF(Walmart[[#This Row],[Sales]]&gt;=1000,"High Value", IF(Walmart[[#This Row],[Sales]]&gt;=500,"Medium Value","Low Value"))</f>
        <v>Low Value</v>
      </c>
    </row>
    <row r="947" spans="1:16" x14ac:dyDescent="0.3">
      <c r="A947" t="s">
        <v>362</v>
      </c>
      <c r="B947" s="1">
        <v>41851</v>
      </c>
      <c r="C947" s="1" t="str">
        <f>TEXT(Walmart[[#This Row],[Order Date]],"mmmm")</f>
        <v>July</v>
      </c>
      <c r="D947" s="1">
        <v>41855</v>
      </c>
      <c r="E947" s="1" t="str">
        <f>IF(DATEDIF(Walmart[[#This Row],[Order Date]],Walmart[[#This Row],[Ship Date]],"D")&lt;7,"On time","Delayed")</f>
        <v>On time</v>
      </c>
      <c r="F947" t="s">
        <v>363</v>
      </c>
      <c r="G947" t="s">
        <v>14</v>
      </c>
      <c r="H947" t="s">
        <v>364</v>
      </c>
      <c r="I947" t="s">
        <v>16</v>
      </c>
      <c r="J947" t="s">
        <v>33</v>
      </c>
      <c r="K947" t="s">
        <v>365</v>
      </c>
      <c r="L947">
        <v>330.4</v>
      </c>
      <c r="M947">
        <v>2</v>
      </c>
      <c r="N947" t="str">
        <f>IF(Walmart[[#This Row],[Quantity]]&gt;=7,"Bulk",IF(Walmart[[#This Row],[Quantity]]&gt;=2,"Multi","Single"))</f>
        <v>Multi</v>
      </c>
      <c r="O947">
        <v>85.9</v>
      </c>
      <c r="P947" t="str">
        <f>IF(Walmart[[#This Row],[Sales]]&gt;=1000,"High Value", IF(Walmart[[#This Row],[Sales]]&gt;=500,"Medium Value","Low Value"))</f>
        <v>Low Value</v>
      </c>
    </row>
    <row r="948" spans="1:16" hidden="1" x14ac:dyDescent="0.3">
      <c r="A948" t="s">
        <v>2396</v>
      </c>
      <c r="B948" s="1">
        <v>41460</v>
      </c>
      <c r="C948" s="1" t="str">
        <f>TEXT(Walmart[[#This Row],[Order Date]],"mmmm")</f>
        <v>July</v>
      </c>
      <c r="D948" s="1">
        <v>41460</v>
      </c>
      <c r="E948" s="1" t="str">
        <f>IF(DATEDIF(Walmart[[#This Row],[Order Date]],Walmart[[#This Row],[Ship Date]],"D")&lt;7,"On time","Delayed")</f>
        <v>On time</v>
      </c>
      <c r="F948" t="s">
        <v>359</v>
      </c>
      <c r="G948" t="s">
        <v>14</v>
      </c>
      <c r="H948" t="s">
        <v>25</v>
      </c>
      <c r="I948" t="s">
        <v>26</v>
      </c>
      <c r="J948" t="s">
        <v>21</v>
      </c>
      <c r="K948" t="s">
        <v>1849</v>
      </c>
      <c r="L948">
        <v>25.4</v>
      </c>
      <c r="M948">
        <v>5</v>
      </c>
      <c r="N948" t="str">
        <f>IF(Walmart[[#This Row],[Quantity]]&gt;=7,"Bulk",IF(Walmart[[#This Row],[Quantity]]&gt;=2,"Multi","Single"))</f>
        <v>Multi</v>
      </c>
      <c r="O948">
        <v>8.64</v>
      </c>
      <c r="P948" t="str">
        <f>IF(Walmart[[#This Row],[Sales]]&gt;=1000,"High Value", IF(Walmart[[#This Row],[Sales]]&gt;=500,"Medium Value","Low Value"))</f>
        <v>Low Value</v>
      </c>
    </row>
    <row r="949" spans="1:16" x14ac:dyDescent="0.3">
      <c r="A949" t="s">
        <v>887</v>
      </c>
      <c r="B949" s="1">
        <v>41850</v>
      </c>
      <c r="C949" s="1" t="str">
        <f>TEXT(Walmart[[#This Row],[Order Date]],"mmmm")</f>
        <v>July</v>
      </c>
      <c r="D949" s="1">
        <v>41854</v>
      </c>
      <c r="E949" s="1" t="str">
        <f>IF(DATEDIF(Walmart[[#This Row],[Order Date]],Walmart[[#This Row],[Ship Date]],"D")&lt;7,"On time","Delayed")</f>
        <v>On time</v>
      </c>
      <c r="F949" t="s">
        <v>888</v>
      </c>
      <c r="G949" t="s">
        <v>14</v>
      </c>
      <c r="H949" t="s">
        <v>25</v>
      </c>
      <c r="I949" t="s">
        <v>26</v>
      </c>
      <c r="J949" t="s">
        <v>53</v>
      </c>
      <c r="K949" t="s">
        <v>889</v>
      </c>
      <c r="L949">
        <v>90.57</v>
      </c>
      <c r="M949">
        <v>3</v>
      </c>
      <c r="N949" t="str">
        <f>IF(Walmart[[#This Row],[Quantity]]&gt;=7,"Bulk",IF(Walmart[[#This Row],[Quantity]]&gt;=2,"Multi","Single"))</f>
        <v>Multi</v>
      </c>
      <c r="O949">
        <v>11.77</v>
      </c>
      <c r="P949" t="str">
        <f>IF(Walmart[[#This Row],[Sales]]&gt;=1000,"High Value", IF(Walmart[[#This Row],[Sales]]&gt;=500,"Medium Value","Low Value"))</f>
        <v>Low Value</v>
      </c>
    </row>
    <row r="950" spans="1:16" hidden="1" x14ac:dyDescent="0.3">
      <c r="A950" t="s">
        <v>2399</v>
      </c>
      <c r="B950" s="1">
        <v>41493</v>
      </c>
      <c r="C950" s="1" t="str">
        <f>TEXT(Walmart[[#This Row],[Order Date]],"mmmm")</f>
        <v>August</v>
      </c>
      <c r="D950" s="1">
        <v>41500</v>
      </c>
      <c r="E950" s="1" t="str">
        <f>IF(DATEDIF(Walmart[[#This Row],[Order Date]],Walmart[[#This Row],[Ship Date]],"D")&lt;7,"On time","Delayed")</f>
        <v>Delayed</v>
      </c>
      <c r="F950" t="s">
        <v>517</v>
      </c>
      <c r="G950" t="s">
        <v>14</v>
      </c>
      <c r="H950" t="s">
        <v>15</v>
      </c>
      <c r="I950" t="s">
        <v>16</v>
      </c>
      <c r="J950" t="s">
        <v>146</v>
      </c>
      <c r="K950" t="s">
        <v>2106</v>
      </c>
      <c r="L950">
        <v>211.17</v>
      </c>
      <c r="M950">
        <v>4</v>
      </c>
      <c r="N950" t="str">
        <f>IF(Walmart[[#This Row],[Quantity]]&gt;=7,"Bulk",IF(Walmart[[#This Row],[Quantity]]&gt;=2,"Multi","Single"))</f>
        <v>Multi</v>
      </c>
      <c r="O950">
        <v>18.48</v>
      </c>
      <c r="P950" t="str">
        <f>IF(Walmart[[#This Row],[Sales]]&gt;=1000,"High Value", IF(Walmart[[#This Row],[Sales]]&gt;=500,"Medium Value","Low Value"))</f>
        <v>Low Value</v>
      </c>
    </row>
    <row r="951" spans="1:16" hidden="1" x14ac:dyDescent="0.3">
      <c r="A951" t="s">
        <v>2400</v>
      </c>
      <c r="B951" s="1">
        <v>40780</v>
      </c>
      <c r="C951" s="1" t="str">
        <f>TEXT(Walmart[[#This Row],[Order Date]],"mmmm")</f>
        <v>August</v>
      </c>
      <c r="D951" s="1">
        <v>40784</v>
      </c>
      <c r="E951" s="1" t="str">
        <f>IF(DATEDIF(Walmart[[#This Row],[Order Date]],Walmart[[#This Row],[Ship Date]],"D")&lt;7,"On time","Delayed")</f>
        <v>On time</v>
      </c>
      <c r="F951" t="s">
        <v>2401</v>
      </c>
      <c r="G951" t="s">
        <v>14</v>
      </c>
      <c r="H951" t="s">
        <v>15</v>
      </c>
      <c r="I951" t="s">
        <v>16</v>
      </c>
      <c r="J951" t="s">
        <v>21</v>
      </c>
      <c r="K951" t="s">
        <v>2402</v>
      </c>
      <c r="L951">
        <v>6.28</v>
      </c>
      <c r="M951">
        <v>1</v>
      </c>
      <c r="N951" t="str">
        <f>IF(Walmart[[#This Row],[Quantity]]&gt;=7,"Bulk",IF(Walmart[[#This Row],[Quantity]]&gt;=2,"Multi","Single"))</f>
        <v>Single</v>
      </c>
      <c r="O951">
        <v>2.64</v>
      </c>
      <c r="P951" t="str">
        <f>IF(Walmart[[#This Row],[Sales]]&gt;=1000,"High Value", IF(Walmart[[#This Row],[Sales]]&gt;=500,"Medium Value","Low Value"))</f>
        <v>Low Value</v>
      </c>
    </row>
    <row r="952" spans="1:16" hidden="1" x14ac:dyDescent="0.3">
      <c r="A952" t="s">
        <v>2403</v>
      </c>
      <c r="B952" s="1">
        <v>41346</v>
      </c>
      <c r="C952" s="1" t="str">
        <f>TEXT(Walmart[[#This Row],[Order Date]],"mmmm")</f>
        <v>March</v>
      </c>
      <c r="D952" s="1">
        <v>41349</v>
      </c>
      <c r="E952" s="1" t="str">
        <f>IF(DATEDIF(Walmart[[#This Row],[Order Date]],Walmart[[#This Row],[Ship Date]],"D")&lt;7,"On time","Delayed")</f>
        <v>On time</v>
      </c>
      <c r="F952" t="s">
        <v>308</v>
      </c>
      <c r="G952" t="s">
        <v>14</v>
      </c>
      <c r="H952" t="s">
        <v>37</v>
      </c>
      <c r="I952" t="s">
        <v>16</v>
      </c>
      <c r="J952" t="s">
        <v>33</v>
      </c>
      <c r="K952" t="s">
        <v>1949</v>
      </c>
      <c r="L952">
        <v>676.55</v>
      </c>
      <c r="M952">
        <v>5</v>
      </c>
      <c r="N952" t="str">
        <f>IF(Walmart[[#This Row],[Quantity]]&gt;=7,"Bulk",IF(Walmart[[#This Row],[Quantity]]&gt;=2,"Multi","Single"))</f>
        <v>Multi</v>
      </c>
      <c r="O952">
        <v>6.77</v>
      </c>
      <c r="P952" t="str">
        <f>IF(Walmart[[#This Row],[Sales]]&gt;=1000,"High Value", IF(Walmart[[#This Row],[Sales]]&gt;=500,"Medium Value","Low Value"))</f>
        <v>Medium Value</v>
      </c>
    </row>
    <row r="953" spans="1:16" x14ac:dyDescent="0.3">
      <c r="A953" t="s">
        <v>2679</v>
      </c>
      <c r="B953" s="1">
        <v>41850</v>
      </c>
      <c r="C953" s="1" t="str">
        <f>TEXT(Walmart[[#This Row],[Order Date]],"mmmm")</f>
        <v>July</v>
      </c>
      <c r="D953" s="1">
        <v>41854</v>
      </c>
      <c r="E953" s="1" t="str">
        <f>IF(DATEDIF(Walmart[[#This Row],[Order Date]],Walmart[[#This Row],[Ship Date]],"D")&lt;7,"On time","Delayed")</f>
        <v>On time</v>
      </c>
      <c r="F953" t="s">
        <v>517</v>
      </c>
      <c r="G953" t="s">
        <v>14</v>
      </c>
      <c r="H953" t="s">
        <v>25</v>
      </c>
      <c r="I953" t="s">
        <v>26</v>
      </c>
      <c r="J953" t="s">
        <v>671</v>
      </c>
      <c r="K953" t="s">
        <v>2680</v>
      </c>
      <c r="L953">
        <v>115.96</v>
      </c>
      <c r="M953">
        <v>2</v>
      </c>
      <c r="N953" t="str">
        <f>IF(Walmart[[#This Row],[Quantity]]&gt;=7,"Bulk",IF(Walmart[[#This Row],[Quantity]]&gt;=2,"Multi","Single"))</f>
        <v>Multi</v>
      </c>
      <c r="O953">
        <v>25.51</v>
      </c>
      <c r="P953" t="str">
        <f>IF(Walmart[[#This Row],[Sales]]&gt;=1000,"High Value", IF(Walmart[[#This Row],[Sales]]&gt;=500,"Medium Value","Low Value"))</f>
        <v>Low Value</v>
      </c>
    </row>
    <row r="954" spans="1:16" hidden="1" x14ac:dyDescent="0.3">
      <c r="A954" t="s">
        <v>2405</v>
      </c>
      <c r="B954" s="1">
        <v>40858</v>
      </c>
      <c r="C954" s="1" t="str">
        <f>TEXT(Walmart[[#This Row],[Order Date]],"mmmm")</f>
        <v>November</v>
      </c>
      <c r="D954" s="1">
        <v>40860</v>
      </c>
      <c r="E954" s="1" t="str">
        <f>IF(DATEDIF(Walmart[[#This Row],[Order Date]],Walmart[[#This Row],[Ship Date]],"D")&lt;7,"On time","Delayed")</f>
        <v>On time</v>
      </c>
      <c r="F954" t="s">
        <v>2406</v>
      </c>
      <c r="G954" t="s">
        <v>14</v>
      </c>
      <c r="H954" t="s">
        <v>15</v>
      </c>
      <c r="I954" t="s">
        <v>16</v>
      </c>
      <c r="J954" t="s">
        <v>146</v>
      </c>
      <c r="K954" t="s">
        <v>2407</v>
      </c>
      <c r="L954">
        <v>575.92999999999995</v>
      </c>
      <c r="M954">
        <v>9</v>
      </c>
      <c r="N954" t="str">
        <f>IF(Walmart[[#This Row],[Quantity]]&gt;=7,"Bulk",IF(Walmart[[#This Row],[Quantity]]&gt;=2,"Multi","Single"))</f>
        <v>Bulk</v>
      </c>
      <c r="O954">
        <v>57.59</v>
      </c>
      <c r="P954" t="str">
        <f>IF(Walmart[[#This Row],[Sales]]&gt;=1000,"High Value", IF(Walmart[[#This Row],[Sales]]&gt;=500,"Medium Value","Low Value"))</f>
        <v>Medium Value</v>
      </c>
    </row>
    <row r="955" spans="1:16" x14ac:dyDescent="0.3">
      <c r="A955" t="s">
        <v>1065</v>
      </c>
      <c r="B955" s="1">
        <v>41849</v>
      </c>
      <c r="C955" s="1" t="str">
        <f>TEXT(Walmart[[#This Row],[Order Date]],"mmmm")</f>
        <v>July</v>
      </c>
      <c r="D955" s="1">
        <v>41853</v>
      </c>
      <c r="E955" s="1" t="str">
        <f>IF(DATEDIF(Walmart[[#This Row],[Order Date]],Walmart[[#This Row],[Ship Date]],"D")&lt;7,"On time","Delayed")</f>
        <v>On time</v>
      </c>
      <c r="F955" t="s">
        <v>1066</v>
      </c>
      <c r="G955" t="s">
        <v>14</v>
      </c>
      <c r="H955" t="s">
        <v>37</v>
      </c>
      <c r="I955" t="s">
        <v>16</v>
      </c>
      <c r="J955" t="s">
        <v>27</v>
      </c>
      <c r="K955" t="s">
        <v>1067</v>
      </c>
      <c r="L955">
        <v>9.98</v>
      </c>
      <c r="M955">
        <v>4</v>
      </c>
      <c r="N955" t="str">
        <f>IF(Walmart[[#This Row],[Quantity]]&gt;=7,"Bulk",IF(Walmart[[#This Row],[Quantity]]&gt;=2,"Multi","Single"))</f>
        <v>Multi</v>
      </c>
      <c r="O955">
        <v>3.62</v>
      </c>
      <c r="P955" t="str">
        <f>IF(Walmart[[#This Row],[Sales]]&gt;=1000,"High Value", IF(Walmart[[#This Row],[Sales]]&gt;=500,"Medium Value","Low Value"))</f>
        <v>Low Value</v>
      </c>
    </row>
    <row r="956" spans="1:16" hidden="1" x14ac:dyDescent="0.3">
      <c r="A956" t="s">
        <v>2411</v>
      </c>
      <c r="B956" s="1">
        <v>40744</v>
      </c>
      <c r="C956" s="1" t="str">
        <f>TEXT(Walmart[[#This Row],[Order Date]],"mmmm")</f>
        <v>July</v>
      </c>
      <c r="D956" s="1">
        <v>40746</v>
      </c>
      <c r="E956" s="1" t="str">
        <f>IF(DATEDIF(Walmart[[#This Row],[Order Date]],Walmart[[#This Row],[Ship Date]],"D")&lt;7,"On time","Delayed")</f>
        <v>On time</v>
      </c>
      <c r="F956" t="s">
        <v>333</v>
      </c>
      <c r="G956" t="s">
        <v>14</v>
      </c>
      <c r="H956" t="s">
        <v>160</v>
      </c>
      <c r="I956" t="s">
        <v>16</v>
      </c>
      <c r="J956" t="s">
        <v>93</v>
      </c>
      <c r="K956" t="s">
        <v>2412</v>
      </c>
      <c r="L956">
        <v>104.85</v>
      </c>
      <c r="M956">
        <v>1</v>
      </c>
      <c r="N956" t="str">
        <f>IF(Walmart[[#This Row],[Quantity]]&gt;=7,"Bulk",IF(Walmart[[#This Row],[Quantity]]&gt;=2,"Multi","Single"))</f>
        <v>Single</v>
      </c>
      <c r="O956">
        <v>50.33</v>
      </c>
      <c r="P956" t="str">
        <f>IF(Walmart[[#This Row],[Sales]]&gt;=1000,"High Value", IF(Walmart[[#This Row],[Sales]]&gt;=500,"Medium Value","Low Value"))</f>
        <v>Low Value</v>
      </c>
    </row>
    <row r="957" spans="1:16" x14ac:dyDescent="0.3">
      <c r="A957" t="s">
        <v>3034</v>
      </c>
      <c r="B957" s="1">
        <v>41848</v>
      </c>
      <c r="C957" s="1" t="str">
        <f>TEXT(Walmart[[#This Row],[Order Date]],"mmmm")</f>
        <v>July</v>
      </c>
      <c r="D957" s="1">
        <v>41853</v>
      </c>
      <c r="E957" s="1" t="str">
        <f>IF(DATEDIF(Walmart[[#This Row],[Order Date]],Walmart[[#This Row],[Ship Date]],"D")&lt;7,"On time","Delayed")</f>
        <v>On time</v>
      </c>
      <c r="F957" t="s">
        <v>1146</v>
      </c>
      <c r="G957" t="s">
        <v>14</v>
      </c>
      <c r="H957" t="s">
        <v>25</v>
      </c>
      <c r="I957" t="s">
        <v>26</v>
      </c>
      <c r="J957" t="s">
        <v>21</v>
      </c>
      <c r="K957" t="s">
        <v>125</v>
      </c>
      <c r="L957">
        <v>23.88</v>
      </c>
      <c r="M957">
        <v>3</v>
      </c>
      <c r="N957" t="str">
        <f>IF(Walmart[[#This Row],[Quantity]]&gt;=7,"Bulk",IF(Walmart[[#This Row],[Quantity]]&gt;=2,"Multi","Single"))</f>
        <v>Multi</v>
      </c>
      <c r="O957">
        <v>10.51</v>
      </c>
      <c r="P957" t="str">
        <f>IF(Walmart[[#This Row],[Sales]]&gt;=1000,"High Value", IF(Walmart[[#This Row],[Sales]]&gt;=500,"Medium Value","Low Value"))</f>
        <v>Low Value</v>
      </c>
    </row>
    <row r="958" spans="1:16" x14ac:dyDescent="0.3">
      <c r="A958" t="s">
        <v>3079</v>
      </c>
      <c r="B958" s="1">
        <v>41847</v>
      </c>
      <c r="C958" s="1" t="str">
        <f>TEXT(Walmart[[#This Row],[Order Date]],"mmmm")</f>
        <v>July</v>
      </c>
      <c r="D958" s="1">
        <v>41853</v>
      </c>
      <c r="E958" s="1" t="str">
        <f>IF(DATEDIF(Walmart[[#This Row],[Order Date]],Walmart[[#This Row],[Ship Date]],"D")&lt;7,"On time","Delayed")</f>
        <v>On time</v>
      </c>
      <c r="F958" t="s">
        <v>2802</v>
      </c>
      <c r="G958" t="s">
        <v>14</v>
      </c>
      <c r="H958" t="s">
        <v>15</v>
      </c>
      <c r="I958" t="s">
        <v>16</v>
      </c>
      <c r="J958" t="s">
        <v>53</v>
      </c>
      <c r="K958" t="s">
        <v>2209</v>
      </c>
      <c r="L958">
        <v>1649.95</v>
      </c>
      <c r="M958">
        <v>5</v>
      </c>
      <c r="N958" t="str">
        <f>IF(Walmart[[#This Row],[Quantity]]&gt;=7,"Bulk",IF(Walmart[[#This Row],[Quantity]]&gt;=2,"Multi","Single"))</f>
        <v>Multi</v>
      </c>
      <c r="O958">
        <v>659.98</v>
      </c>
      <c r="P958" t="str">
        <f>IF(Walmart[[#This Row],[Sales]]&gt;=1000,"High Value", IF(Walmart[[#This Row],[Sales]]&gt;=500,"Medium Value","Low Value"))</f>
        <v>High Value</v>
      </c>
    </row>
    <row r="959" spans="1:16" hidden="1" x14ac:dyDescent="0.3">
      <c r="A959" t="s">
        <v>2417</v>
      </c>
      <c r="B959" s="1">
        <v>40887</v>
      </c>
      <c r="C959" s="1" t="str">
        <f>TEXT(Walmart[[#This Row],[Order Date]],"mmmm")</f>
        <v>December</v>
      </c>
      <c r="D959" s="1">
        <v>40891</v>
      </c>
      <c r="E959" s="1" t="str">
        <f>IF(DATEDIF(Walmart[[#This Row],[Order Date]],Walmart[[#This Row],[Ship Date]],"D")&lt;7,"On time","Delayed")</f>
        <v>On time</v>
      </c>
      <c r="F959" t="s">
        <v>96</v>
      </c>
      <c r="G959" t="s">
        <v>14</v>
      </c>
      <c r="H959" t="s">
        <v>2418</v>
      </c>
      <c r="I959" t="s">
        <v>1438</v>
      </c>
      <c r="J959" t="s">
        <v>88</v>
      </c>
      <c r="K959" t="s">
        <v>2419</v>
      </c>
      <c r="L959">
        <v>338.35</v>
      </c>
      <c r="M959">
        <v>3</v>
      </c>
      <c r="N959" t="str">
        <f>IF(Walmart[[#This Row],[Quantity]]&gt;=7,"Bulk",IF(Walmart[[#This Row],[Quantity]]&gt;=2,"Multi","Single"))</f>
        <v>Multi</v>
      </c>
      <c r="O959">
        <v>4.2300000000000004</v>
      </c>
      <c r="P959" t="str">
        <f>IF(Walmart[[#This Row],[Sales]]&gt;=1000,"High Value", IF(Walmart[[#This Row],[Sales]]&gt;=500,"Medium Value","Low Value"))</f>
        <v>Low Value</v>
      </c>
    </row>
    <row r="960" spans="1:16" hidden="1" x14ac:dyDescent="0.3">
      <c r="A960" t="s">
        <v>2420</v>
      </c>
      <c r="B960" s="1">
        <v>40890</v>
      </c>
      <c r="C960" s="1" t="str">
        <f>TEXT(Walmart[[#This Row],[Order Date]],"mmmm")</f>
        <v>December</v>
      </c>
      <c r="D960" s="1">
        <v>40894</v>
      </c>
      <c r="E960" s="1" t="str">
        <f>IF(DATEDIF(Walmart[[#This Row],[Order Date]],Walmart[[#This Row],[Ship Date]],"D")&lt;7,"On time","Delayed")</f>
        <v>On time</v>
      </c>
      <c r="F960" t="s">
        <v>2421</v>
      </c>
      <c r="G960" t="s">
        <v>14</v>
      </c>
      <c r="H960" t="s">
        <v>84</v>
      </c>
      <c r="I960" t="s">
        <v>58</v>
      </c>
      <c r="J960" t="s">
        <v>21</v>
      </c>
      <c r="K960" t="s">
        <v>2422</v>
      </c>
      <c r="L960">
        <v>87.96</v>
      </c>
      <c r="M960">
        <v>3</v>
      </c>
      <c r="N960" t="str">
        <f>IF(Walmart[[#This Row],[Quantity]]&gt;=7,"Bulk",IF(Walmart[[#This Row],[Quantity]]&gt;=2,"Multi","Single"))</f>
        <v>Multi</v>
      </c>
      <c r="O960">
        <v>7.7</v>
      </c>
      <c r="P960" t="str">
        <f>IF(Walmart[[#This Row],[Sales]]&gt;=1000,"High Value", IF(Walmart[[#This Row],[Sales]]&gt;=500,"Medium Value","Low Value"))</f>
        <v>Low Value</v>
      </c>
    </row>
    <row r="961" spans="1:16" x14ac:dyDescent="0.3">
      <c r="A961" t="s">
        <v>2674</v>
      </c>
      <c r="B961" s="1">
        <v>41845</v>
      </c>
      <c r="C961" s="1" t="str">
        <f>TEXT(Walmart[[#This Row],[Order Date]],"mmmm")</f>
        <v>July</v>
      </c>
      <c r="D961" s="1">
        <v>41845</v>
      </c>
      <c r="E961" s="1" t="str">
        <f>IF(DATEDIF(Walmart[[#This Row],[Order Date]],Walmart[[#This Row],[Ship Date]],"D")&lt;7,"On time","Delayed")</f>
        <v>On time</v>
      </c>
      <c r="F961" t="s">
        <v>597</v>
      </c>
      <c r="G961" t="s">
        <v>14</v>
      </c>
      <c r="H961" t="s">
        <v>237</v>
      </c>
      <c r="I961" t="s">
        <v>16</v>
      </c>
      <c r="J961" t="s">
        <v>287</v>
      </c>
      <c r="K961" t="s">
        <v>1912</v>
      </c>
      <c r="L961">
        <v>2399.96</v>
      </c>
      <c r="M961">
        <v>5</v>
      </c>
      <c r="N961" t="str">
        <f>IF(Walmart[[#This Row],[Quantity]]&gt;=7,"Bulk",IF(Walmart[[#This Row],[Quantity]]&gt;=2,"Multi","Single"))</f>
        <v>Multi</v>
      </c>
      <c r="O961">
        <v>839.99</v>
      </c>
      <c r="P961" t="str">
        <f>IF(Walmart[[#This Row],[Sales]]&gt;=1000,"High Value", IF(Walmart[[#This Row],[Sales]]&gt;=500,"Medium Value","Low Value"))</f>
        <v>High Value</v>
      </c>
    </row>
    <row r="962" spans="1:16" hidden="1" x14ac:dyDescent="0.3">
      <c r="A962" t="s">
        <v>2425</v>
      </c>
      <c r="B962" s="1">
        <v>41273</v>
      </c>
      <c r="C962" s="1" t="str">
        <f>TEXT(Walmart[[#This Row],[Order Date]],"mmmm")</f>
        <v>December</v>
      </c>
      <c r="D962" s="1">
        <v>41277</v>
      </c>
      <c r="E962" s="1" t="str">
        <f>IF(DATEDIF(Walmart[[#This Row],[Order Date]],Walmart[[#This Row],[Ship Date]],"D")&lt;7,"On time","Delayed")</f>
        <v>On time</v>
      </c>
      <c r="F962" t="s">
        <v>411</v>
      </c>
      <c r="G962" t="s">
        <v>14</v>
      </c>
      <c r="H962" t="s">
        <v>15</v>
      </c>
      <c r="I962" t="s">
        <v>16</v>
      </c>
      <c r="J962" t="s">
        <v>93</v>
      </c>
      <c r="K962" t="s">
        <v>2426</v>
      </c>
      <c r="L962">
        <v>68.52</v>
      </c>
      <c r="M962">
        <v>3</v>
      </c>
      <c r="N962" t="str">
        <f>IF(Walmart[[#This Row],[Quantity]]&gt;=7,"Bulk",IF(Walmart[[#This Row],[Quantity]]&gt;=2,"Multi","Single"))</f>
        <v>Multi</v>
      </c>
      <c r="O962">
        <v>31.52</v>
      </c>
      <c r="P962" t="str">
        <f>IF(Walmart[[#This Row],[Sales]]&gt;=1000,"High Value", IF(Walmart[[#This Row],[Sales]]&gt;=500,"Medium Value","Low Value"))</f>
        <v>Low Value</v>
      </c>
    </row>
    <row r="963" spans="1:16" hidden="1" x14ac:dyDescent="0.3">
      <c r="A963" t="s">
        <v>2427</v>
      </c>
      <c r="B963" s="1">
        <v>41344</v>
      </c>
      <c r="C963" s="1" t="str">
        <f>TEXT(Walmart[[#This Row],[Order Date]],"mmmm")</f>
        <v>March</v>
      </c>
      <c r="D963" s="1">
        <v>41345</v>
      </c>
      <c r="E963" s="1" t="str">
        <f>IF(DATEDIF(Walmart[[#This Row],[Order Date]],Walmart[[#This Row],[Ship Date]],"D")&lt;7,"On time","Delayed")</f>
        <v>On time</v>
      </c>
      <c r="F963" t="s">
        <v>1043</v>
      </c>
      <c r="G963" t="s">
        <v>14</v>
      </c>
      <c r="H963" t="s">
        <v>15</v>
      </c>
      <c r="I963" t="s">
        <v>16</v>
      </c>
      <c r="J963" t="s">
        <v>93</v>
      </c>
      <c r="K963" t="s">
        <v>2428</v>
      </c>
      <c r="L963">
        <v>14.9</v>
      </c>
      <c r="M963">
        <v>5</v>
      </c>
      <c r="N963" t="str">
        <f>IF(Walmart[[#This Row],[Quantity]]&gt;=7,"Bulk",IF(Walmart[[#This Row],[Quantity]]&gt;=2,"Multi","Single"))</f>
        <v>Multi</v>
      </c>
      <c r="O963">
        <v>7.15</v>
      </c>
      <c r="P963" t="str">
        <f>IF(Walmart[[#This Row],[Sales]]&gt;=1000,"High Value", IF(Walmart[[#This Row],[Sales]]&gt;=500,"Medium Value","Low Value"))</f>
        <v>Low Value</v>
      </c>
    </row>
    <row r="964" spans="1:16" hidden="1" x14ac:dyDescent="0.3">
      <c r="A964" t="s">
        <v>2429</v>
      </c>
      <c r="B964" s="1">
        <v>40639</v>
      </c>
      <c r="C964" s="1" t="str">
        <f>TEXT(Walmart[[#This Row],[Order Date]],"mmmm")</f>
        <v>April</v>
      </c>
      <c r="D964" s="1">
        <v>40645</v>
      </c>
      <c r="E964" s="1" t="str">
        <f>IF(DATEDIF(Walmart[[#This Row],[Order Date]],Walmart[[#This Row],[Ship Date]],"D")&lt;7,"On time","Delayed")</f>
        <v>On time</v>
      </c>
      <c r="F964" t="s">
        <v>1402</v>
      </c>
      <c r="G964" t="s">
        <v>14</v>
      </c>
      <c r="H964" t="s">
        <v>15</v>
      </c>
      <c r="I964" t="s">
        <v>16</v>
      </c>
      <c r="J964" t="s">
        <v>21</v>
      </c>
      <c r="K964" t="s">
        <v>2430</v>
      </c>
      <c r="L964">
        <v>91.96</v>
      </c>
      <c r="M964">
        <v>2</v>
      </c>
      <c r="N964" t="str">
        <f>IF(Walmart[[#This Row],[Quantity]]&gt;=7,"Bulk",IF(Walmart[[#This Row],[Quantity]]&gt;=2,"Multi","Single"))</f>
        <v>Multi</v>
      </c>
      <c r="O964">
        <v>15.63</v>
      </c>
      <c r="P964" t="str">
        <f>IF(Walmart[[#This Row],[Sales]]&gt;=1000,"High Value", IF(Walmart[[#This Row],[Sales]]&gt;=500,"Medium Value","Low Value"))</f>
        <v>Low Value</v>
      </c>
    </row>
    <row r="965" spans="1:16" x14ac:dyDescent="0.3">
      <c r="A965" t="s">
        <v>3341</v>
      </c>
      <c r="B965" s="1">
        <v>41844</v>
      </c>
      <c r="C965" s="1" t="str">
        <f>TEXT(Walmart[[#This Row],[Order Date]],"mmmm")</f>
        <v>July</v>
      </c>
      <c r="D965" s="1">
        <v>41847</v>
      </c>
      <c r="E965" s="1" t="str">
        <f>IF(DATEDIF(Walmart[[#This Row],[Order Date]],Walmart[[#This Row],[Ship Date]],"D")&lt;7,"On time","Delayed")</f>
        <v>On time</v>
      </c>
      <c r="F965" t="s">
        <v>179</v>
      </c>
      <c r="G965" t="s">
        <v>14</v>
      </c>
      <c r="H965" t="s">
        <v>15</v>
      </c>
      <c r="I965" t="s">
        <v>16</v>
      </c>
      <c r="J965" t="s">
        <v>27</v>
      </c>
      <c r="K965" t="s">
        <v>3342</v>
      </c>
      <c r="L965">
        <v>15.19</v>
      </c>
      <c r="M965">
        <v>3</v>
      </c>
      <c r="N965" t="str">
        <f>IF(Walmart[[#This Row],[Quantity]]&gt;=7,"Bulk",IF(Walmart[[#This Row],[Quantity]]&gt;=2,"Multi","Single"))</f>
        <v>Multi</v>
      </c>
      <c r="O965">
        <v>5.51</v>
      </c>
      <c r="P965" t="str">
        <f>IF(Walmart[[#This Row],[Sales]]&gt;=1000,"High Value", IF(Walmart[[#This Row],[Sales]]&gt;=500,"Medium Value","Low Value"))</f>
        <v>Low Value</v>
      </c>
    </row>
    <row r="966" spans="1:16" hidden="1" x14ac:dyDescent="0.3">
      <c r="A966" t="s">
        <v>2433</v>
      </c>
      <c r="B966" s="1">
        <v>41593</v>
      </c>
      <c r="C966" s="1" t="str">
        <f>TEXT(Walmart[[#This Row],[Order Date]],"mmmm")</f>
        <v>November</v>
      </c>
      <c r="D966" s="1">
        <v>41594</v>
      </c>
      <c r="E966" s="1" t="str">
        <f>IF(DATEDIF(Walmart[[#This Row],[Order Date]],Walmart[[#This Row],[Ship Date]],"D")&lt;7,"On time","Delayed")</f>
        <v>On time</v>
      </c>
      <c r="F966" t="s">
        <v>1559</v>
      </c>
      <c r="G966" t="s">
        <v>14</v>
      </c>
      <c r="H966" t="s">
        <v>15</v>
      </c>
      <c r="I966" t="s">
        <v>16</v>
      </c>
      <c r="J966" t="s">
        <v>38</v>
      </c>
      <c r="K966" t="s">
        <v>2269</v>
      </c>
      <c r="L966">
        <v>9.84</v>
      </c>
      <c r="M966">
        <v>3</v>
      </c>
      <c r="N966" t="str">
        <f>IF(Walmart[[#This Row],[Quantity]]&gt;=7,"Bulk",IF(Walmart[[#This Row],[Quantity]]&gt;=2,"Multi","Single"))</f>
        <v>Multi</v>
      </c>
      <c r="O966">
        <v>2.85</v>
      </c>
      <c r="P966" t="str">
        <f>IF(Walmart[[#This Row],[Sales]]&gt;=1000,"High Value", IF(Walmart[[#This Row],[Sales]]&gt;=500,"Medium Value","Low Value"))</f>
        <v>Low Value</v>
      </c>
    </row>
    <row r="967" spans="1:16" hidden="1" x14ac:dyDescent="0.3">
      <c r="A967" t="s">
        <v>2434</v>
      </c>
      <c r="B967" s="1">
        <v>41257</v>
      </c>
      <c r="C967" s="1" t="str">
        <f>TEXT(Walmart[[#This Row],[Order Date]],"mmmm")</f>
        <v>December</v>
      </c>
      <c r="D967" s="1">
        <v>41261</v>
      </c>
      <c r="E967" s="1" t="str">
        <f>IF(DATEDIF(Walmart[[#This Row],[Order Date]],Walmart[[#This Row],[Ship Date]],"D")&lt;7,"On time","Delayed")</f>
        <v>On time</v>
      </c>
      <c r="F967" t="s">
        <v>2284</v>
      </c>
      <c r="G967" t="s">
        <v>14</v>
      </c>
      <c r="H967" t="s">
        <v>15</v>
      </c>
      <c r="I967" t="s">
        <v>16</v>
      </c>
      <c r="J967" t="s">
        <v>21</v>
      </c>
      <c r="K967" t="s">
        <v>2435</v>
      </c>
      <c r="L967">
        <v>15.24</v>
      </c>
      <c r="M967">
        <v>3</v>
      </c>
      <c r="N967" t="str">
        <f>IF(Walmart[[#This Row],[Quantity]]&gt;=7,"Bulk",IF(Walmart[[#This Row],[Quantity]]&gt;=2,"Multi","Single"))</f>
        <v>Multi</v>
      </c>
      <c r="O967">
        <v>5.18</v>
      </c>
      <c r="P967" t="str">
        <f>IF(Walmart[[#This Row],[Sales]]&gt;=1000,"High Value", IF(Walmart[[#This Row],[Sales]]&gt;=500,"Medium Value","Low Value"))</f>
        <v>Low Value</v>
      </c>
    </row>
    <row r="968" spans="1:16" x14ac:dyDescent="0.3">
      <c r="A968" t="s">
        <v>1788</v>
      </c>
      <c r="B968" s="1">
        <v>41842</v>
      </c>
      <c r="C968" s="1" t="str">
        <f>TEXT(Walmart[[#This Row],[Order Date]],"mmmm")</f>
        <v>July</v>
      </c>
      <c r="D968" s="1">
        <v>41842</v>
      </c>
      <c r="E968" s="1" t="str">
        <f>IF(DATEDIF(Walmart[[#This Row],[Order Date]],Walmart[[#This Row],[Ship Date]],"D")&lt;7,"On time","Delayed")</f>
        <v>On time</v>
      </c>
      <c r="F968" t="s">
        <v>327</v>
      </c>
      <c r="G968" t="s">
        <v>14</v>
      </c>
      <c r="H968" t="s">
        <v>1315</v>
      </c>
      <c r="I968" t="s">
        <v>32</v>
      </c>
      <c r="J968" t="s">
        <v>146</v>
      </c>
      <c r="K968" t="s">
        <v>1789</v>
      </c>
      <c r="L968">
        <v>71.930000000000007</v>
      </c>
      <c r="M968">
        <v>9</v>
      </c>
      <c r="N968" t="str">
        <f>IF(Walmart[[#This Row],[Quantity]]&gt;=7,"Bulk",IF(Walmart[[#This Row],[Quantity]]&gt;=2,"Multi","Single"))</f>
        <v>Bulk</v>
      </c>
      <c r="O968">
        <v>6.29</v>
      </c>
      <c r="P968" t="str">
        <f>IF(Walmart[[#This Row],[Sales]]&gt;=1000,"High Value", IF(Walmart[[#This Row],[Sales]]&gt;=500,"Medium Value","Low Value"))</f>
        <v>Low Value</v>
      </c>
    </row>
    <row r="969" spans="1:16" hidden="1" x14ac:dyDescent="0.3">
      <c r="A969" t="s">
        <v>2438</v>
      </c>
      <c r="B969" s="1">
        <v>41309</v>
      </c>
      <c r="C969" s="1" t="str">
        <f>TEXT(Walmart[[#This Row],[Order Date]],"mmmm")</f>
        <v>February</v>
      </c>
      <c r="D969" s="1">
        <v>41313</v>
      </c>
      <c r="E969" s="1" t="str">
        <f>IF(DATEDIF(Walmart[[#This Row],[Order Date]],Walmart[[#This Row],[Ship Date]],"D")&lt;7,"On time","Delayed")</f>
        <v>On time</v>
      </c>
      <c r="F969" t="s">
        <v>179</v>
      </c>
      <c r="G969" t="s">
        <v>14</v>
      </c>
      <c r="H969" t="s">
        <v>367</v>
      </c>
      <c r="I969" t="s">
        <v>58</v>
      </c>
      <c r="J969" t="s">
        <v>21</v>
      </c>
      <c r="K969" t="s">
        <v>2439</v>
      </c>
      <c r="L969">
        <v>14.37</v>
      </c>
      <c r="M969">
        <v>2</v>
      </c>
      <c r="N969" t="str">
        <f>IF(Walmart[[#This Row],[Quantity]]&gt;=7,"Bulk",IF(Walmart[[#This Row],[Quantity]]&gt;=2,"Multi","Single"))</f>
        <v>Multi</v>
      </c>
      <c r="O969">
        <v>3.95</v>
      </c>
      <c r="P969" t="str">
        <f>IF(Walmart[[#This Row],[Sales]]&gt;=1000,"High Value", IF(Walmart[[#This Row],[Sales]]&gt;=500,"Medium Value","Low Value"))</f>
        <v>Low Value</v>
      </c>
    </row>
    <row r="970" spans="1:16" hidden="1" x14ac:dyDescent="0.3">
      <c r="A970" t="s">
        <v>2440</v>
      </c>
      <c r="B970" s="1">
        <v>41155</v>
      </c>
      <c r="C970" s="1" t="str">
        <f>TEXT(Walmart[[#This Row],[Order Date]],"mmmm")</f>
        <v>September</v>
      </c>
      <c r="D970" s="1">
        <v>41160</v>
      </c>
      <c r="E970" s="1" t="str">
        <f>IF(DATEDIF(Walmart[[#This Row],[Order Date]],Walmart[[#This Row],[Ship Date]],"D")&lt;7,"On time","Delayed")</f>
        <v>On time</v>
      </c>
      <c r="F970" t="s">
        <v>2441</v>
      </c>
      <c r="G970" t="s">
        <v>14</v>
      </c>
      <c r="H970" t="s">
        <v>215</v>
      </c>
      <c r="I970" t="s">
        <v>58</v>
      </c>
      <c r="J970" t="s">
        <v>21</v>
      </c>
      <c r="K970" t="s">
        <v>805</v>
      </c>
      <c r="L970">
        <v>238.15</v>
      </c>
      <c r="M970">
        <v>3</v>
      </c>
      <c r="N970" t="str">
        <f>IF(Walmart[[#This Row],[Quantity]]&gt;=7,"Bulk",IF(Walmart[[#This Row],[Quantity]]&gt;=2,"Multi","Single"))</f>
        <v>Multi</v>
      </c>
      <c r="O970">
        <v>89.31</v>
      </c>
      <c r="P970" t="str">
        <f>IF(Walmart[[#This Row],[Sales]]&gt;=1000,"High Value", IF(Walmart[[#This Row],[Sales]]&gt;=500,"Medium Value","Low Value"))</f>
        <v>Low Value</v>
      </c>
    </row>
    <row r="971" spans="1:16" hidden="1" x14ac:dyDescent="0.3">
      <c r="A971" t="s">
        <v>2442</v>
      </c>
      <c r="B971" s="1">
        <v>41268</v>
      </c>
      <c r="C971" s="1" t="str">
        <f>TEXT(Walmart[[#This Row],[Order Date]],"mmmm")</f>
        <v>December</v>
      </c>
      <c r="D971" s="1">
        <v>41273</v>
      </c>
      <c r="E971" s="1" t="str">
        <f>IF(DATEDIF(Walmart[[#This Row],[Order Date]],Walmart[[#This Row],[Ship Date]],"D")&lt;7,"On time","Delayed")</f>
        <v>On time</v>
      </c>
      <c r="F971" t="s">
        <v>1600</v>
      </c>
      <c r="G971" t="s">
        <v>14</v>
      </c>
      <c r="H971" t="s">
        <v>160</v>
      </c>
      <c r="I971" t="s">
        <v>16</v>
      </c>
      <c r="J971" t="s">
        <v>287</v>
      </c>
      <c r="K971" t="s">
        <v>1900</v>
      </c>
      <c r="L971">
        <v>1199.96</v>
      </c>
      <c r="M971">
        <v>5</v>
      </c>
      <c r="N971" t="str">
        <f>IF(Walmart[[#This Row],[Quantity]]&gt;=7,"Bulk",IF(Walmart[[#This Row],[Quantity]]&gt;=2,"Multi","Single"))</f>
        <v>Multi</v>
      </c>
      <c r="O971">
        <v>224.99</v>
      </c>
      <c r="P971" t="str">
        <f>IF(Walmart[[#This Row],[Sales]]&gt;=1000,"High Value", IF(Walmart[[#This Row],[Sales]]&gt;=500,"Medium Value","Low Value"))</f>
        <v>High Value</v>
      </c>
    </row>
    <row r="972" spans="1:16" x14ac:dyDescent="0.3">
      <c r="A972" t="s">
        <v>2616</v>
      </c>
      <c r="B972" s="1">
        <v>41842</v>
      </c>
      <c r="C972" s="1" t="str">
        <f>TEXT(Walmart[[#This Row],[Order Date]],"mmmm")</f>
        <v>July</v>
      </c>
      <c r="D972" s="1">
        <v>41846</v>
      </c>
      <c r="E972" s="1" t="str">
        <f>IF(DATEDIF(Walmart[[#This Row],[Order Date]],Walmart[[#This Row],[Ship Date]],"D")&lt;7,"On time","Delayed")</f>
        <v>On time</v>
      </c>
      <c r="F972" t="s">
        <v>2094</v>
      </c>
      <c r="G972" t="s">
        <v>14</v>
      </c>
      <c r="H972" t="s">
        <v>160</v>
      </c>
      <c r="I972" t="s">
        <v>16</v>
      </c>
      <c r="J972" t="s">
        <v>93</v>
      </c>
      <c r="K972" t="s">
        <v>2617</v>
      </c>
      <c r="L972">
        <v>16.34</v>
      </c>
      <c r="M972">
        <v>2</v>
      </c>
      <c r="N972" t="str">
        <f>IF(Walmart[[#This Row],[Quantity]]&gt;=7,"Bulk",IF(Walmart[[#This Row],[Quantity]]&gt;=2,"Multi","Single"))</f>
        <v>Multi</v>
      </c>
      <c r="O972">
        <v>7.68</v>
      </c>
      <c r="P972" t="str">
        <f>IF(Walmart[[#This Row],[Sales]]&gt;=1000,"High Value", IF(Walmart[[#This Row],[Sales]]&gt;=500,"Medium Value","Low Value"))</f>
        <v>Low Value</v>
      </c>
    </row>
    <row r="973" spans="1:16" x14ac:dyDescent="0.3">
      <c r="A973" t="s">
        <v>2747</v>
      </c>
      <c r="B973" s="1">
        <v>41842</v>
      </c>
      <c r="C973" s="1" t="str">
        <f>TEXT(Walmart[[#This Row],[Order Date]],"mmmm")</f>
        <v>July</v>
      </c>
      <c r="D973" s="1">
        <v>41846</v>
      </c>
      <c r="E973" s="1" t="str">
        <f>IF(DATEDIF(Walmart[[#This Row],[Order Date]],Walmart[[#This Row],[Ship Date]],"D")&lt;7,"On time","Delayed")</f>
        <v>On time</v>
      </c>
      <c r="F973" t="s">
        <v>369</v>
      </c>
      <c r="G973" t="s">
        <v>14</v>
      </c>
      <c r="H973" t="s">
        <v>251</v>
      </c>
      <c r="I973" t="s">
        <v>16</v>
      </c>
      <c r="J973" t="s">
        <v>38</v>
      </c>
      <c r="K973" t="s">
        <v>2748</v>
      </c>
      <c r="L973">
        <v>3.52</v>
      </c>
      <c r="M973">
        <v>2</v>
      </c>
      <c r="N973" t="str">
        <f>IF(Walmart[[#This Row],[Quantity]]&gt;=7,"Bulk",IF(Walmart[[#This Row],[Quantity]]&gt;=2,"Multi","Single"))</f>
        <v>Multi</v>
      </c>
      <c r="O973">
        <v>1.69</v>
      </c>
      <c r="P973" t="str">
        <f>IF(Walmart[[#This Row],[Sales]]&gt;=1000,"High Value", IF(Walmart[[#This Row],[Sales]]&gt;=500,"Medium Value","Low Value"))</f>
        <v>Low Value</v>
      </c>
    </row>
    <row r="974" spans="1:16" hidden="1" x14ac:dyDescent="0.3">
      <c r="A974" t="s">
        <v>2445</v>
      </c>
      <c r="B974" s="1">
        <v>41257</v>
      </c>
      <c r="C974" s="1" t="str">
        <f>TEXT(Walmart[[#This Row],[Order Date]],"mmmm")</f>
        <v>December</v>
      </c>
      <c r="D974" s="1">
        <v>41261</v>
      </c>
      <c r="E974" s="1" t="str">
        <f>IF(DATEDIF(Walmart[[#This Row],[Order Date]],Walmart[[#This Row],[Ship Date]],"D")&lt;7,"On time","Delayed")</f>
        <v>On time</v>
      </c>
      <c r="F974" t="s">
        <v>46</v>
      </c>
      <c r="G974" t="s">
        <v>14</v>
      </c>
      <c r="H974" t="s">
        <v>274</v>
      </c>
      <c r="I974" t="s">
        <v>16</v>
      </c>
      <c r="J974" t="s">
        <v>21</v>
      </c>
      <c r="K974" t="s">
        <v>125</v>
      </c>
      <c r="L974">
        <v>29.22</v>
      </c>
      <c r="M974">
        <v>3</v>
      </c>
      <c r="N974" t="str">
        <f>IF(Walmart[[#This Row],[Quantity]]&gt;=7,"Bulk",IF(Walmart[[#This Row],[Quantity]]&gt;=2,"Multi","Single"))</f>
        <v>Multi</v>
      </c>
      <c r="O974">
        <v>12.86</v>
      </c>
      <c r="P974" t="str">
        <f>IF(Walmart[[#This Row],[Sales]]&gt;=1000,"High Value", IF(Walmart[[#This Row],[Sales]]&gt;=500,"Medium Value","Low Value"))</f>
        <v>Low Value</v>
      </c>
    </row>
    <row r="975" spans="1:16" x14ac:dyDescent="0.3">
      <c r="A975" t="s">
        <v>1676</v>
      </c>
      <c r="B975" s="1">
        <v>41839</v>
      </c>
      <c r="C975" s="1" t="str">
        <f>TEXT(Walmart[[#This Row],[Order Date]],"mmmm")</f>
        <v>July</v>
      </c>
      <c r="D975" s="1">
        <v>41844</v>
      </c>
      <c r="E975" s="1" t="str">
        <f>IF(DATEDIF(Walmart[[#This Row],[Order Date]],Walmart[[#This Row],[Ship Date]],"D")&lt;7,"On time","Delayed")</f>
        <v>On time</v>
      </c>
      <c r="F975" t="s">
        <v>1677</v>
      </c>
      <c r="G975" t="s">
        <v>14</v>
      </c>
      <c r="H975" t="s">
        <v>84</v>
      </c>
      <c r="I975" t="s">
        <v>58</v>
      </c>
      <c r="J975" t="s">
        <v>43</v>
      </c>
      <c r="K975" t="s">
        <v>1573</v>
      </c>
      <c r="L975">
        <v>801.6</v>
      </c>
      <c r="M975">
        <v>5</v>
      </c>
      <c r="N975" t="str">
        <f>IF(Walmart[[#This Row],[Quantity]]&gt;=7,"Bulk",IF(Walmart[[#This Row],[Quantity]]&gt;=2,"Multi","Single"))</f>
        <v>Multi</v>
      </c>
      <c r="O975">
        <v>-448.9</v>
      </c>
      <c r="P975" t="str">
        <f>IF(Walmart[[#This Row],[Sales]]&gt;=1000,"High Value", IF(Walmart[[#This Row],[Sales]]&gt;=500,"Medium Value","Low Value"))</f>
        <v>Medium Value</v>
      </c>
    </row>
    <row r="976" spans="1:16" hidden="1" x14ac:dyDescent="0.3">
      <c r="A976" t="s">
        <v>2447</v>
      </c>
      <c r="B976" s="1">
        <v>41348</v>
      </c>
      <c r="C976" s="1" t="str">
        <f>TEXT(Walmart[[#This Row],[Order Date]],"mmmm")</f>
        <v>March</v>
      </c>
      <c r="D976" s="1">
        <v>41354</v>
      </c>
      <c r="E976" s="1" t="str">
        <f>IF(DATEDIF(Walmart[[#This Row],[Order Date]],Walmart[[#This Row],[Ship Date]],"D")&lt;7,"On time","Delayed")</f>
        <v>On time</v>
      </c>
      <c r="F976" t="s">
        <v>108</v>
      </c>
      <c r="G976" t="s">
        <v>14</v>
      </c>
      <c r="H976" t="s">
        <v>2448</v>
      </c>
      <c r="I976" t="s">
        <v>16</v>
      </c>
      <c r="J976" t="s">
        <v>27</v>
      </c>
      <c r="K976" t="s">
        <v>1730</v>
      </c>
      <c r="L976">
        <v>41.9</v>
      </c>
      <c r="M976">
        <v>6</v>
      </c>
      <c r="N976" t="str">
        <f>IF(Walmart[[#This Row],[Quantity]]&gt;=7,"Bulk",IF(Walmart[[#This Row],[Quantity]]&gt;=2,"Multi","Single"))</f>
        <v>Multi</v>
      </c>
      <c r="O976">
        <v>14.14</v>
      </c>
      <c r="P976" t="str">
        <f>IF(Walmart[[#This Row],[Sales]]&gt;=1000,"High Value", IF(Walmart[[#This Row],[Sales]]&gt;=500,"Medium Value","Low Value"))</f>
        <v>Low Value</v>
      </c>
    </row>
    <row r="977" spans="1:16" x14ac:dyDescent="0.3">
      <c r="A977" t="s">
        <v>1899</v>
      </c>
      <c r="B977" s="1">
        <v>41838</v>
      </c>
      <c r="C977" s="1" t="str">
        <f>TEXT(Walmart[[#This Row],[Order Date]],"mmmm")</f>
        <v>July</v>
      </c>
      <c r="D977" s="1">
        <v>41842</v>
      </c>
      <c r="E977" s="1" t="str">
        <f>IF(DATEDIF(Walmart[[#This Row],[Order Date]],Walmart[[#This Row],[Ship Date]],"D")&lt;7,"On time","Delayed")</f>
        <v>On time</v>
      </c>
      <c r="F977" t="s">
        <v>1283</v>
      </c>
      <c r="G977" t="s">
        <v>14</v>
      </c>
      <c r="H977" t="s">
        <v>15</v>
      </c>
      <c r="I977" t="s">
        <v>16</v>
      </c>
      <c r="J977" t="s">
        <v>287</v>
      </c>
      <c r="K977" t="s">
        <v>1900</v>
      </c>
      <c r="L977">
        <v>479.98</v>
      </c>
      <c r="M977">
        <v>2</v>
      </c>
      <c r="N977" t="str">
        <f>IF(Walmart[[#This Row],[Quantity]]&gt;=7,"Bulk",IF(Walmart[[#This Row],[Quantity]]&gt;=2,"Multi","Single"))</f>
        <v>Multi</v>
      </c>
      <c r="O977">
        <v>90</v>
      </c>
      <c r="P977" t="str">
        <f>IF(Walmart[[#This Row],[Sales]]&gt;=1000,"High Value", IF(Walmart[[#This Row],[Sales]]&gt;=500,"Medium Value","Low Value"))</f>
        <v>Low Value</v>
      </c>
    </row>
    <row r="978" spans="1:16" x14ac:dyDescent="0.3">
      <c r="A978" t="s">
        <v>2291</v>
      </c>
      <c r="B978" s="1">
        <v>41838</v>
      </c>
      <c r="C978" s="1" t="str">
        <f>TEXT(Walmart[[#This Row],[Order Date]],"mmmm")</f>
        <v>July</v>
      </c>
      <c r="D978" s="1">
        <v>41840</v>
      </c>
      <c r="E978" s="1" t="str">
        <f>IF(DATEDIF(Walmart[[#This Row],[Order Date]],Walmart[[#This Row],[Ship Date]],"D")&lt;7,"On time","Delayed")</f>
        <v>On time</v>
      </c>
      <c r="F978" t="s">
        <v>1280</v>
      </c>
      <c r="G978" t="s">
        <v>14</v>
      </c>
      <c r="H978" t="s">
        <v>1452</v>
      </c>
      <c r="I978" t="s">
        <v>16</v>
      </c>
      <c r="J978" t="s">
        <v>93</v>
      </c>
      <c r="K978" t="s">
        <v>2292</v>
      </c>
      <c r="L978">
        <v>32.4</v>
      </c>
      <c r="M978">
        <v>5</v>
      </c>
      <c r="N978" t="str">
        <f>IF(Walmart[[#This Row],[Quantity]]&gt;=7,"Bulk",IF(Walmart[[#This Row],[Quantity]]&gt;=2,"Multi","Single"))</f>
        <v>Multi</v>
      </c>
      <c r="O978">
        <v>15.55</v>
      </c>
      <c r="P978" t="str">
        <f>IF(Walmart[[#This Row],[Sales]]&gt;=1000,"High Value", IF(Walmart[[#This Row],[Sales]]&gt;=500,"Medium Value","Low Value"))</f>
        <v>Low Value</v>
      </c>
    </row>
    <row r="979" spans="1:16" hidden="1" x14ac:dyDescent="0.3">
      <c r="A979" t="s">
        <v>2454</v>
      </c>
      <c r="B979" s="1">
        <v>40841</v>
      </c>
      <c r="C979" s="1" t="str">
        <f>TEXT(Walmart[[#This Row],[Order Date]],"mmmm")</f>
        <v>October</v>
      </c>
      <c r="D979" s="1">
        <v>40844</v>
      </c>
      <c r="E979" s="1" t="str">
        <f>IF(DATEDIF(Walmart[[#This Row],[Order Date]],Walmart[[#This Row],[Ship Date]],"D")&lt;7,"On time","Delayed")</f>
        <v>On time</v>
      </c>
      <c r="F979" t="s">
        <v>2175</v>
      </c>
      <c r="G979" t="s">
        <v>14</v>
      </c>
      <c r="H979" t="s">
        <v>37</v>
      </c>
      <c r="I979" t="s">
        <v>16</v>
      </c>
      <c r="J979" t="s">
        <v>27</v>
      </c>
      <c r="K979" t="s">
        <v>2390</v>
      </c>
      <c r="L979">
        <v>49.41</v>
      </c>
      <c r="M979">
        <v>4</v>
      </c>
      <c r="N979" t="str">
        <f>IF(Walmart[[#This Row],[Quantity]]&gt;=7,"Bulk",IF(Walmart[[#This Row],[Quantity]]&gt;=2,"Multi","Single"))</f>
        <v>Multi</v>
      </c>
      <c r="O979">
        <v>18.53</v>
      </c>
      <c r="P979" t="str">
        <f>IF(Walmart[[#This Row],[Sales]]&gt;=1000,"High Value", IF(Walmart[[#This Row],[Sales]]&gt;=500,"Medium Value","Low Value"))</f>
        <v>Low Value</v>
      </c>
    </row>
    <row r="980" spans="1:16" hidden="1" x14ac:dyDescent="0.3">
      <c r="A980" t="s">
        <v>2455</v>
      </c>
      <c r="B980" s="1">
        <v>41503</v>
      </c>
      <c r="C980" s="1" t="str">
        <f>TEXT(Walmart[[#This Row],[Order Date]],"mmmm")</f>
        <v>August</v>
      </c>
      <c r="D980" s="1">
        <v>41506</v>
      </c>
      <c r="E980" s="1" t="str">
        <f>IF(DATEDIF(Walmart[[#This Row],[Order Date]],Walmart[[#This Row],[Ship Date]],"D")&lt;7,"On time","Delayed")</f>
        <v>On time</v>
      </c>
      <c r="F980" t="s">
        <v>2456</v>
      </c>
      <c r="G980" t="s">
        <v>14</v>
      </c>
      <c r="H980" t="s">
        <v>15</v>
      </c>
      <c r="I980" t="s">
        <v>16</v>
      </c>
      <c r="J980" t="s">
        <v>43</v>
      </c>
      <c r="K980" t="s">
        <v>2457</v>
      </c>
      <c r="L980">
        <v>161.28</v>
      </c>
      <c r="M980">
        <v>2</v>
      </c>
      <c r="N980" t="str">
        <f>IF(Walmart[[#This Row],[Quantity]]&gt;=7,"Bulk",IF(Walmart[[#This Row],[Quantity]]&gt;=2,"Multi","Single"))</f>
        <v>Multi</v>
      </c>
      <c r="O980">
        <v>12.1</v>
      </c>
      <c r="P980" t="str">
        <f>IF(Walmart[[#This Row],[Sales]]&gt;=1000,"High Value", IF(Walmart[[#This Row],[Sales]]&gt;=500,"Medium Value","Low Value"))</f>
        <v>Low Value</v>
      </c>
    </row>
    <row r="981" spans="1:16" hidden="1" x14ac:dyDescent="0.3">
      <c r="A981" t="s">
        <v>2458</v>
      </c>
      <c r="B981" s="1">
        <v>41583</v>
      </c>
      <c r="C981" s="1" t="str">
        <f>TEXT(Walmart[[#This Row],[Order Date]],"mmmm")</f>
        <v>November</v>
      </c>
      <c r="D981" s="1">
        <v>41583</v>
      </c>
      <c r="E981" s="1" t="str">
        <f>IF(DATEDIF(Walmart[[#This Row],[Order Date]],Walmart[[#This Row],[Ship Date]],"D")&lt;7,"On time","Delayed")</f>
        <v>On time</v>
      </c>
      <c r="F981" t="s">
        <v>1383</v>
      </c>
      <c r="G981" t="s">
        <v>14</v>
      </c>
      <c r="H981" t="s">
        <v>1644</v>
      </c>
      <c r="I981" t="s">
        <v>16</v>
      </c>
      <c r="J981" t="s">
        <v>38</v>
      </c>
      <c r="K981" t="s">
        <v>744</v>
      </c>
      <c r="L981">
        <v>192.8</v>
      </c>
      <c r="M981">
        <v>4</v>
      </c>
      <c r="N981" t="str">
        <f>IF(Walmart[[#This Row],[Quantity]]&gt;=7,"Bulk",IF(Walmart[[#This Row],[Quantity]]&gt;=2,"Multi","Single"))</f>
        <v>Multi</v>
      </c>
      <c r="O981">
        <v>55.91</v>
      </c>
      <c r="P981" t="str">
        <f>IF(Walmart[[#This Row],[Sales]]&gt;=1000,"High Value", IF(Walmart[[#This Row],[Sales]]&gt;=500,"Medium Value","Low Value"))</f>
        <v>Low Value</v>
      </c>
    </row>
    <row r="982" spans="1:16" hidden="1" x14ac:dyDescent="0.3">
      <c r="A982" t="s">
        <v>2459</v>
      </c>
      <c r="B982" s="1">
        <v>40632</v>
      </c>
      <c r="C982" s="1" t="str">
        <f>TEXT(Walmart[[#This Row],[Order Date]],"mmmm")</f>
        <v>March</v>
      </c>
      <c r="D982" s="1">
        <v>40637</v>
      </c>
      <c r="E982" s="1" t="str">
        <f>IF(DATEDIF(Walmart[[#This Row],[Order Date]],Walmart[[#This Row],[Ship Date]],"D")&lt;7,"On time","Delayed")</f>
        <v>On time</v>
      </c>
      <c r="F982" t="s">
        <v>1332</v>
      </c>
      <c r="G982" t="s">
        <v>14</v>
      </c>
      <c r="H982" t="s">
        <v>37</v>
      </c>
      <c r="I982" t="s">
        <v>16</v>
      </c>
      <c r="J982" t="s">
        <v>671</v>
      </c>
      <c r="K982" t="s">
        <v>2460</v>
      </c>
      <c r="L982">
        <v>205.67</v>
      </c>
      <c r="M982">
        <v>2</v>
      </c>
      <c r="N982" t="str">
        <f>IF(Walmart[[#This Row],[Quantity]]&gt;=7,"Bulk",IF(Walmart[[#This Row],[Quantity]]&gt;=2,"Multi","Single"))</f>
        <v>Multi</v>
      </c>
      <c r="O982">
        <v>-12.1</v>
      </c>
      <c r="P982" t="str">
        <f>IF(Walmart[[#This Row],[Sales]]&gt;=1000,"High Value", IF(Walmart[[#This Row],[Sales]]&gt;=500,"Medium Value","Low Value"))</f>
        <v>Low Value</v>
      </c>
    </row>
    <row r="983" spans="1:16" hidden="1" x14ac:dyDescent="0.3">
      <c r="A983" t="s">
        <v>2461</v>
      </c>
      <c r="B983" s="1">
        <v>41017</v>
      </c>
      <c r="C983" s="1" t="str">
        <f>TEXT(Walmart[[#This Row],[Order Date]],"mmmm")</f>
        <v>April</v>
      </c>
      <c r="D983" s="1">
        <v>41019</v>
      </c>
      <c r="E983" s="1" t="str">
        <f>IF(DATEDIF(Walmart[[#This Row],[Order Date]],Walmart[[#This Row],[Ship Date]],"D")&lt;7,"On time","Delayed")</f>
        <v>On time</v>
      </c>
      <c r="F983" t="s">
        <v>2462</v>
      </c>
      <c r="G983" t="s">
        <v>14</v>
      </c>
      <c r="H983" t="s">
        <v>2463</v>
      </c>
      <c r="I983" t="s">
        <v>16</v>
      </c>
      <c r="J983" t="s">
        <v>33</v>
      </c>
      <c r="K983" t="s">
        <v>1307</v>
      </c>
      <c r="L983">
        <v>115.44</v>
      </c>
      <c r="M983">
        <v>3</v>
      </c>
      <c r="N983" t="str">
        <f>IF(Walmart[[#This Row],[Quantity]]&gt;=7,"Bulk",IF(Walmart[[#This Row],[Quantity]]&gt;=2,"Multi","Single"))</f>
        <v>Multi</v>
      </c>
      <c r="O983">
        <v>30.01</v>
      </c>
      <c r="P983" t="str">
        <f>IF(Walmart[[#This Row],[Sales]]&gt;=1000,"High Value", IF(Walmart[[#This Row],[Sales]]&gt;=500,"Medium Value","Low Value"))</f>
        <v>Low Value</v>
      </c>
    </row>
    <row r="984" spans="1:16" hidden="1" x14ac:dyDescent="0.3">
      <c r="A984" t="s">
        <v>2464</v>
      </c>
      <c r="B984" s="1">
        <v>40899</v>
      </c>
      <c r="C984" s="1" t="str">
        <f>TEXT(Walmart[[#This Row],[Order Date]],"mmmm")</f>
        <v>December</v>
      </c>
      <c r="D984" s="1">
        <v>40903</v>
      </c>
      <c r="E984" s="1" t="str">
        <f>IF(DATEDIF(Walmart[[#This Row],[Order Date]],Walmart[[#This Row],[Ship Date]],"D")&lt;7,"On time","Delayed")</f>
        <v>On time</v>
      </c>
      <c r="F984" t="s">
        <v>2465</v>
      </c>
      <c r="G984" t="s">
        <v>14</v>
      </c>
      <c r="H984" t="s">
        <v>109</v>
      </c>
      <c r="I984" t="s">
        <v>16</v>
      </c>
      <c r="J984" t="s">
        <v>38</v>
      </c>
      <c r="K984" t="s">
        <v>329</v>
      </c>
      <c r="L984">
        <v>11.76</v>
      </c>
      <c r="M984">
        <v>4</v>
      </c>
      <c r="N984" t="str">
        <f>IF(Walmart[[#This Row],[Quantity]]&gt;=7,"Bulk",IF(Walmart[[#This Row],[Quantity]]&gt;=2,"Multi","Single"))</f>
        <v>Multi</v>
      </c>
      <c r="O984">
        <v>3.18</v>
      </c>
      <c r="P984" t="str">
        <f>IF(Walmart[[#This Row],[Sales]]&gt;=1000,"High Value", IF(Walmart[[#This Row],[Sales]]&gt;=500,"Medium Value","Low Value"))</f>
        <v>Low Value</v>
      </c>
    </row>
    <row r="985" spans="1:16" x14ac:dyDescent="0.3">
      <c r="A985" t="s">
        <v>2877</v>
      </c>
      <c r="B985" s="1">
        <v>41835</v>
      </c>
      <c r="C985" s="1" t="str">
        <f>TEXT(Walmart[[#This Row],[Order Date]],"mmmm")</f>
        <v>July</v>
      </c>
      <c r="D985" s="1">
        <v>41839</v>
      </c>
      <c r="E985" s="1" t="str">
        <f>IF(DATEDIF(Walmart[[#This Row],[Order Date]],Walmart[[#This Row],[Ship Date]],"D")&lt;7,"On time","Delayed")</f>
        <v>On time</v>
      </c>
      <c r="F985" t="s">
        <v>1266</v>
      </c>
      <c r="G985" t="s">
        <v>14</v>
      </c>
      <c r="H985" t="s">
        <v>717</v>
      </c>
      <c r="I985" t="s">
        <v>16</v>
      </c>
      <c r="J985" t="s">
        <v>27</v>
      </c>
      <c r="K985" t="s">
        <v>2043</v>
      </c>
      <c r="L985">
        <v>4.45</v>
      </c>
      <c r="M985">
        <v>2</v>
      </c>
      <c r="N985" t="str">
        <f>IF(Walmart[[#This Row],[Quantity]]&gt;=7,"Bulk",IF(Walmart[[#This Row],[Quantity]]&gt;=2,"Multi","Single"))</f>
        <v>Multi</v>
      </c>
      <c r="O985">
        <v>1.45</v>
      </c>
      <c r="P985" t="str">
        <f>IF(Walmart[[#This Row],[Sales]]&gt;=1000,"High Value", IF(Walmart[[#This Row],[Sales]]&gt;=500,"Medium Value","Low Value"))</f>
        <v>Low Value</v>
      </c>
    </row>
    <row r="986" spans="1:16" hidden="1" x14ac:dyDescent="0.3">
      <c r="A986" t="s">
        <v>2467</v>
      </c>
      <c r="B986" s="1">
        <v>41453</v>
      </c>
      <c r="C986" s="1" t="str">
        <f>TEXT(Walmart[[#This Row],[Order Date]],"mmmm")</f>
        <v>June</v>
      </c>
      <c r="D986" s="1">
        <v>41455</v>
      </c>
      <c r="E986" s="1" t="str">
        <f>IF(DATEDIF(Walmart[[#This Row],[Order Date]],Walmart[[#This Row],[Ship Date]],"D")&lt;7,"On time","Delayed")</f>
        <v>On time</v>
      </c>
      <c r="F986" t="s">
        <v>2468</v>
      </c>
      <c r="G986" t="s">
        <v>14</v>
      </c>
      <c r="H986" t="s">
        <v>37</v>
      </c>
      <c r="I986" t="s">
        <v>16</v>
      </c>
      <c r="J986" t="s">
        <v>146</v>
      </c>
      <c r="K986" t="s">
        <v>2469</v>
      </c>
      <c r="L986">
        <v>201.58</v>
      </c>
      <c r="M986">
        <v>2</v>
      </c>
      <c r="N986" t="str">
        <f>IF(Walmart[[#This Row],[Quantity]]&gt;=7,"Bulk",IF(Walmart[[#This Row],[Quantity]]&gt;=2,"Multi","Single"))</f>
        <v>Multi</v>
      </c>
      <c r="O986">
        <v>12.6</v>
      </c>
      <c r="P986" t="str">
        <f>IF(Walmart[[#This Row],[Sales]]&gt;=1000,"High Value", IF(Walmart[[#This Row],[Sales]]&gt;=500,"Medium Value","Low Value"))</f>
        <v>Low Value</v>
      </c>
    </row>
    <row r="987" spans="1:16" x14ac:dyDescent="0.3">
      <c r="A987" t="s">
        <v>713</v>
      </c>
      <c r="B987" s="1">
        <v>41832</v>
      </c>
      <c r="C987" s="1" t="str">
        <f>TEXT(Walmart[[#This Row],[Order Date]],"mmmm")</f>
        <v>July</v>
      </c>
      <c r="D987" s="1">
        <v>41836</v>
      </c>
      <c r="E987" s="1" t="str">
        <f>IF(DATEDIF(Walmart[[#This Row],[Order Date]],Walmart[[#This Row],[Ship Date]],"D")&lt;7,"On time","Delayed")</f>
        <v>On time</v>
      </c>
      <c r="F987" t="s">
        <v>714</v>
      </c>
      <c r="G987" t="s">
        <v>14</v>
      </c>
      <c r="H987" t="s">
        <v>15</v>
      </c>
      <c r="I987" t="s">
        <v>16</v>
      </c>
      <c r="J987" t="s">
        <v>17</v>
      </c>
      <c r="K987" t="s">
        <v>715</v>
      </c>
      <c r="L987">
        <v>8.67</v>
      </c>
      <c r="M987">
        <v>3</v>
      </c>
      <c r="N987" t="str">
        <f>IF(Walmart[[#This Row],[Quantity]]&gt;=7,"Bulk",IF(Walmart[[#This Row],[Quantity]]&gt;=2,"Multi","Single"))</f>
        <v>Multi</v>
      </c>
      <c r="O987">
        <v>4.07</v>
      </c>
      <c r="P987" t="str">
        <f>IF(Walmart[[#This Row],[Sales]]&gt;=1000,"High Value", IF(Walmart[[#This Row],[Sales]]&gt;=500,"Medium Value","Low Value"))</f>
        <v>Low Value</v>
      </c>
    </row>
    <row r="988" spans="1:16" hidden="1" x14ac:dyDescent="0.3">
      <c r="A988" t="s">
        <v>2472</v>
      </c>
      <c r="B988" s="1">
        <v>40620</v>
      </c>
      <c r="C988" s="1" t="str">
        <f>TEXT(Walmart[[#This Row],[Order Date]],"mmmm")</f>
        <v>March</v>
      </c>
      <c r="D988" s="1">
        <v>40623</v>
      </c>
      <c r="E988" s="1" t="str">
        <f>IF(DATEDIF(Walmart[[#This Row],[Order Date]],Walmart[[#This Row],[Ship Date]],"D")&lt;7,"On time","Delayed")</f>
        <v>On time</v>
      </c>
      <c r="F988" t="s">
        <v>1755</v>
      </c>
      <c r="G988" t="s">
        <v>14</v>
      </c>
      <c r="H988" t="s">
        <v>37</v>
      </c>
      <c r="I988" t="s">
        <v>16</v>
      </c>
      <c r="J988" t="s">
        <v>671</v>
      </c>
      <c r="K988" t="s">
        <v>2212</v>
      </c>
      <c r="L988">
        <v>1198.33</v>
      </c>
      <c r="M988">
        <v>10</v>
      </c>
      <c r="N988" t="str">
        <f>IF(Walmart[[#This Row],[Quantity]]&gt;=7,"Bulk",IF(Walmart[[#This Row],[Quantity]]&gt;=2,"Multi","Single"))</f>
        <v>Bulk</v>
      </c>
      <c r="O988">
        <v>70.489999999999995</v>
      </c>
      <c r="P988" t="str">
        <f>IF(Walmart[[#This Row],[Sales]]&gt;=1000,"High Value", IF(Walmart[[#This Row],[Sales]]&gt;=500,"Medium Value","Low Value"))</f>
        <v>High Value</v>
      </c>
    </row>
    <row r="989" spans="1:16" x14ac:dyDescent="0.3">
      <c r="A989" t="s">
        <v>3156</v>
      </c>
      <c r="B989" s="1">
        <v>41832</v>
      </c>
      <c r="C989" s="1" t="str">
        <f>TEXT(Walmart[[#This Row],[Order Date]],"mmmm")</f>
        <v>July</v>
      </c>
      <c r="D989" s="1">
        <v>41839</v>
      </c>
      <c r="E989" s="1" t="str">
        <f>IF(DATEDIF(Walmart[[#This Row],[Order Date]],Walmart[[#This Row],[Ship Date]],"D")&lt;7,"On time","Delayed")</f>
        <v>Delayed</v>
      </c>
      <c r="F989" t="s">
        <v>292</v>
      </c>
      <c r="G989" t="s">
        <v>14</v>
      </c>
      <c r="H989" t="s">
        <v>15</v>
      </c>
      <c r="I989" t="s">
        <v>16</v>
      </c>
      <c r="J989" t="s">
        <v>53</v>
      </c>
      <c r="K989" t="s">
        <v>3157</v>
      </c>
      <c r="L989">
        <v>1287.45</v>
      </c>
      <c r="M989">
        <v>5</v>
      </c>
      <c r="N989" t="str">
        <f>IF(Walmart[[#This Row],[Quantity]]&gt;=7,"Bulk",IF(Walmart[[#This Row],[Quantity]]&gt;=2,"Multi","Single"))</f>
        <v>Multi</v>
      </c>
      <c r="O989">
        <v>244.62</v>
      </c>
      <c r="P989" t="str">
        <f>IF(Walmart[[#This Row],[Sales]]&gt;=1000,"High Value", IF(Walmart[[#This Row],[Sales]]&gt;=500,"Medium Value","Low Value"))</f>
        <v>High Value</v>
      </c>
    </row>
    <row r="990" spans="1:16" hidden="1" x14ac:dyDescent="0.3">
      <c r="A990" t="s">
        <v>2475</v>
      </c>
      <c r="B990" s="1">
        <v>41612</v>
      </c>
      <c r="C990" s="1" t="str">
        <f>TEXT(Walmart[[#This Row],[Order Date]],"mmmm")</f>
        <v>December</v>
      </c>
      <c r="D990" s="1">
        <v>41618</v>
      </c>
      <c r="E990" s="1" t="str">
        <f>IF(DATEDIF(Walmart[[#This Row],[Order Date]],Walmart[[#This Row],[Ship Date]],"D")&lt;7,"On time","Delayed")</f>
        <v>On time</v>
      </c>
      <c r="F990" t="s">
        <v>428</v>
      </c>
      <c r="G990" t="s">
        <v>14</v>
      </c>
      <c r="H990" t="s">
        <v>15</v>
      </c>
      <c r="I990" t="s">
        <v>16</v>
      </c>
      <c r="J990" t="s">
        <v>33</v>
      </c>
      <c r="K990" t="s">
        <v>2476</v>
      </c>
      <c r="L990">
        <v>772.68</v>
      </c>
      <c r="M990">
        <v>4</v>
      </c>
      <c r="N990" t="str">
        <f>IF(Walmart[[#This Row],[Quantity]]&gt;=7,"Bulk",IF(Walmart[[#This Row],[Quantity]]&gt;=2,"Multi","Single"))</f>
        <v>Multi</v>
      </c>
      <c r="O990">
        <v>108.18</v>
      </c>
      <c r="P990" t="str">
        <f>IF(Walmart[[#This Row],[Sales]]&gt;=1000,"High Value", IF(Walmart[[#This Row],[Sales]]&gt;=500,"Medium Value","Low Value"))</f>
        <v>Medium Value</v>
      </c>
    </row>
    <row r="991" spans="1:16" hidden="1" x14ac:dyDescent="0.3">
      <c r="A991" t="s">
        <v>2477</v>
      </c>
      <c r="B991" s="1">
        <v>41171</v>
      </c>
      <c r="C991" s="1" t="str">
        <f>TEXT(Walmart[[#This Row],[Order Date]],"mmmm")</f>
        <v>September</v>
      </c>
      <c r="D991" s="1">
        <v>41174</v>
      </c>
      <c r="E991" s="1" t="str">
        <f>IF(DATEDIF(Walmart[[#This Row],[Order Date]],Walmart[[#This Row],[Ship Date]],"D")&lt;7,"On time","Delayed")</f>
        <v>On time</v>
      </c>
      <c r="F991" t="s">
        <v>689</v>
      </c>
      <c r="G991" t="s">
        <v>14</v>
      </c>
      <c r="H991" t="s">
        <v>15</v>
      </c>
      <c r="I991" t="s">
        <v>16</v>
      </c>
      <c r="J991" t="s">
        <v>93</v>
      </c>
      <c r="K991" t="s">
        <v>325</v>
      </c>
      <c r="L991">
        <v>22.96</v>
      </c>
      <c r="M991">
        <v>2</v>
      </c>
      <c r="N991" t="str">
        <f>IF(Walmart[[#This Row],[Quantity]]&gt;=7,"Bulk",IF(Walmart[[#This Row],[Quantity]]&gt;=2,"Multi","Single"))</f>
        <v>Multi</v>
      </c>
      <c r="O991">
        <v>11.25</v>
      </c>
      <c r="P991" t="str">
        <f>IF(Walmart[[#This Row],[Sales]]&gt;=1000,"High Value", IF(Walmart[[#This Row],[Sales]]&gt;=500,"Medium Value","Low Value"))</f>
        <v>Low Value</v>
      </c>
    </row>
    <row r="992" spans="1:16" hidden="1" x14ac:dyDescent="0.3">
      <c r="A992" t="s">
        <v>2478</v>
      </c>
      <c r="B992" s="1">
        <v>41620</v>
      </c>
      <c r="C992" s="1" t="str">
        <f>TEXT(Walmart[[#This Row],[Order Date]],"mmmm")</f>
        <v>December</v>
      </c>
      <c r="D992" s="1">
        <v>41622</v>
      </c>
      <c r="E992" s="1" t="str">
        <f>IF(DATEDIF(Walmart[[#This Row],[Order Date]],Walmart[[#This Row],[Ship Date]],"D")&lt;7,"On time","Delayed")</f>
        <v>On time</v>
      </c>
      <c r="F992" t="s">
        <v>764</v>
      </c>
      <c r="G992" t="s">
        <v>14</v>
      </c>
      <c r="H992" t="s">
        <v>68</v>
      </c>
      <c r="I992" t="s">
        <v>69</v>
      </c>
      <c r="J992" t="s">
        <v>88</v>
      </c>
      <c r="K992" t="s">
        <v>2479</v>
      </c>
      <c r="L992">
        <v>403.92</v>
      </c>
      <c r="M992">
        <v>5</v>
      </c>
      <c r="N992" t="str">
        <f>IF(Walmart[[#This Row],[Quantity]]&gt;=7,"Bulk",IF(Walmart[[#This Row],[Quantity]]&gt;=2,"Multi","Single"))</f>
        <v>Multi</v>
      </c>
      <c r="O992">
        <v>25.25</v>
      </c>
      <c r="P992" t="str">
        <f>IF(Walmart[[#This Row],[Sales]]&gt;=1000,"High Value", IF(Walmart[[#This Row],[Sales]]&gt;=500,"Medium Value","Low Value"))</f>
        <v>Low Value</v>
      </c>
    </row>
    <row r="993" spans="1:16" x14ac:dyDescent="0.3">
      <c r="A993" t="s">
        <v>3204</v>
      </c>
      <c r="B993" s="1">
        <v>41832</v>
      </c>
      <c r="C993" s="1" t="str">
        <f>TEXT(Walmart[[#This Row],[Order Date]],"mmmm")</f>
        <v>July</v>
      </c>
      <c r="D993" s="1">
        <v>41837</v>
      </c>
      <c r="E993" s="1" t="str">
        <f>IF(DATEDIF(Walmart[[#This Row],[Order Date]],Walmart[[#This Row],[Ship Date]],"D")&lt;7,"On time","Delayed")</f>
        <v>On time</v>
      </c>
      <c r="F993" t="s">
        <v>1904</v>
      </c>
      <c r="G993" t="s">
        <v>14</v>
      </c>
      <c r="H993" t="s">
        <v>160</v>
      </c>
      <c r="I993" t="s">
        <v>16</v>
      </c>
      <c r="J993" t="s">
        <v>146</v>
      </c>
      <c r="K993" t="s">
        <v>3205</v>
      </c>
      <c r="L993">
        <v>71.95</v>
      </c>
      <c r="M993">
        <v>6</v>
      </c>
      <c r="N993" t="str">
        <f>IF(Walmart[[#This Row],[Quantity]]&gt;=7,"Bulk",IF(Walmart[[#This Row],[Quantity]]&gt;=2,"Multi","Single"))</f>
        <v>Multi</v>
      </c>
      <c r="O993">
        <v>5.4</v>
      </c>
      <c r="P993" t="str">
        <f>IF(Walmart[[#This Row],[Sales]]&gt;=1000,"High Value", IF(Walmart[[#This Row],[Sales]]&gt;=500,"Medium Value","Low Value"))</f>
        <v>Low Value</v>
      </c>
    </row>
    <row r="994" spans="1:16" hidden="1" x14ac:dyDescent="0.3">
      <c r="A994" t="s">
        <v>2482</v>
      </c>
      <c r="B994" s="1">
        <v>41625</v>
      </c>
      <c r="C994" s="1" t="str">
        <f>TEXT(Walmart[[#This Row],[Order Date]],"mmmm")</f>
        <v>December</v>
      </c>
      <c r="D994" s="1">
        <v>41632</v>
      </c>
      <c r="E994" s="1" t="str">
        <f>IF(DATEDIF(Walmart[[#This Row],[Order Date]],Walmart[[#This Row],[Ship Date]],"D")&lt;7,"On time","Delayed")</f>
        <v>Delayed</v>
      </c>
      <c r="F994" t="s">
        <v>1258</v>
      </c>
      <c r="G994" t="s">
        <v>14</v>
      </c>
      <c r="H994" t="s">
        <v>1452</v>
      </c>
      <c r="I994" t="s">
        <v>16</v>
      </c>
      <c r="J994" t="s">
        <v>88</v>
      </c>
      <c r="K994" t="s">
        <v>2419</v>
      </c>
      <c r="L994">
        <v>563.91999999999996</v>
      </c>
      <c r="M994">
        <v>5</v>
      </c>
      <c r="N994" t="str">
        <f>IF(Walmart[[#This Row],[Quantity]]&gt;=7,"Bulk",IF(Walmart[[#This Row],[Quantity]]&gt;=2,"Multi","Single"))</f>
        <v>Multi</v>
      </c>
      <c r="O994">
        <v>7.05</v>
      </c>
      <c r="P994" t="str">
        <f>IF(Walmart[[#This Row],[Sales]]&gt;=1000,"High Value", IF(Walmart[[#This Row],[Sales]]&gt;=500,"Medium Value","Low Value"))</f>
        <v>Medium Value</v>
      </c>
    </row>
    <row r="995" spans="1:16" x14ac:dyDescent="0.3">
      <c r="A995" t="s">
        <v>498</v>
      </c>
      <c r="B995" s="1">
        <v>41830</v>
      </c>
      <c r="C995" s="1" t="str">
        <f>TEXT(Walmart[[#This Row],[Order Date]],"mmmm")</f>
        <v>July</v>
      </c>
      <c r="D995" s="1">
        <v>41836</v>
      </c>
      <c r="E995" s="1" t="str">
        <f>IF(DATEDIF(Walmart[[#This Row],[Order Date]],Walmart[[#This Row],[Ship Date]],"D")&lt;7,"On time","Delayed")</f>
        <v>On time</v>
      </c>
      <c r="F995" t="s">
        <v>499</v>
      </c>
      <c r="G995" t="s">
        <v>14</v>
      </c>
      <c r="H995" t="s">
        <v>68</v>
      </c>
      <c r="I995" t="s">
        <v>69</v>
      </c>
      <c r="J995" t="s">
        <v>27</v>
      </c>
      <c r="K995" t="s">
        <v>500</v>
      </c>
      <c r="L995">
        <v>1.08</v>
      </c>
      <c r="M995">
        <v>2</v>
      </c>
      <c r="N995" t="str">
        <f>IF(Walmart[[#This Row],[Quantity]]&gt;=7,"Bulk",IF(Walmart[[#This Row],[Quantity]]&gt;=2,"Multi","Single"))</f>
        <v>Multi</v>
      </c>
      <c r="O995">
        <v>-0.79</v>
      </c>
      <c r="P995" t="str">
        <f>IF(Walmart[[#This Row],[Sales]]&gt;=1000,"High Value", IF(Walmart[[#This Row],[Sales]]&gt;=500,"Medium Value","Low Value"))</f>
        <v>Low Value</v>
      </c>
    </row>
    <row r="996" spans="1:16" x14ac:dyDescent="0.3">
      <c r="A996" t="s">
        <v>665</v>
      </c>
      <c r="B996" s="1">
        <v>41829</v>
      </c>
      <c r="C996" s="1" t="str">
        <f>TEXT(Walmart[[#This Row],[Order Date]],"mmmm")</f>
        <v>July</v>
      </c>
      <c r="D996" s="1">
        <v>41832</v>
      </c>
      <c r="E996" s="1" t="str">
        <f>IF(DATEDIF(Walmart[[#This Row],[Order Date]],Walmart[[#This Row],[Ship Date]],"D")&lt;7,"On time","Delayed")</f>
        <v>On time</v>
      </c>
      <c r="F996" t="s">
        <v>666</v>
      </c>
      <c r="G996" t="s">
        <v>14</v>
      </c>
      <c r="H996" t="s">
        <v>667</v>
      </c>
      <c r="I996" t="s">
        <v>16</v>
      </c>
      <c r="J996" t="s">
        <v>21</v>
      </c>
      <c r="K996" t="s">
        <v>668</v>
      </c>
      <c r="L996">
        <v>145.9</v>
      </c>
      <c r="M996">
        <v>5</v>
      </c>
      <c r="N996" t="str">
        <f>IF(Walmart[[#This Row],[Quantity]]&gt;=7,"Bulk",IF(Walmart[[#This Row],[Quantity]]&gt;=2,"Multi","Single"))</f>
        <v>Multi</v>
      </c>
      <c r="O996">
        <v>62.74</v>
      </c>
      <c r="P996" t="str">
        <f>IF(Walmart[[#This Row],[Sales]]&gt;=1000,"High Value", IF(Walmart[[#This Row],[Sales]]&gt;=500,"Medium Value","Low Value"))</f>
        <v>Low Value</v>
      </c>
    </row>
    <row r="997" spans="1:16" hidden="1" x14ac:dyDescent="0.3">
      <c r="A997" t="s">
        <v>2487</v>
      </c>
      <c r="B997" s="1">
        <v>40827</v>
      </c>
      <c r="C997" s="1" t="str">
        <f>TEXT(Walmart[[#This Row],[Order Date]],"mmmm")</f>
        <v>October</v>
      </c>
      <c r="D997" s="1">
        <v>40831</v>
      </c>
      <c r="E997" s="1" t="str">
        <f>IF(DATEDIF(Walmart[[#This Row],[Order Date]],Walmart[[#This Row],[Ship Date]],"D")&lt;7,"On time","Delayed")</f>
        <v>On time</v>
      </c>
      <c r="F997" t="s">
        <v>1057</v>
      </c>
      <c r="G997" t="s">
        <v>14</v>
      </c>
      <c r="H997" t="s">
        <v>1329</v>
      </c>
      <c r="I997" t="s">
        <v>16</v>
      </c>
      <c r="J997" t="s">
        <v>124</v>
      </c>
      <c r="K997" t="s">
        <v>607</v>
      </c>
      <c r="L997">
        <v>7.64</v>
      </c>
      <c r="M997">
        <v>1</v>
      </c>
      <c r="N997" t="str">
        <f>IF(Walmart[[#This Row],[Quantity]]&gt;=7,"Bulk",IF(Walmart[[#This Row],[Quantity]]&gt;=2,"Multi","Single"))</f>
        <v>Single</v>
      </c>
      <c r="O997">
        <v>3.74</v>
      </c>
      <c r="P997" t="str">
        <f>IF(Walmart[[#This Row],[Sales]]&gt;=1000,"High Value", IF(Walmart[[#This Row],[Sales]]&gt;=500,"Medium Value","Low Value"))</f>
        <v>Low Value</v>
      </c>
    </row>
    <row r="998" spans="1:16" x14ac:dyDescent="0.3">
      <c r="A998" t="s">
        <v>802</v>
      </c>
      <c r="B998" s="1">
        <v>41829</v>
      </c>
      <c r="C998" s="1" t="str">
        <f>TEXT(Walmart[[#This Row],[Order Date]],"mmmm")</f>
        <v>July</v>
      </c>
      <c r="D998" s="1">
        <v>41836</v>
      </c>
      <c r="E998" s="1" t="str">
        <f>IF(DATEDIF(Walmart[[#This Row],[Order Date]],Walmart[[#This Row],[Ship Date]],"D")&lt;7,"On time","Delayed")</f>
        <v>Delayed</v>
      </c>
      <c r="F998" t="s">
        <v>803</v>
      </c>
      <c r="G998" t="s">
        <v>14</v>
      </c>
      <c r="H998" t="s">
        <v>804</v>
      </c>
      <c r="I998" t="s">
        <v>26</v>
      </c>
      <c r="J998" t="s">
        <v>21</v>
      </c>
      <c r="K998" t="s">
        <v>805</v>
      </c>
      <c r="L998">
        <v>198.46</v>
      </c>
      <c r="M998">
        <v>2</v>
      </c>
      <c r="N998" t="str">
        <f>IF(Walmart[[#This Row],[Quantity]]&gt;=7,"Bulk",IF(Walmart[[#This Row],[Quantity]]&gt;=2,"Multi","Single"))</f>
        <v>Multi</v>
      </c>
      <c r="O998">
        <v>99.23</v>
      </c>
      <c r="P998" t="str">
        <f>IF(Walmart[[#This Row],[Sales]]&gt;=1000,"High Value", IF(Walmart[[#This Row],[Sales]]&gt;=500,"Medium Value","Low Value"))</f>
        <v>Low Value</v>
      </c>
    </row>
    <row r="999" spans="1:16" hidden="1" x14ac:dyDescent="0.3">
      <c r="A999" t="s">
        <v>2490</v>
      </c>
      <c r="B999" s="1">
        <v>41187</v>
      </c>
      <c r="C999" s="1" t="str">
        <f>TEXT(Walmart[[#This Row],[Order Date]],"mmmm")</f>
        <v>October</v>
      </c>
      <c r="D999" s="1">
        <v>41191</v>
      </c>
      <c r="E999" s="1" t="str">
        <f>IF(DATEDIF(Walmart[[#This Row],[Order Date]],Walmart[[#This Row],[Ship Date]],"D")&lt;7,"On time","Delayed")</f>
        <v>On time</v>
      </c>
      <c r="F999" t="s">
        <v>318</v>
      </c>
      <c r="G999" t="s">
        <v>14</v>
      </c>
      <c r="H999" t="s">
        <v>68</v>
      </c>
      <c r="I999" t="s">
        <v>69</v>
      </c>
      <c r="J999" t="s">
        <v>671</v>
      </c>
      <c r="K999" t="s">
        <v>2491</v>
      </c>
      <c r="L999">
        <v>66.290000000000006</v>
      </c>
      <c r="M999">
        <v>1</v>
      </c>
      <c r="N999" t="str">
        <f>IF(Walmart[[#This Row],[Quantity]]&gt;=7,"Bulk",IF(Walmart[[#This Row],[Quantity]]&gt;=2,"Multi","Single"))</f>
        <v>Single</v>
      </c>
      <c r="O999">
        <v>-103.86</v>
      </c>
      <c r="P999" t="str">
        <f>IF(Walmart[[#This Row],[Sales]]&gt;=1000,"High Value", IF(Walmart[[#This Row],[Sales]]&gt;=500,"Medium Value","Low Value"))</f>
        <v>Low Value</v>
      </c>
    </row>
    <row r="1000" spans="1:16" x14ac:dyDescent="0.3">
      <c r="A1000" t="s">
        <v>1482</v>
      </c>
      <c r="B1000" s="1">
        <v>41829</v>
      </c>
      <c r="C1000" s="1" t="str">
        <f>TEXT(Walmart[[#This Row],[Order Date]],"mmmm")</f>
        <v>July</v>
      </c>
      <c r="D1000" s="1">
        <v>41831</v>
      </c>
      <c r="E1000" s="1" t="str">
        <f>IF(DATEDIF(Walmart[[#This Row],[Order Date]],Walmart[[#This Row],[Ship Date]],"D")&lt;7,"On time","Delayed")</f>
        <v>On time</v>
      </c>
      <c r="F1000" t="s">
        <v>517</v>
      </c>
      <c r="G1000" t="s">
        <v>14</v>
      </c>
      <c r="H1000" t="s">
        <v>1483</v>
      </c>
      <c r="I1000" t="s">
        <v>16</v>
      </c>
      <c r="J1000" t="s">
        <v>17</v>
      </c>
      <c r="K1000" t="s">
        <v>1484</v>
      </c>
      <c r="L1000">
        <v>75.180000000000007</v>
      </c>
      <c r="M1000">
        <v>6</v>
      </c>
      <c r="N1000" t="str">
        <f>IF(Walmart[[#This Row],[Quantity]]&gt;=7,"Bulk",IF(Walmart[[#This Row],[Quantity]]&gt;=2,"Multi","Single"))</f>
        <v>Multi</v>
      </c>
      <c r="O1000">
        <v>35.33</v>
      </c>
      <c r="P1000" t="str">
        <f>IF(Walmart[[#This Row],[Sales]]&gt;=1000,"High Value", IF(Walmart[[#This Row],[Sales]]&gt;=500,"Medium Value","Low Value"))</f>
        <v>Low Value</v>
      </c>
    </row>
    <row r="1001" spans="1:16" hidden="1" x14ac:dyDescent="0.3">
      <c r="A1001" t="s">
        <v>2495</v>
      </c>
      <c r="B1001" s="1">
        <v>41255</v>
      </c>
      <c r="C1001" s="1" t="str">
        <f>TEXT(Walmart[[#This Row],[Order Date]],"mmmm")</f>
        <v>December</v>
      </c>
      <c r="D1001" s="1">
        <v>41259</v>
      </c>
      <c r="E1001" s="1" t="str">
        <f>IF(DATEDIF(Walmart[[#This Row],[Order Date]],Walmart[[#This Row],[Ship Date]],"D")&lt;7,"On time","Delayed")</f>
        <v>On time</v>
      </c>
      <c r="F1001" t="s">
        <v>1923</v>
      </c>
      <c r="G1001" t="s">
        <v>14</v>
      </c>
      <c r="H1001" t="s">
        <v>109</v>
      </c>
      <c r="I1001" t="s">
        <v>16</v>
      </c>
      <c r="J1001" t="s">
        <v>21</v>
      </c>
      <c r="K1001" t="s">
        <v>2496</v>
      </c>
      <c r="L1001">
        <v>166.5</v>
      </c>
      <c r="M1001">
        <v>3</v>
      </c>
      <c r="N1001" t="str">
        <f>IF(Walmart[[#This Row],[Quantity]]&gt;=7,"Bulk",IF(Walmart[[#This Row],[Quantity]]&gt;=2,"Multi","Single"))</f>
        <v>Multi</v>
      </c>
      <c r="O1001">
        <v>21.65</v>
      </c>
      <c r="P1001" t="str">
        <f>IF(Walmart[[#This Row],[Sales]]&gt;=1000,"High Value", IF(Walmart[[#This Row],[Sales]]&gt;=500,"Medium Value","Low Value"))</f>
        <v>Low Value</v>
      </c>
    </row>
    <row r="1002" spans="1:16" hidden="1" x14ac:dyDescent="0.3">
      <c r="A1002" t="s">
        <v>2497</v>
      </c>
      <c r="B1002" s="1">
        <v>41577</v>
      </c>
      <c r="C1002" s="1" t="str">
        <f>TEXT(Walmart[[#This Row],[Order Date]],"mmmm")</f>
        <v>October</v>
      </c>
      <c r="D1002" s="1">
        <v>41580</v>
      </c>
      <c r="E1002" s="1" t="str">
        <f>IF(DATEDIF(Walmart[[#This Row],[Order Date]],Walmart[[#This Row],[Ship Date]],"D")&lt;7,"On time","Delayed")</f>
        <v>On time</v>
      </c>
      <c r="F1002" t="s">
        <v>156</v>
      </c>
      <c r="G1002" t="s">
        <v>14</v>
      </c>
      <c r="H1002" t="s">
        <v>15</v>
      </c>
      <c r="I1002" t="s">
        <v>16</v>
      </c>
      <c r="J1002" t="s">
        <v>27</v>
      </c>
      <c r="K1002" t="s">
        <v>2498</v>
      </c>
      <c r="L1002">
        <v>11.74</v>
      </c>
      <c r="M1002">
        <v>1</v>
      </c>
      <c r="N1002" t="str">
        <f>IF(Walmart[[#This Row],[Quantity]]&gt;=7,"Bulk",IF(Walmart[[#This Row],[Quantity]]&gt;=2,"Multi","Single"))</f>
        <v>Single</v>
      </c>
      <c r="O1002">
        <v>3.82</v>
      </c>
      <c r="P1002" t="str">
        <f>IF(Walmart[[#This Row],[Sales]]&gt;=1000,"High Value", IF(Walmart[[#This Row],[Sales]]&gt;=500,"Medium Value","Low Value"))</f>
        <v>Low Value</v>
      </c>
    </row>
    <row r="1003" spans="1:16" hidden="1" x14ac:dyDescent="0.3">
      <c r="A1003" t="s">
        <v>2499</v>
      </c>
      <c r="B1003" s="1">
        <v>41603</v>
      </c>
      <c r="C1003" s="1" t="str">
        <f>TEXT(Walmart[[#This Row],[Order Date]],"mmmm")</f>
        <v>November</v>
      </c>
      <c r="D1003" s="1">
        <v>41607</v>
      </c>
      <c r="E1003" s="1" t="str">
        <f>IF(DATEDIF(Walmart[[#This Row],[Order Date]],Walmart[[#This Row],[Ship Date]],"D")&lt;7,"On time","Delayed")</f>
        <v>On time</v>
      </c>
      <c r="F1003" t="s">
        <v>2500</v>
      </c>
      <c r="G1003" t="s">
        <v>14</v>
      </c>
      <c r="H1003" t="s">
        <v>770</v>
      </c>
      <c r="I1003" t="s">
        <v>26</v>
      </c>
      <c r="J1003" t="s">
        <v>334</v>
      </c>
      <c r="K1003" t="s">
        <v>1613</v>
      </c>
      <c r="L1003">
        <v>25.35</v>
      </c>
      <c r="M1003">
        <v>3</v>
      </c>
      <c r="N1003" t="str">
        <f>IF(Walmart[[#This Row],[Quantity]]&gt;=7,"Bulk",IF(Walmart[[#This Row],[Quantity]]&gt;=2,"Multi","Single"))</f>
        <v>Multi</v>
      </c>
      <c r="O1003">
        <v>7.61</v>
      </c>
      <c r="P1003" t="str">
        <f>IF(Walmart[[#This Row],[Sales]]&gt;=1000,"High Value", IF(Walmart[[#This Row],[Sales]]&gt;=500,"Medium Value","Low Value"))</f>
        <v>Low Value</v>
      </c>
    </row>
    <row r="1004" spans="1:16" hidden="1" x14ac:dyDescent="0.3">
      <c r="A1004" t="s">
        <v>2501</v>
      </c>
      <c r="B1004" s="1">
        <v>41233</v>
      </c>
      <c r="C1004" s="1" t="str">
        <f>TEXT(Walmart[[#This Row],[Order Date]],"mmmm")</f>
        <v>November</v>
      </c>
      <c r="D1004" s="1">
        <v>41238</v>
      </c>
      <c r="E1004" s="1" t="str">
        <f>IF(DATEDIF(Walmart[[#This Row],[Order Date]],Walmart[[#This Row],[Ship Date]],"D")&lt;7,"On time","Delayed")</f>
        <v>On time</v>
      </c>
      <c r="F1004" t="s">
        <v>1451</v>
      </c>
      <c r="G1004" t="s">
        <v>14</v>
      </c>
      <c r="H1004" t="s">
        <v>25</v>
      </c>
      <c r="I1004" t="s">
        <v>26</v>
      </c>
      <c r="J1004" t="s">
        <v>38</v>
      </c>
      <c r="K1004" t="s">
        <v>906</v>
      </c>
      <c r="L1004">
        <v>119.04</v>
      </c>
      <c r="M1004">
        <v>6</v>
      </c>
      <c r="N1004" t="str">
        <f>IF(Walmart[[#This Row],[Quantity]]&gt;=7,"Bulk",IF(Walmart[[#This Row],[Quantity]]&gt;=2,"Multi","Single"))</f>
        <v>Multi</v>
      </c>
      <c r="O1004">
        <v>30.95</v>
      </c>
      <c r="P1004" t="str">
        <f>IF(Walmart[[#This Row],[Sales]]&gt;=1000,"High Value", IF(Walmart[[#This Row],[Sales]]&gt;=500,"Medium Value","Low Value"))</f>
        <v>Low Value</v>
      </c>
    </row>
    <row r="1005" spans="1:16" hidden="1" x14ac:dyDescent="0.3">
      <c r="A1005" t="s">
        <v>2502</v>
      </c>
      <c r="B1005" s="1">
        <v>41041</v>
      </c>
      <c r="C1005" s="1" t="str">
        <f>TEXT(Walmart[[#This Row],[Order Date]],"mmmm")</f>
        <v>May</v>
      </c>
      <c r="D1005" s="1">
        <v>41047</v>
      </c>
      <c r="E1005" s="1" t="str">
        <f>IF(DATEDIF(Walmart[[#This Row],[Order Date]],Walmart[[#This Row],[Ship Date]],"D")&lt;7,"On time","Delayed")</f>
        <v>On time</v>
      </c>
      <c r="F1005" t="s">
        <v>2503</v>
      </c>
      <c r="G1005" t="s">
        <v>14</v>
      </c>
      <c r="H1005" t="s">
        <v>25</v>
      </c>
      <c r="I1005" t="s">
        <v>26</v>
      </c>
      <c r="J1005" t="s">
        <v>27</v>
      </c>
      <c r="K1005" t="s">
        <v>693</v>
      </c>
      <c r="L1005">
        <v>14.59</v>
      </c>
      <c r="M1005">
        <v>3</v>
      </c>
      <c r="N1005" t="str">
        <f>IF(Walmart[[#This Row],[Quantity]]&gt;=7,"Bulk",IF(Walmart[[#This Row],[Quantity]]&gt;=2,"Multi","Single"))</f>
        <v>Multi</v>
      </c>
      <c r="O1005">
        <v>4.92</v>
      </c>
      <c r="P1005" t="str">
        <f>IF(Walmart[[#This Row],[Sales]]&gt;=1000,"High Value", IF(Walmart[[#This Row],[Sales]]&gt;=500,"Medium Value","Low Value"))</f>
        <v>Low Value</v>
      </c>
    </row>
    <row r="1006" spans="1:16" x14ac:dyDescent="0.3">
      <c r="A1006" t="s">
        <v>1886</v>
      </c>
      <c r="B1006" s="1">
        <v>41829</v>
      </c>
      <c r="C1006" s="1" t="str">
        <f>TEXT(Walmart[[#This Row],[Order Date]],"mmmm")</f>
        <v>July</v>
      </c>
      <c r="D1006" s="1">
        <v>41833</v>
      </c>
      <c r="E1006" s="1" t="str">
        <f>IF(DATEDIF(Walmart[[#This Row],[Order Date]],Walmart[[#This Row],[Ship Date]],"D")&lt;7,"On time","Delayed")</f>
        <v>On time</v>
      </c>
      <c r="F1006" t="s">
        <v>1609</v>
      </c>
      <c r="G1006" t="s">
        <v>14</v>
      </c>
      <c r="H1006" t="s">
        <v>25</v>
      </c>
      <c r="I1006" t="s">
        <v>26</v>
      </c>
      <c r="J1006" t="s">
        <v>21</v>
      </c>
      <c r="K1006" t="s">
        <v>1887</v>
      </c>
      <c r="L1006">
        <v>15.84</v>
      </c>
      <c r="M1006">
        <v>3</v>
      </c>
      <c r="N1006" t="str">
        <f>IF(Walmart[[#This Row],[Quantity]]&gt;=7,"Bulk",IF(Walmart[[#This Row],[Quantity]]&gt;=2,"Multi","Single"))</f>
        <v>Multi</v>
      </c>
      <c r="O1006">
        <v>4.91</v>
      </c>
      <c r="P1006" t="str">
        <f>IF(Walmart[[#This Row],[Sales]]&gt;=1000,"High Value", IF(Walmart[[#This Row],[Sales]]&gt;=500,"Medium Value","Low Value"))</f>
        <v>Low Value</v>
      </c>
    </row>
    <row r="1007" spans="1:16" hidden="1" x14ac:dyDescent="0.3">
      <c r="A1007" t="s">
        <v>2507</v>
      </c>
      <c r="B1007" s="1">
        <v>41473</v>
      </c>
      <c r="C1007" s="1" t="str">
        <f>TEXT(Walmart[[#This Row],[Order Date]],"mmmm")</f>
        <v>July</v>
      </c>
      <c r="D1007" s="1">
        <v>41478</v>
      </c>
      <c r="E1007" s="1" t="str">
        <f>IF(DATEDIF(Walmart[[#This Row],[Order Date]],Walmart[[#This Row],[Ship Date]],"D")&lt;7,"On time","Delayed")</f>
        <v>On time</v>
      </c>
      <c r="F1007" t="s">
        <v>1146</v>
      </c>
      <c r="G1007" t="s">
        <v>14</v>
      </c>
      <c r="H1007" t="s">
        <v>25</v>
      </c>
      <c r="I1007" t="s">
        <v>26</v>
      </c>
      <c r="J1007" t="s">
        <v>21</v>
      </c>
      <c r="K1007" t="s">
        <v>2508</v>
      </c>
      <c r="L1007">
        <v>12.42</v>
      </c>
      <c r="M1007">
        <v>3</v>
      </c>
      <c r="N1007" t="str">
        <f>IF(Walmart[[#This Row],[Quantity]]&gt;=7,"Bulk",IF(Walmart[[#This Row],[Quantity]]&gt;=2,"Multi","Single"))</f>
        <v>Multi</v>
      </c>
      <c r="O1007">
        <v>4.47</v>
      </c>
      <c r="P1007" t="str">
        <f>IF(Walmart[[#This Row],[Sales]]&gt;=1000,"High Value", IF(Walmart[[#This Row],[Sales]]&gt;=500,"Medium Value","Low Value"))</f>
        <v>Low Value</v>
      </c>
    </row>
    <row r="1008" spans="1:16" hidden="1" x14ac:dyDescent="0.3">
      <c r="A1008" t="s">
        <v>2509</v>
      </c>
      <c r="B1008" s="1">
        <v>41542</v>
      </c>
      <c r="C1008" s="1" t="str">
        <f>TEXT(Walmart[[#This Row],[Order Date]],"mmmm")</f>
        <v>September</v>
      </c>
      <c r="D1008" s="1">
        <v>41546</v>
      </c>
      <c r="E1008" s="1" t="str">
        <f>IF(DATEDIF(Walmart[[#This Row],[Order Date]],Walmart[[#This Row],[Ship Date]],"D")&lt;7,"On time","Delayed")</f>
        <v>On time</v>
      </c>
      <c r="F1008" t="s">
        <v>2002</v>
      </c>
      <c r="G1008" t="s">
        <v>14</v>
      </c>
      <c r="H1008" t="s">
        <v>15</v>
      </c>
      <c r="I1008" t="s">
        <v>16</v>
      </c>
      <c r="J1008" t="s">
        <v>124</v>
      </c>
      <c r="K1008" t="s">
        <v>1968</v>
      </c>
      <c r="L1008">
        <v>304.89999999999998</v>
      </c>
      <c r="M1008">
        <v>5</v>
      </c>
      <c r="N1008" t="str">
        <f>IF(Walmart[[#This Row],[Quantity]]&gt;=7,"Bulk",IF(Walmart[[#This Row],[Quantity]]&gt;=2,"Multi","Single"))</f>
        <v>Multi</v>
      </c>
      <c r="O1008">
        <v>143.30000000000001</v>
      </c>
      <c r="P1008" t="str">
        <f>IF(Walmart[[#This Row],[Sales]]&gt;=1000,"High Value", IF(Walmart[[#This Row],[Sales]]&gt;=500,"Medium Value","Low Value"))</f>
        <v>Low Value</v>
      </c>
    </row>
    <row r="1009" spans="1:16" hidden="1" x14ac:dyDescent="0.3">
      <c r="A1009" t="s">
        <v>2510</v>
      </c>
      <c r="B1009" s="1">
        <v>40732</v>
      </c>
      <c r="C1009" s="1" t="str">
        <f>TEXT(Walmart[[#This Row],[Order Date]],"mmmm")</f>
        <v>July</v>
      </c>
      <c r="D1009" s="1">
        <v>40736</v>
      </c>
      <c r="E1009" s="1" t="str">
        <f>IF(DATEDIF(Walmart[[#This Row],[Order Date]],Walmart[[#This Row],[Ship Date]],"D")&lt;7,"On time","Delayed")</f>
        <v>On time</v>
      </c>
      <c r="F1009" t="s">
        <v>988</v>
      </c>
      <c r="G1009" t="s">
        <v>14</v>
      </c>
      <c r="H1009" t="s">
        <v>37</v>
      </c>
      <c r="I1009" t="s">
        <v>16</v>
      </c>
      <c r="J1009" t="s">
        <v>43</v>
      </c>
      <c r="K1009" t="s">
        <v>2511</v>
      </c>
      <c r="L1009">
        <v>502.49</v>
      </c>
      <c r="M1009">
        <v>3</v>
      </c>
      <c r="N1009" t="str">
        <f>IF(Walmart[[#This Row],[Quantity]]&gt;=7,"Bulk",IF(Walmart[[#This Row],[Quantity]]&gt;=2,"Multi","Single"))</f>
        <v>Multi</v>
      </c>
      <c r="O1009">
        <v>-87.94</v>
      </c>
      <c r="P1009" t="str">
        <f>IF(Walmart[[#This Row],[Sales]]&gt;=1000,"High Value", IF(Walmart[[#This Row],[Sales]]&gt;=500,"Medium Value","Low Value"))</f>
        <v>Medium Value</v>
      </c>
    </row>
    <row r="1010" spans="1:16" hidden="1" x14ac:dyDescent="0.3">
      <c r="A1010" t="s">
        <v>2512</v>
      </c>
      <c r="B1010" s="1">
        <v>40981</v>
      </c>
      <c r="C1010" s="1" t="str">
        <f>TEXT(Walmart[[#This Row],[Order Date]],"mmmm")</f>
        <v>March</v>
      </c>
      <c r="D1010" s="1">
        <v>40986</v>
      </c>
      <c r="E1010" s="1" t="str">
        <f>IF(DATEDIF(Walmart[[#This Row],[Order Date]],Walmart[[#This Row],[Ship Date]],"D")&lt;7,"On time","Delayed")</f>
        <v>On time</v>
      </c>
      <c r="F1010" t="s">
        <v>1793</v>
      </c>
      <c r="G1010" t="s">
        <v>14</v>
      </c>
      <c r="H1010" t="s">
        <v>2348</v>
      </c>
      <c r="I1010" t="s">
        <v>16</v>
      </c>
      <c r="J1010" t="s">
        <v>88</v>
      </c>
      <c r="K1010" t="s">
        <v>116</v>
      </c>
      <c r="L1010">
        <v>915.14</v>
      </c>
      <c r="M1010">
        <v>4</v>
      </c>
      <c r="N1010" t="str">
        <f>IF(Walmart[[#This Row],[Quantity]]&gt;=7,"Bulk",IF(Walmart[[#This Row],[Quantity]]&gt;=2,"Multi","Single"))</f>
        <v>Multi</v>
      </c>
      <c r="O1010">
        <v>102.95</v>
      </c>
      <c r="P1010" t="str">
        <f>IF(Walmart[[#This Row],[Sales]]&gt;=1000,"High Value", IF(Walmart[[#This Row],[Sales]]&gt;=500,"Medium Value","Low Value"))</f>
        <v>Medium Value</v>
      </c>
    </row>
    <row r="1011" spans="1:16" hidden="1" x14ac:dyDescent="0.3">
      <c r="A1011" t="s">
        <v>2513</v>
      </c>
      <c r="B1011" s="1">
        <v>41021</v>
      </c>
      <c r="C1011" s="1" t="str">
        <f>TEXT(Walmart[[#This Row],[Order Date]],"mmmm")</f>
        <v>April</v>
      </c>
      <c r="D1011" s="1">
        <v>41025</v>
      </c>
      <c r="E1011" s="1" t="str">
        <f>IF(DATEDIF(Walmart[[#This Row],[Order Date]],Walmart[[#This Row],[Ship Date]],"D")&lt;7,"On time","Delayed")</f>
        <v>On time</v>
      </c>
      <c r="F1011" t="s">
        <v>2514</v>
      </c>
      <c r="G1011" t="s">
        <v>14</v>
      </c>
      <c r="H1011" t="s">
        <v>15</v>
      </c>
      <c r="I1011" t="s">
        <v>16</v>
      </c>
      <c r="J1011" t="s">
        <v>146</v>
      </c>
      <c r="K1011" t="s">
        <v>488</v>
      </c>
      <c r="L1011">
        <v>88.78</v>
      </c>
      <c r="M1011">
        <v>3</v>
      </c>
      <c r="N1011" t="str">
        <f>IF(Walmart[[#This Row],[Quantity]]&gt;=7,"Bulk",IF(Walmart[[#This Row],[Quantity]]&gt;=2,"Multi","Single"))</f>
        <v>Multi</v>
      </c>
      <c r="O1011">
        <v>7.77</v>
      </c>
      <c r="P1011" t="str">
        <f>IF(Walmart[[#This Row],[Sales]]&gt;=1000,"High Value", IF(Walmart[[#This Row],[Sales]]&gt;=500,"Medium Value","Low Value"))</f>
        <v>Low Value</v>
      </c>
    </row>
    <row r="1012" spans="1:16" hidden="1" x14ac:dyDescent="0.3">
      <c r="A1012" t="s">
        <v>2515</v>
      </c>
      <c r="B1012" s="1">
        <v>40837</v>
      </c>
      <c r="C1012" s="1" t="str">
        <f>TEXT(Walmart[[#This Row],[Order Date]],"mmmm")</f>
        <v>October</v>
      </c>
      <c r="D1012" s="1">
        <v>40842</v>
      </c>
      <c r="E1012" s="1" t="str">
        <f>IF(DATEDIF(Walmart[[#This Row],[Order Date]],Walmart[[#This Row],[Ship Date]],"D")&lt;7,"On time","Delayed")</f>
        <v>On time</v>
      </c>
      <c r="F1012" t="s">
        <v>2516</v>
      </c>
      <c r="G1012" t="s">
        <v>14</v>
      </c>
      <c r="H1012" t="s">
        <v>160</v>
      </c>
      <c r="I1012" t="s">
        <v>16</v>
      </c>
      <c r="J1012" t="s">
        <v>27</v>
      </c>
      <c r="K1012" t="s">
        <v>2517</v>
      </c>
      <c r="L1012">
        <v>36.36</v>
      </c>
      <c r="M1012">
        <v>3</v>
      </c>
      <c r="N1012" t="str">
        <f>IF(Walmart[[#This Row],[Quantity]]&gt;=7,"Bulk",IF(Walmart[[#This Row],[Quantity]]&gt;=2,"Multi","Single"))</f>
        <v>Multi</v>
      </c>
      <c r="O1012">
        <v>12.27</v>
      </c>
      <c r="P1012" t="str">
        <f>IF(Walmart[[#This Row],[Sales]]&gt;=1000,"High Value", IF(Walmart[[#This Row],[Sales]]&gt;=500,"Medium Value","Low Value"))</f>
        <v>Low Value</v>
      </c>
    </row>
    <row r="1013" spans="1:16" x14ac:dyDescent="0.3">
      <c r="A1013" t="s">
        <v>3426</v>
      </c>
      <c r="B1013" s="1">
        <v>41829</v>
      </c>
      <c r="C1013" s="1" t="str">
        <f>TEXT(Walmart[[#This Row],[Order Date]],"mmmm")</f>
        <v>July</v>
      </c>
      <c r="D1013" s="1">
        <v>41833</v>
      </c>
      <c r="E1013" s="1" t="str">
        <f>IF(DATEDIF(Walmart[[#This Row],[Order Date]],Walmart[[#This Row],[Ship Date]],"D")&lt;7,"On time","Delayed")</f>
        <v>On time</v>
      </c>
      <c r="F1013" t="s">
        <v>3427</v>
      </c>
      <c r="G1013" t="s">
        <v>14</v>
      </c>
      <c r="H1013" t="s">
        <v>25</v>
      </c>
      <c r="I1013" t="s">
        <v>26</v>
      </c>
      <c r="J1013" t="s">
        <v>93</v>
      </c>
      <c r="K1013" t="s">
        <v>125</v>
      </c>
      <c r="L1013">
        <v>52.76</v>
      </c>
      <c r="M1013">
        <v>2</v>
      </c>
      <c r="N1013" t="str">
        <f>IF(Walmart[[#This Row],[Quantity]]&gt;=7,"Bulk",IF(Walmart[[#This Row],[Quantity]]&gt;=2,"Multi","Single"))</f>
        <v>Multi</v>
      </c>
      <c r="O1013">
        <v>24.27</v>
      </c>
      <c r="P1013" t="str">
        <f>IF(Walmart[[#This Row],[Sales]]&gt;=1000,"High Value", IF(Walmart[[#This Row],[Sales]]&gt;=500,"Medium Value","Low Value"))</f>
        <v>Low Value</v>
      </c>
    </row>
    <row r="1014" spans="1:16" hidden="1" x14ac:dyDescent="0.3">
      <c r="A1014" t="s">
        <v>2520</v>
      </c>
      <c r="B1014" s="1">
        <v>41583</v>
      </c>
      <c r="C1014" s="1" t="str">
        <f>TEXT(Walmart[[#This Row],[Order Date]],"mmmm")</f>
        <v>November</v>
      </c>
      <c r="D1014" s="1">
        <v>41585</v>
      </c>
      <c r="E1014" s="1" t="str">
        <f>IF(DATEDIF(Walmart[[#This Row],[Order Date]],Walmart[[#This Row],[Ship Date]],"D")&lt;7,"On time","Delayed")</f>
        <v>On time</v>
      </c>
      <c r="F1014" t="s">
        <v>1747</v>
      </c>
      <c r="G1014" t="s">
        <v>14</v>
      </c>
      <c r="H1014" t="s">
        <v>2521</v>
      </c>
      <c r="I1014" t="s">
        <v>69</v>
      </c>
      <c r="J1014" t="s">
        <v>334</v>
      </c>
      <c r="K1014" t="s">
        <v>2522</v>
      </c>
      <c r="L1014">
        <v>17.579999999999998</v>
      </c>
      <c r="M1014">
        <v>7</v>
      </c>
      <c r="N1014" t="str">
        <f>IF(Walmart[[#This Row],[Quantity]]&gt;=7,"Bulk",IF(Walmart[[#This Row],[Quantity]]&gt;=2,"Multi","Single"))</f>
        <v>Bulk</v>
      </c>
      <c r="O1014">
        <v>-4.18</v>
      </c>
      <c r="P1014" t="str">
        <f>IF(Walmart[[#This Row],[Sales]]&gt;=1000,"High Value", IF(Walmart[[#This Row],[Sales]]&gt;=500,"Medium Value","Low Value"))</f>
        <v>Low Value</v>
      </c>
    </row>
    <row r="1015" spans="1:16" hidden="1" x14ac:dyDescent="0.3">
      <c r="A1015" t="s">
        <v>2523</v>
      </c>
      <c r="B1015" s="1">
        <v>40797</v>
      </c>
      <c r="C1015" s="1" t="str">
        <f>TEXT(Walmart[[#This Row],[Order Date]],"mmmm")</f>
        <v>September</v>
      </c>
      <c r="D1015" s="1">
        <v>40802</v>
      </c>
      <c r="E1015" s="1" t="str">
        <f>IF(DATEDIF(Walmart[[#This Row],[Order Date]],Walmart[[#This Row],[Ship Date]],"D")&lt;7,"On time","Delayed")</f>
        <v>On time</v>
      </c>
      <c r="F1015" t="s">
        <v>2524</v>
      </c>
      <c r="G1015" t="s">
        <v>14</v>
      </c>
      <c r="H1015" t="s">
        <v>2525</v>
      </c>
      <c r="I1015" t="s">
        <v>16</v>
      </c>
      <c r="J1015" t="s">
        <v>21</v>
      </c>
      <c r="K1015" t="s">
        <v>2526</v>
      </c>
      <c r="L1015">
        <v>127.95</v>
      </c>
      <c r="M1015">
        <v>3</v>
      </c>
      <c r="N1015" t="str">
        <f>IF(Walmart[[#This Row],[Quantity]]&gt;=7,"Bulk",IF(Walmart[[#This Row],[Quantity]]&gt;=2,"Multi","Single"))</f>
        <v>Multi</v>
      </c>
      <c r="O1015">
        <v>21.75</v>
      </c>
      <c r="P1015" t="str">
        <f>IF(Walmart[[#This Row],[Sales]]&gt;=1000,"High Value", IF(Walmart[[#This Row],[Sales]]&gt;=500,"Medium Value","Low Value"))</f>
        <v>Low Value</v>
      </c>
    </row>
    <row r="1016" spans="1:16" x14ac:dyDescent="0.3">
      <c r="A1016" t="s">
        <v>3134</v>
      </c>
      <c r="B1016" s="1">
        <v>41828</v>
      </c>
      <c r="C1016" s="1" t="str">
        <f>TEXT(Walmart[[#This Row],[Order Date]],"mmmm")</f>
        <v>July</v>
      </c>
      <c r="D1016" s="1">
        <v>41832</v>
      </c>
      <c r="E1016" s="1" t="str">
        <f>IF(DATEDIF(Walmart[[#This Row],[Order Date]],Walmart[[#This Row],[Ship Date]],"D")&lt;7,"On time","Delayed")</f>
        <v>On time</v>
      </c>
      <c r="F1016" t="s">
        <v>347</v>
      </c>
      <c r="G1016" t="s">
        <v>14</v>
      </c>
      <c r="H1016" t="s">
        <v>15</v>
      </c>
      <c r="I1016" t="s">
        <v>16</v>
      </c>
      <c r="J1016" t="s">
        <v>191</v>
      </c>
      <c r="K1016" t="s">
        <v>3135</v>
      </c>
      <c r="L1016">
        <v>5.94</v>
      </c>
      <c r="M1016">
        <v>3</v>
      </c>
      <c r="N1016" t="str">
        <f>IF(Walmart[[#This Row],[Quantity]]&gt;=7,"Bulk",IF(Walmart[[#This Row],[Quantity]]&gt;=2,"Multi","Single"))</f>
        <v>Multi</v>
      </c>
      <c r="O1016">
        <v>0.12</v>
      </c>
      <c r="P1016" t="str">
        <f>IF(Walmart[[#This Row],[Sales]]&gt;=1000,"High Value", IF(Walmart[[#This Row],[Sales]]&gt;=500,"Medium Value","Low Value"))</f>
        <v>Low Value</v>
      </c>
    </row>
    <row r="1017" spans="1:16" hidden="1" x14ac:dyDescent="0.3">
      <c r="A1017" t="s">
        <v>2528</v>
      </c>
      <c r="B1017" s="1">
        <v>41211</v>
      </c>
      <c r="C1017" s="1" t="str">
        <f>TEXT(Walmart[[#This Row],[Order Date]],"mmmm")</f>
        <v>October</v>
      </c>
      <c r="D1017" s="1">
        <v>41215</v>
      </c>
      <c r="E1017" s="1" t="str">
        <f>IF(DATEDIF(Walmart[[#This Row],[Order Date]],Walmart[[#This Row],[Ship Date]],"D")&lt;7,"On time","Delayed")</f>
        <v>On time</v>
      </c>
      <c r="F1017" t="s">
        <v>2529</v>
      </c>
      <c r="G1017" t="s">
        <v>14</v>
      </c>
      <c r="H1017" t="s">
        <v>37</v>
      </c>
      <c r="I1017" t="s">
        <v>16</v>
      </c>
      <c r="J1017" t="s">
        <v>93</v>
      </c>
      <c r="K1017" t="s">
        <v>642</v>
      </c>
      <c r="L1017">
        <v>33.4</v>
      </c>
      <c r="M1017">
        <v>5</v>
      </c>
      <c r="N1017" t="str">
        <f>IF(Walmart[[#This Row],[Quantity]]&gt;=7,"Bulk",IF(Walmart[[#This Row],[Quantity]]&gt;=2,"Multi","Single"))</f>
        <v>Multi</v>
      </c>
      <c r="O1017">
        <v>16.03</v>
      </c>
      <c r="P1017" t="str">
        <f>IF(Walmart[[#This Row],[Sales]]&gt;=1000,"High Value", IF(Walmart[[#This Row],[Sales]]&gt;=500,"Medium Value","Low Value"))</f>
        <v>Low Value</v>
      </c>
    </row>
    <row r="1018" spans="1:16" hidden="1" x14ac:dyDescent="0.3">
      <c r="A1018" t="s">
        <v>2530</v>
      </c>
      <c r="B1018" s="1">
        <v>41517</v>
      </c>
      <c r="C1018" s="1" t="str">
        <f>TEXT(Walmart[[#This Row],[Order Date]],"mmmm")</f>
        <v>August</v>
      </c>
      <c r="D1018" s="1">
        <v>41524</v>
      </c>
      <c r="E1018" s="1" t="str">
        <f>IF(DATEDIF(Walmart[[#This Row],[Order Date]],Walmart[[#This Row],[Ship Date]],"D")&lt;7,"On time","Delayed")</f>
        <v>Delayed</v>
      </c>
      <c r="F1018" t="s">
        <v>1764</v>
      </c>
      <c r="G1018" t="s">
        <v>14</v>
      </c>
      <c r="H1018" t="s">
        <v>15</v>
      </c>
      <c r="I1018" t="s">
        <v>16</v>
      </c>
      <c r="J1018" t="s">
        <v>21</v>
      </c>
      <c r="K1018" t="s">
        <v>2531</v>
      </c>
      <c r="L1018">
        <v>47.04</v>
      </c>
      <c r="M1018">
        <v>4</v>
      </c>
      <c r="N1018" t="str">
        <f>IF(Walmart[[#This Row],[Quantity]]&gt;=7,"Bulk",IF(Walmart[[#This Row],[Quantity]]&gt;=2,"Multi","Single"))</f>
        <v>Multi</v>
      </c>
      <c r="O1018">
        <v>15.99</v>
      </c>
      <c r="P1018" t="str">
        <f>IF(Walmart[[#This Row],[Sales]]&gt;=1000,"High Value", IF(Walmart[[#This Row],[Sales]]&gt;=500,"Medium Value","Low Value"))</f>
        <v>Low Value</v>
      </c>
    </row>
    <row r="1019" spans="1:16" hidden="1" x14ac:dyDescent="0.3">
      <c r="A1019" t="s">
        <v>2532</v>
      </c>
      <c r="B1019" s="1">
        <v>41030</v>
      </c>
      <c r="C1019" s="1" t="str">
        <f>TEXT(Walmart[[#This Row],[Order Date]],"mmmm")</f>
        <v>May</v>
      </c>
      <c r="D1019" s="1">
        <v>41035</v>
      </c>
      <c r="E1019" s="1" t="str">
        <f>IF(DATEDIF(Walmart[[#This Row],[Order Date]],Walmart[[#This Row],[Ship Date]],"D")&lt;7,"On time","Delayed")</f>
        <v>On time</v>
      </c>
      <c r="F1019" t="s">
        <v>2533</v>
      </c>
      <c r="G1019" t="s">
        <v>14</v>
      </c>
      <c r="H1019" t="s">
        <v>37</v>
      </c>
      <c r="I1019" t="s">
        <v>16</v>
      </c>
      <c r="J1019" t="s">
        <v>27</v>
      </c>
      <c r="K1019" t="s">
        <v>2534</v>
      </c>
      <c r="L1019">
        <v>12.18</v>
      </c>
      <c r="M1019">
        <v>1</v>
      </c>
      <c r="N1019" t="str">
        <f>IF(Walmart[[#This Row],[Quantity]]&gt;=7,"Bulk",IF(Walmart[[#This Row],[Quantity]]&gt;=2,"Multi","Single"))</f>
        <v>Single</v>
      </c>
      <c r="O1019">
        <v>4.41</v>
      </c>
      <c r="P1019" t="str">
        <f>IF(Walmart[[#This Row],[Sales]]&gt;=1000,"High Value", IF(Walmart[[#This Row],[Sales]]&gt;=500,"Medium Value","Low Value"))</f>
        <v>Low Value</v>
      </c>
    </row>
    <row r="1020" spans="1:16" x14ac:dyDescent="0.3">
      <c r="A1020" t="s">
        <v>2633</v>
      </c>
      <c r="B1020" s="1">
        <v>41827</v>
      </c>
      <c r="C1020" s="1" t="str">
        <f>TEXT(Walmart[[#This Row],[Order Date]],"mmmm")</f>
        <v>July</v>
      </c>
      <c r="D1020" s="1">
        <v>41832</v>
      </c>
      <c r="E1020" s="1" t="str">
        <f>IF(DATEDIF(Walmart[[#This Row],[Order Date]],Walmart[[#This Row],[Ship Date]],"D")&lt;7,"On time","Delayed")</f>
        <v>On time</v>
      </c>
      <c r="F1020" t="s">
        <v>2533</v>
      </c>
      <c r="G1020" t="s">
        <v>14</v>
      </c>
      <c r="H1020" t="s">
        <v>15</v>
      </c>
      <c r="I1020" t="s">
        <v>16</v>
      </c>
      <c r="J1020" t="s">
        <v>88</v>
      </c>
      <c r="K1020" t="s">
        <v>89</v>
      </c>
      <c r="L1020">
        <v>122.14</v>
      </c>
      <c r="M1020">
        <v>3</v>
      </c>
      <c r="N1020" t="str">
        <f>IF(Walmart[[#This Row],[Quantity]]&gt;=7,"Bulk",IF(Walmart[[#This Row],[Quantity]]&gt;=2,"Multi","Single"))</f>
        <v>Multi</v>
      </c>
      <c r="O1020">
        <v>-13.74</v>
      </c>
      <c r="P1020" t="str">
        <f>IF(Walmart[[#This Row],[Sales]]&gt;=1000,"High Value", IF(Walmart[[#This Row],[Sales]]&gt;=500,"Medium Value","Low Value"))</f>
        <v>Low Value</v>
      </c>
    </row>
    <row r="1021" spans="1:16" hidden="1" x14ac:dyDescent="0.3">
      <c r="A1021" t="s">
        <v>2537</v>
      </c>
      <c r="B1021" s="1">
        <v>41253</v>
      </c>
      <c r="C1021" s="1" t="str">
        <f>TEXT(Walmart[[#This Row],[Order Date]],"mmmm")</f>
        <v>December</v>
      </c>
      <c r="D1021" s="1">
        <v>41258</v>
      </c>
      <c r="E1021" s="1" t="str">
        <f>IF(DATEDIF(Walmart[[#This Row],[Order Date]],Walmart[[#This Row],[Ship Date]],"D")&lt;7,"On time","Delayed")</f>
        <v>On time</v>
      </c>
      <c r="F1021" t="s">
        <v>2538</v>
      </c>
      <c r="G1021" t="s">
        <v>14</v>
      </c>
      <c r="H1021" t="s">
        <v>15</v>
      </c>
      <c r="I1021" t="s">
        <v>16</v>
      </c>
      <c r="J1021" t="s">
        <v>38</v>
      </c>
      <c r="K1021" t="s">
        <v>1756</v>
      </c>
      <c r="L1021">
        <v>56.3</v>
      </c>
      <c r="M1021">
        <v>2</v>
      </c>
      <c r="N1021" t="str">
        <f>IF(Walmart[[#This Row],[Quantity]]&gt;=7,"Bulk",IF(Walmart[[#This Row],[Quantity]]&gt;=2,"Multi","Single"))</f>
        <v>Multi</v>
      </c>
      <c r="O1021">
        <v>15.76</v>
      </c>
      <c r="P1021" t="str">
        <f>IF(Walmart[[#This Row],[Sales]]&gt;=1000,"High Value", IF(Walmart[[#This Row],[Sales]]&gt;=500,"Medium Value","Low Value"))</f>
        <v>Low Value</v>
      </c>
    </row>
    <row r="1022" spans="1:16" hidden="1" x14ac:dyDescent="0.3">
      <c r="A1022" t="s">
        <v>2539</v>
      </c>
      <c r="B1022" s="1">
        <v>40872</v>
      </c>
      <c r="C1022" s="1" t="str">
        <f>TEXT(Walmart[[#This Row],[Order Date]],"mmmm")</f>
        <v>November</v>
      </c>
      <c r="D1022" s="1">
        <v>40877</v>
      </c>
      <c r="E1022" s="1" t="str">
        <f>IF(DATEDIF(Walmart[[#This Row],[Order Date]],Walmart[[#This Row],[Ship Date]],"D")&lt;7,"On time","Delayed")</f>
        <v>On time</v>
      </c>
      <c r="F1022" t="s">
        <v>1290</v>
      </c>
      <c r="G1022" t="s">
        <v>14</v>
      </c>
      <c r="H1022" t="s">
        <v>926</v>
      </c>
      <c r="I1022" t="s">
        <v>69</v>
      </c>
      <c r="J1022" t="s">
        <v>38</v>
      </c>
      <c r="K1022" t="s">
        <v>2540</v>
      </c>
      <c r="L1022">
        <v>51.02</v>
      </c>
      <c r="M1022">
        <v>7</v>
      </c>
      <c r="N1022" t="str">
        <f>IF(Walmart[[#This Row],[Quantity]]&gt;=7,"Bulk",IF(Walmart[[#This Row],[Quantity]]&gt;=2,"Multi","Single"))</f>
        <v>Bulk</v>
      </c>
      <c r="O1022">
        <v>8.2899999999999991</v>
      </c>
      <c r="P1022" t="str">
        <f>IF(Walmart[[#This Row],[Sales]]&gt;=1000,"High Value", IF(Walmart[[#This Row],[Sales]]&gt;=500,"Medium Value","Low Value"))</f>
        <v>Low Value</v>
      </c>
    </row>
    <row r="1023" spans="1:16" x14ac:dyDescent="0.3">
      <c r="A1023" t="s">
        <v>1178</v>
      </c>
      <c r="B1023" s="1">
        <v>41824</v>
      </c>
      <c r="C1023" s="1" t="str">
        <f>TEXT(Walmart[[#This Row],[Order Date]],"mmmm")</f>
        <v>July</v>
      </c>
      <c r="D1023" s="1">
        <v>41831</v>
      </c>
      <c r="E1023" s="1" t="str">
        <f>IF(DATEDIF(Walmart[[#This Row],[Order Date]],Walmart[[#This Row],[Ship Date]],"D")&lt;7,"On time","Delayed")</f>
        <v>Delayed</v>
      </c>
      <c r="F1023" t="s">
        <v>676</v>
      </c>
      <c r="G1023" t="s">
        <v>14</v>
      </c>
      <c r="H1023" t="s">
        <v>467</v>
      </c>
      <c r="I1023" t="s">
        <v>123</v>
      </c>
      <c r="J1023" t="s">
        <v>21</v>
      </c>
      <c r="K1023" t="s">
        <v>1179</v>
      </c>
      <c r="L1023">
        <v>545.85</v>
      </c>
      <c r="M1023">
        <v>9</v>
      </c>
      <c r="N1023" t="str">
        <f>IF(Walmart[[#This Row],[Quantity]]&gt;=7,"Bulk",IF(Walmart[[#This Row],[Quantity]]&gt;=2,"Multi","Single"))</f>
        <v>Bulk</v>
      </c>
      <c r="O1023">
        <v>114.63</v>
      </c>
      <c r="P1023" t="str">
        <f>IF(Walmart[[#This Row],[Sales]]&gt;=1000,"High Value", IF(Walmart[[#This Row],[Sales]]&gt;=500,"Medium Value","Low Value"))</f>
        <v>Medium Value</v>
      </c>
    </row>
    <row r="1024" spans="1:16" x14ac:dyDescent="0.3">
      <c r="A1024" t="s">
        <v>1592</v>
      </c>
      <c r="B1024" s="1">
        <v>41824</v>
      </c>
      <c r="C1024" s="1" t="str">
        <f>TEXT(Walmart[[#This Row],[Order Date]],"mmmm")</f>
        <v>July</v>
      </c>
      <c r="D1024" s="1">
        <v>41824</v>
      </c>
      <c r="E1024" s="1" t="str">
        <f>IF(DATEDIF(Walmart[[#This Row],[Order Date]],Walmart[[#This Row],[Ship Date]],"D")&lt;7,"On time","Delayed")</f>
        <v>On time</v>
      </c>
      <c r="F1024" t="s">
        <v>1593</v>
      </c>
      <c r="G1024" t="s">
        <v>14</v>
      </c>
      <c r="H1024" t="s">
        <v>25</v>
      </c>
      <c r="I1024" t="s">
        <v>26</v>
      </c>
      <c r="J1024" t="s">
        <v>53</v>
      </c>
      <c r="K1024" t="s">
        <v>170</v>
      </c>
      <c r="L1024">
        <v>59.98</v>
      </c>
      <c r="M1024">
        <v>2</v>
      </c>
      <c r="N1024" t="str">
        <f>IF(Walmart[[#This Row],[Quantity]]&gt;=7,"Bulk",IF(Walmart[[#This Row],[Quantity]]&gt;=2,"Multi","Single"))</f>
        <v>Multi</v>
      </c>
      <c r="O1024">
        <v>26.39</v>
      </c>
      <c r="P1024" t="str">
        <f>IF(Walmart[[#This Row],[Sales]]&gt;=1000,"High Value", IF(Walmart[[#This Row],[Sales]]&gt;=500,"Medium Value","Low Value"))</f>
        <v>Low Value</v>
      </c>
    </row>
    <row r="1025" spans="1:16" hidden="1" x14ac:dyDescent="0.3">
      <c r="A1025" t="s">
        <v>2544</v>
      </c>
      <c r="B1025" s="1">
        <v>41624</v>
      </c>
      <c r="C1025" s="1" t="str">
        <f>TEXT(Walmart[[#This Row],[Order Date]],"mmmm")</f>
        <v>December</v>
      </c>
      <c r="D1025" s="1">
        <v>41631</v>
      </c>
      <c r="E1025" s="1" t="str">
        <f>IF(DATEDIF(Walmart[[#This Row],[Order Date]],Walmart[[#This Row],[Ship Date]],"D")&lt;7,"On time","Delayed")</f>
        <v>Delayed</v>
      </c>
      <c r="F1025" t="s">
        <v>908</v>
      </c>
      <c r="G1025" t="s">
        <v>14</v>
      </c>
      <c r="H1025" t="s">
        <v>15</v>
      </c>
      <c r="I1025" t="s">
        <v>16</v>
      </c>
      <c r="J1025" t="s">
        <v>21</v>
      </c>
      <c r="K1025" t="s">
        <v>1687</v>
      </c>
      <c r="L1025">
        <v>14.76</v>
      </c>
      <c r="M1025">
        <v>2</v>
      </c>
      <c r="N1025" t="str">
        <f>IF(Walmart[[#This Row],[Quantity]]&gt;=7,"Bulk",IF(Walmart[[#This Row],[Quantity]]&gt;=2,"Multi","Single"))</f>
        <v>Multi</v>
      </c>
      <c r="O1025">
        <v>4.28</v>
      </c>
      <c r="P1025" t="str">
        <f>IF(Walmart[[#This Row],[Sales]]&gt;=1000,"High Value", IF(Walmart[[#This Row],[Sales]]&gt;=500,"Medium Value","Low Value"))</f>
        <v>Low Value</v>
      </c>
    </row>
    <row r="1026" spans="1:16" hidden="1" x14ac:dyDescent="0.3">
      <c r="A1026" t="s">
        <v>2545</v>
      </c>
      <c r="B1026" s="1">
        <v>40641</v>
      </c>
      <c r="C1026" s="1" t="str">
        <f>TEXT(Walmart[[#This Row],[Order Date]],"mmmm")</f>
        <v>April</v>
      </c>
      <c r="D1026" s="1">
        <v>40646</v>
      </c>
      <c r="E1026" s="1" t="str">
        <f>IF(DATEDIF(Walmart[[#This Row],[Order Date]],Walmart[[#This Row],[Ship Date]],"D")&lt;7,"On time","Delayed")</f>
        <v>On time</v>
      </c>
      <c r="F1026" t="s">
        <v>736</v>
      </c>
      <c r="G1026" t="s">
        <v>14</v>
      </c>
      <c r="H1026" t="s">
        <v>2099</v>
      </c>
      <c r="I1026" t="s">
        <v>58</v>
      </c>
      <c r="J1026" t="s">
        <v>191</v>
      </c>
      <c r="K1026" t="s">
        <v>2546</v>
      </c>
      <c r="L1026">
        <v>49.79</v>
      </c>
      <c r="M1026">
        <v>8</v>
      </c>
      <c r="N1026" t="str">
        <f>IF(Walmart[[#This Row],[Quantity]]&gt;=7,"Bulk",IF(Walmart[[#This Row],[Quantity]]&gt;=2,"Multi","Single"))</f>
        <v>Bulk</v>
      </c>
      <c r="O1026">
        <v>-11.83</v>
      </c>
      <c r="P1026" t="str">
        <f>IF(Walmart[[#This Row],[Sales]]&gt;=1000,"High Value", IF(Walmart[[#This Row],[Sales]]&gt;=500,"Medium Value","Low Value"))</f>
        <v>Low Value</v>
      </c>
    </row>
    <row r="1027" spans="1:16" x14ac:dyDescent="0.3">
      <c r="A1027" t="s">
        <v>1798</v>
      </c>
      <c r="B1027" s="1">
        <v>41824</v>
      </c>
      <c r="C1027" s="1" t="str">
        <f>TEXT(Walmart[[#This Row],[Order Date]],"mmmm")</f>
        <v>July</v>
      </c>
      <c r="D1027" s="1">
        <v>41831</v>
      </c>
      <c r="E1027" s="1" t="str">
        <f>IF(DATEDIF(Walmart[[#This Row],[Order Date]],Walmart[[#This Row],[Ship Date]],"D")&lt;7,"On time","Delayed")</f>
        <v>Delayed</v>
      </c>
      <c r="F1027" t="s">
        <v>711</v>
      </c>
      <c r="G1027" t="s">
        <v>14</v>
      </c>
      <c r="H1027" t="s">
        <v>1799</v>
      </c>
      <c r="I1027" t="s">
        <v>16</v>
      </c>
      <c r="J1027" t="s">
        <v>21</v>
      </c>
      <c r="K1027" t="s">
        <v>1709</v>
      </c>
      <c r="L1027">
        <v>129.38999999999999</v>
      </c>
      <c r="M1027">
        <v>3</v>
      </c>
      <c r="N1027" t="str">
        <f>IF(Walmart[[#This Row],[Quantity]]&gt;=7,"Bulk",IF(Walmart[[#This Row],[Quantity]]&gt;=2,"Multi","Single"))</f>
        <v>Multi</v>
      </c>
      <c r="O1027">
        <v>54.34</v>
      </c>
      <c r="P1027" t="str">
        <f>IF(Walmart[[#This Row],[Sales]]&gt;=1000,"High Value", IF(Walmart[[#This Row],[Sales]]&gt;=500,"Medium Value","Low Value"))</f>
        <v>Low Value</v>
      </c>
    </row>
    <row r="1028" spans="1:16" x14ac:dyDescent="0.3">
      <c r="A1028" t="s">
        <v>2473</v>
      </c>
      <c r="B1028" s="1">
        <v>41824</v>
      </c>
      <c r="C1028" s="1" t="str">
        <f>TEXT(Walmart[[#This Row],[Order Date]],"mmmm")</f>
        <v>July</v>
      </c>
      <c r="D1028" s="1">
        <v>41829</v>
      </c>
      <c r="E1028" s="1" t="str">
        <f>IF(DATEDIF(Walmart[[#This Row],[Order Date]],Walmart[[#This Row],[Ship Date]],"D")&lt;7,"On time","Delayed")</f>
        <v>On time</v>
      </c>
      <c r="F1028" t="s">
        <v>1509</v>
      </c>
      <c r="G1028" t="s">
        <v>14</v>
      </c>
      <c r="H1028" t="s">
        <v>15</v>
      </c>
      <c r="I1028" t="s">
        <v>16</v>
      </c>
      <c r="J1028" t="s">
        <v>33</v>
      </c>
      <c r="K1028" t="s">
        <v>2474</v>
      </c>
      <c r="L1028">
        <v>87.92</v>
      </c>
      <c r="M1028">
        <v>4</v>
      </c>
      <c r="N1028" t="str">
        <f>IF(Walmart[[#This Row],[Quantity]]&gt;=7,"Bulk",IF(Walmart[[#This Row],[Quantity]]&gt;=2,"Multi","Single"))</f>
        <v>Multi</v>
      </c>
      <c r="O1028">
        <v>0.88</v>
      </c>
      <c r="P1028" t="str">
        <f>IF(Walmart[[#This Row],[Sales]]&gt;=1000,"High Value", IF(Walmart[[#This Row],[Sales]]&gt;=500,"Medium Value","Low Value"))</f>
        <v>Low Value</v>
      </c>
    </row>
    <row r="1029" spans="1:16" hidden="1" x14ac:dyDescent="0.3">
      <c r="A1029" t="s">
        <v>2552</v>
      </c>
      <c r="B1029" s="1">
        <v>40750</v>
      </c>
      <c r="C1029" s="1" t="str">
        <f>TEXT(Walmart[[#This Row],[Order Date]],"mmmm")</f>
        <v>July</v>
      </c>
      <c r="D1029" s="1">
        <v>40756</v>
      </c>
      <c r="E1029" s="1" t="str">
        <f>IF(DATEDIF(Walmart[[#This Row],[Order Date]],Walmart[[#This Row],[Ship Date]],"D")&lt;7,"On time","Delayed")</f>
        <v>On time</v>
      </c>
      <c r="F1029" t="s">
        <v>1711</v>
      </c>
      <c r="G1029" t="s">
        <v>14</v>
      </c>
      <c r="H1029" t="s">
        <v>2259</v>
      </c>
      <c r="I1029" t="s">
        <v>32</v>
      </c>
      <c r="J1029" t="s">
        <v>53</v>
      </c>
      <c r="K1029" t="s">
        <v>2553</v>
      </c>
      <c r="L1029">
        <v>111.93</v>
      </c>
      <c r="M1029">
        <v>7</v>
      </c>
      <c r="N1029" t="str">
        <f>IF(Walmart[[#This Row],[Quantity]]&gt;=7,"Bulk",IF(Walmart[[#This Row],[Quantity]]&gt;=2,"Multi","Single"))</f>
        <v>Bulk</v>
      </c>
      <c r="O1029">
        <v>34.700000000000003</v>
      </c>
      <c r="P1029" t="str">
        <f>IF(Walmart[[#This Row],[Sales]]&gt;=1000,"High Value", IF(Walmart[[#This Row],[Sales]]&gt;=500,"Medium Value","Low Value"))</f>
        <v>Low Value</v>
      </c>
    </row>
    <row r="1030" spans="1:16" hidden="1" x14ac:dyDescent="0.3">
      <c r="A1030" t="s">
        <v>2554</v>
      </c>
      <c r="B1030" s="1">
        <v>41206</v>
      </c>
      <c r="C1030" s="1" t="str">
        <f>TEXT(Walmart[[#This Row],[Order Date]],"mmmm")</f>
        <v>October</v>
      </c>
      <c r="D1030" s="1">
        <v>41209</v>
      </c>
      <c r="E1030" s="1" t="str">
        <f>IF(DATEDIF(Walmart[[#This Row],[Order Date]],Walmart[[#This Row],[Ship Date]],"D")&lt;7,"On time","Delayed")</f>
        <v>On time</v>
      </c>
      <c r="F1030" t="s">
        <v>2555</v>
      </c>
      <c r="G1030" t="s">
        <v>14</v>
      </c>
      <c r="H1030" t="s">
        <v>556</v>
      </c>
      <c r="I1030" t="s">
        <v>16</v>
      </c>
      <c r="J1030" t="s">
        <v>88</v>
      </c>
      <c r="K1030" t="s">
        <v>996</v>
      </c>
      <c r="L1030">
        <v>454.27</v>
      </c>
      <c r="M1030">
        <v>8</v>
      </c>
      <c r="N1030" t="str">
        <f>IF(Walmart[[#This Row],[Quantity]]&gt;=7,"Bulk",IF(Walmart[[#This Row],[Quantity]]&gt;=2,"Multi","Single"))</f>
        <v>Bulk</v>
      </c>
      <c r="O1030">
        <v>-73.819999999999993</v>
      </c>
      <c r="P1030" t="str">
        <f>IF(Walmart[[#This Row],[Sales]]&gt;=1000,"High Value", IF(Walmart[[#This Row],[Sales]]&gt;=500,"Medium Value","Low Value"))</f>
        <v>Low Value</v>
      </c>
    </row>
    <row r="1031" spans="1:16" x14ac:dyDescent="0.3">
      <c r="A1031" t="s">
        <v>224</v>
      </c>
      <c r="B1031" s="1">
        <v>41821</v>
      </c>
      <c r="C1031" s="1" t="str">
        <f>TEXT(Walmart[[#This Row],[Order Date]],"mmmm")</f>
        <v>July</v>
      </c>
      <c r="D1031" s="1">
        <v>41826</v>
      </c>
      <c r="E1031" s="1" t="str">
        <f>IF(DATEDIF(Walmart[[#This Row],[Order Date]],Walmart[[#This Row],[Ship Date]],"D")&lt;7,"On time","Delayed")</f>
        <v>On time</v>
      </c>
      <c r="F1031" t="s">
        <v>225</v>
      </c>
      <c r="G1031" t="s">
        <v>14</v>
      </c>
      <c r="H1031" t="s">
        <v>226</v>
      </c>
      <c r="I1031" t="s">
        <v>227</v>
      </c>
      <c r="J1031" t="s">
        <v>27</v>
      </c>
      <c r="K1031" t="s">
        <v>228</v>
      </c>
      <c r="L1031">
        <v>75.790000000000006</v>
      </c>
      <c r="M1031">
        <v>3</v>
      </c>
      <c r="N1031" t="str">
        <f>IF(Walmart[[#This Row],[Quantity]]&gt;=7,"Bulk",IF(Walmart[[#This Row],[Quantity]]&gt;=2,"Multi","Single"))</f>
        <v>Multi</v>
      </c>
      <c r="O1031">
        <v>25.58</v>
      </c>
      <c r="P1031" t="str">
        <f>IF(Walmart[[#This Row],[Sales]]&gt;=1000,"High Value", IF(Walmart[[#This Row],[Sales]]&gt;=500,"Medium Value","Low Value"))</f>
        <v>Low Value</v>
      </c>
    </row>
    <row r="1032" spans="1:16" x14ac:dyDescent="0.3">
      <c r="A1032" t="s">
        <v>3018</v>
      </c>
      <c r="B1032" s="1">
        <v>41821</v>
      </c>
      <c r="C1032" s="1" t="str">
        <f>TEXT(Walmart[[#This Row],[Order Date]],"mmmm")</f>
        <v>July</v>
      </c>
      <c r="D1032" s="1">
        <v>41823</v>
      </c>
      <c r="E1032" s="1" t="str">
        <f>IF(DATEDIF(Walmart[[#This Row],[Order Date]],Walmart[[#This Row],[Ship Date]],"D")&lt;7,"On time","Delayed")</f>
        <v>On time</v>
      </c>
      <c r="F1032" t="s">
        <v>3019</v>
      </c>
      <c r="G1032" t="s">
        <v>14</v>
      </c>
      <c r="H1032" t="s">
        <v>15</v>
      </c>
      <c r="I1032" t="s">
        <v>16</v>
      </c>
      <c r="J1032" t="s">
        <v>671</v>
      </c>
      <c r="K1032" t="s">
        <v>1534</v>
      </c>
      <c r="L1032">
        <v>436</v>
      </c>
      <c r="M1032">
        <v>3</v>
      </c>
      <c r="N1032" t="str">
        <f>IF(Walmart[[#This Row],[Quantity]]&gt;=7,"Bulk",IF(Walmart[[#This Row],[Quantity]]&gt;=2,"Multi","Single"))</f>
        <v>Multi</v>
      </c>
      <c r="O1032">
        <v>5.13</v>
      </c>
      <c r="P1032" t="str">
        <f>IF(Walmart[[#This Row],[Sales]]&gt;=1000,"High Value", IF(Walmart[[#This Row],[Sales]]&gt;=500,"Medium Value","Low Value"))</f>
        <v>Low Value</v>
      </c>
    </row>
    <row r="1033" spans="1:16" x14ac:dyDescent="0.3">
      <c r="A1033" t="s">
        <v>3043</v>
      </c>
      <c r="B1033" s="1">
        <v>41821</v>
      </c>
      <c r="C1033" s="1" t="str">
        <f>TEXT(Walmart[[#This Row],[Order Date]],"mmmm")</f>
        <v>July</v>
      </c>
      <c r="D1033" s="1">
        <v>41826</v>
      </c>
      <c r="E1033" s="1" t="str">
        <f>IF(DATEDIF(Walmart[[#This Row],[Order Date]],Walmart[[#This Row],[Ship Date]],"D")&lt;7,"On time","Delayed")</f>
        <v>On time</v>
      </c>
      <c r="F1033" t="s">
        <v>1383</v>
      </c>
      <c r="G1033" t="s">
        <v>14</v>
      </c>
      <c r="H1033" t="s">
        <v>15</v>
      </c>
      <c r="I1033" t="s">
        <v>16</v>
      </c>
      <c r="J1033" t="s">
        <v>93</v>
      </c>
      <c r="K1033" t="s">
        <v>866</v>
      </c>
      <c r="L1033">
        <v>204.95</v>
      </c>
      <c r="M1033">
        <v>5</v>
      </c>
      <c r="N1033" t="str">
        <f>IF(Walmart[[#This Row],[Quantity]]&gt;=7,"Bulk",IF(Walmart[[#This Row],[Quantity]]&gt;=2,"Multi","Single"))</f>
        <v>Multi</v>
      </c>
      <c r="O1033">
        <v>100.43</v>
      </c>
      <c r="P1033" t="str">
        <f>IF(Walmart[[#This Row],[Sales]]&gt;=1000,"High Value", IF(Walmart[[#This Row],[Sales]]&gt;=500,"Medium Value","Low Value"))</f>
        <v>Low Value</v>
      </c>
    </row>
    <row r="1034" spans="1:16" x14ac:dyDescent="0.3">
      <c r="A1034" t="s">
        <v>307</v>
      </c>
      <c r="B1034" s="1">
        <v>41820</v>
      </c>
      <c r="C1034" s="1" t="str">
        <f>TEXT(Walmart[[#This Row],[Order Date]],"mmmm")</f>
        <v>June</v>
      </c>
      <c r="D1034" s="1">
        <v>41824</v>
      </c>
      <c r="E1034" s="1" t="str">
        <f>IF(DATEDIF(Walmart[[#This Row],[Order Date]],Walmart[[#This Row],[Ship Date]],"D")&lt;7,"On time","Delayed")</f>
        <v>On time</v>
      </c>
      <c r="F1034" t="s">
        <v>308</v>
      </c>
      <c r="G1034" t="s">
        <v>14</v>
      </c>
      <c r="H1034" t="s">
        <v>309</v>
      </c>
      <c r="I1034" t="s">
        <v>16</v>
      </c>
      <c r="J1034" t="s">
        <v>33</v>
      </c>
      <c r="K1034" t="s">
        <v>310</v>
      </c>
      <c r="L1034">
        <v>1295.78</v>
      </c>
      <c r="M1034">
        <v>2</v>
      </c>
      <c r="N1034" t="str">
        <f>IF(Walmart[[#This Row],[Quantity]]&gt;=7,"Bulk",IF(Walmart[[#This Row],[Quantity]]&gt;=2,"Multi","Single"))</f>
        <v>Multi</v>
      </c>
      <c r="O1034">
        <v>310.99</v>
      </c>
      <c r="P1034" t="str">
        <f>IF(Walmart[[#This Row],[Sales]]&gt;=1000,"High Value", IF(Walmart[[#This Row],[Sales]]&gt;=500,"Medium Value","Low Value"))</f>
        <v>High Value</v>
      </c>
    </row>
    <row r="1035" spans="1:16" x14ac:dyDescent="0.3">
      <c r="A1035" t="s">
        <v>1271</v>
      </c>
      <c r="B1035" s="1">
        <v>41820</v>
      </c>
      <c r="C1035" s="1" t="str">
        <f>TEXT(Walmart[[#This Row],[Order Date]],"mmmm")</f>
        <v>June</v>
      </c>
      <c r="D1035" s="1">
        <v>41827</v>
      </c>
      <c r="E1035" s="1" t="str">
        <f>IF(DATEDIF(Walmart[[#This Row],[Order Date]],Walmart[[#This Row],[Ship Date]],"D")&lt;7,"On time","Delayed")</f>
        <v>Delayed</v>
      </c>
      <c r="F1035" t="s">
        <v>1272</v>
      </c>
      <c r="G1035" t="s">
        <v>14</v>
      </c>
      <c r="H1035" t="s">
        <v>15</v>
      </c>
      <c r="I1035" t="s">
        <v>16</v>
      </c>
      <c r="J1035" t="s">
        <v>27</v>
      </c>
      <c r="K1035" t="s">
        <v>1273</v>
      </c>
      <c r="L1035">
        <v>312.55</v>
      </c>
      <c r="M1035">
        <v>9</v>
      </c>
      <c r="N1035" t="str">
        <f>IF(Walmart[[#This Row],[Quantity]]&gt;=7,"Bulk",IF(Walmart[[#This Row],[Quantity]]&gt;=2,"Multi","Single"))</f>
        <v>Bulk</v>
      </c>
      <c r="O1035">
        <v>101.58</v>
      </c>
      <c r="P1035" t="str">
        <f>IF(Walmart[[#This Row],[Sales]]&gt;=1000,"High Value", IF(Walmart[[#This Row],[Sales]]&gt;=500,"Medium Value","Low Value"))</f>
        <v>Low Value</v>
      </c>
    </row>
    <row r="1036" spans="1:16" x14ac:dyDescent="0.3">
      <c r="A1036" t="s">
        <v>1937</v>
      </c>
      <c r="B1036" s="1">
        <v>41820</v>
      </c>
      <c r="C1036" s="1" t="str">
        <f>TEXT(Walmart[[#This Row],[Order Date]],"mmmm")</f>
        <v>June</v>
      </c>
      <c r="D1036" s="1">
        <v>41821</v>
      </c>
      <c r="E1036" s="1" t="str">
        <f>IF(DATEDIF(Walmart[[#This Row],[Order Date]],Walmart[[#This Row],[Ship Date]],"D")&lt;7,"On time","Delayed")</f>
        <v>On time</v>
      </c>
      <c r="F1036" t="s">
        <v>1035</v>
      </c>
      <c r="G1036" t="s">
        <v>14</v>
      </c>
      <c r="H1036" t="s">
        <v>15</v>
      </c>
      <c r="I1036" t="s">
        <v>16</v>
      </c>
      <c r="J1036" t="s">
        <v>27</v>
      </c>
      <c r="K1036" t="s">
        <v>1938</v>
      </c>
      <c r="L1036">
        <v>895.92</v>
      </c>
      <c r="M1036">
        <v>5</v>
      </c>
      <c r="N1036" t="str">
        <f>IF(Walmart[[#This Row],[Quantity]]&gt;=7,"Bulk",IF(Walmart[[#This Row],[Quantity]]&gt;=2,"Multi","Single"))</f>
        <v>Multi</v>
      </c>
      <c r="O1036">
        <v>302.37</v>
      </c>
      <c r="P1036" t="str">
        <f>IF(Walmart[[#This Row],[Sales]]&gt;=1000,"High Value", IF(Walmart[[#This Row],[Sales]]&gt;=500,"Medium Value","Low Value"))</f>
        <v>Medium Value</v>
      </c>
    </row>
    <row r="1037" spans="1:16" x14ac:dyDescent="0.3">
      <c r="A1037" t="s">
        <v>3208</v>
      </c>
      <c r="B1037" s="1">
        <v>41818</v>
      </c>
      <c r="C1037" s="1" t="str">
        <f>TEXT(Walmart[[#This Row],[Order Date]],"mmmm")</f>
        <v>June</v>
      </c>
      <c r="D1037" s="1">
        <v>41820</v>
      </c>
      <c r="E1037" s="1" t="str">
        <f>IF(DATEDIF(Walmart[[#This Row],[Order Date]],Walmart[[#This Row],[Ship Date]],"D")&lt;7,"On time","Delayed")</f>
        <v>On time</v>
      </c>
      <c r="F1037" t="s">
        <v>2971</v>
      </c>
      <c r="G1037" t="s">
        <v>14</v>
      </c>
      <c r="H1037" t="s">
        <v>25</v>
      </c>
      <c r="I1037" t="s">
        <v>26</v>
      </c>
      <c r="J1037" t="s">
        <v>93</v>
      </c>
      <c r="K1037" t="s">
        <v>3209</v>
      </c>
      <c r="L1037">
        <v>19.440000000000001</v>
      </c>
      <c r="M1037">
        <v>3</v>
      </c>
      <c r="N1037" t="str">
        <f>IF(Walmart[[#This Row],[Quantity]]&gt;=7,"Bulk",IF(Walmart[[#This Row],[Quantity]]&gt;=2,"Multi","Single"))</f>
        <v>Multi</v>
      </c>
      <c r="O1037">
        <v>9.33</v>
      </c>
      <c r="P1037" t="str">
        <f>IF(Walmart[[#This Row],[Sales]]&gt;=1000,"High Value", IF(Walmart[[#This Row],[Sales]]&gt;=500,"Medium Value","Low Value"))</f>
        <v>Low Value</v>
      </c>
    </row>
    <row r="1038" spans="1:16" hidden="1" x14ac:dyDescent="0.3">
      <c r="A1038" t="s">
        <v>2567</v>
      </c>
      <c r="B1038" s="1">
        <v>41477</v>
      </c>
      <c r="C1038" s="1" t="str">
        <f>TEXT(Walmart[[#This Row],[Order Date]],"mmmm")</f>
        <v>July</v>
      </c>
      <c r="D1038" s="1">
        <v>41482</v>
      </c>
      <c r="E1038" s="1" t="str">
        <f>IF(DATEDIF(Walmart[[#This Row],[Order Date]],Walmart[[#This Row],[Ship Date]],"D")&lt;7,"On time","Delayed")</f>
        <v>On time</v>
      </c>
      <c r="F1038" t="s">
        <v>692</v>
      </c>
      <c r="G1038" t="s">
        <v>14</v>
      </c>
      <c r="H1038" t="s">
        <v>92</v>
      </c>
      <c r="I1038" t="s">
        <v>16</v>
      </c>
      <c r="J1038" t="s">
        <v>124</v>
      </c>
      <c r="K1038" t="s">
        <v>2568</v>
      </c>
      <c r="L1038">
        <v>419.9</v>
      </c>
      <c r="M1038">
        <v>5</v>
      </c>
      <c r="N1038" t="str">
        <f>IF(Walmart[[#This Row],[Quantity]]&gt;=7,"Bulk",IF(Walmart[[#This Row],[Quantity]]&gt;=2,"Multi","Single"))</f>
        <v>Multi</v>
      </c>
      <c r="O1038">
        <v>197.35</v>
      </c>
      <c r="P1038" t="str">
        <f>IF(Walmart[[#This Row],[Sales]]&gt;=1000,"High Value", IF(Walmart[[#This Row],[Sales]]&gt;=500,"Medium Value","Low Value"))</f>
        <v>Low Value</v>
      </c>
    </row>
    <row r="1039" spans="1:16" hidden="1" x14ac:dyDescent="0.3">
      <c r="A1039" t="s">
        <v>2569</v>
      </c>
      <c r="B1039" s="1">
        <v>41405</v>
      </c>
      <c r="C1039" s="1" t="str">
        <f>TEXT(Walmart[[#This Row],[Order Date]],"mmmm")</f>
        <v>May</v>
      </c>
      <c r="D1039" s="1">
        <v>41411</v>
      </c>
      <c r="E1039" s="1" t="str">
        <f>IF(DATEDIF(Walmart[[#This Row],[Order Date]],Walmart[[#This Row],[Ship Date]],"D")&lt;7,"On time","Delayed")</f>
        <v>On time</v>
      </c>
      <c r="F1039" t="s">
        <v>2570</v>
      </c>
      <c r="G1039" t="s">
        <v>14</v>
      </c>
      <c r="H1039" t="s">
        <v>25</v>
      </c>
      <c r="I1039" t="s">
        <v>26</v>
      </c>
      <c r="J1039" t="s">
        <v>93</v>
      </c>
      <c r="K1039" t="s">
        <v>2571</v>
      </c>
      <c r="L1039">
        <v>11.96</v>
      </c>
      <c r="M1039">
        <v>2</v>
      </c>
      <c r="N1039" t="str">
        <f>IF(Walmart[[#This Row],[Quantity]]&gt;=7,"Bulk",IF(Walmart[[#This Row],[Quantity]]&gt;=2,"Multi","Single"))</f>
        <v>Multi</v>
      </c>
      <c r="O1039">
        <v>5.86</v>
      </c>
      <c r="P1039" t="str">
        <f>IF(Walmart[[#This Row],[Sales]]&gt;=1000,"High Value", IF(Walmart[[#This Row],[Sales]]&gt;=500,"Medium Value","Low Value"))</f>
        <v>Low Value</v>
      </c>
    </row>
    <row r="1040" spans="1:16" x14ac:dyDescent="0.3">
      <c r="A1040" t="s">
        <v>456</v>
      </c>
      <c r="B1040" s="1">
        <v>41817</v>
      </c>
      <c r="C1040" s="1" t="str">
        <f>TEXT(Walmart[[#This Row],[Order Date]],"mmmm")</f>
        <v>June</v>
      </c>
      <c r="D1040" s="1">
        <v>41823</v>
      </c>
      <c r="E1040" s="1" t="str">
        <f>IF(DATEDIF(Walmart[[#This Row],[Order Date]],Walmart[[#This Row],[Ship Date]],"D")&lt;7,"On time","Delayed")</f>
        <v>On time</v>
      </c>
      <c r="F1040" t="s">
        <v>312</v>
      </c>
      <c r="G1040" t="s">
        <v>14</v>
      </c>
      <c r="H1040" t="s">
        <v>160</v>
      </c>
      <c r="I1040" t="s">
        <v>16</v>
      </c>
      <c r="J1040" t="s">
        <v>33</v>
      </c>
      <c r="K1040" t="s">
        <v>457</v>
      </c>
      <c r="L1040">
        <v>83.76</v>
      </c>
      <c r="M1040">
        <v>12</v>
      </c>
      <c r="N1040" t="str">
        <f>IF(Walmart[[#This Row],[Quantity]]&gt;=7,"Bulk",IF(Walmart[[#This Row],[Quantity]]&gt;=2,"Multi","Single"))</f>
        <v>Bulk</v>
      </c>
      <c r="O1040">
        <v>1.68</v>
      </c>
      <c r="P1040" t="str">
        <f>IF(Walmart[[#This Row],[Sales]]&gt;=1000,"High Value", IF(Walmart[[#This Row],[Sales]]&gt;=500,"Medium Value","Low Value"))</f>
        <v>Low Value</v>
      </c>
    </row>
    <row r="1041" spans="1:16" hidden="1" x14ac:dyDescent="0.3">
      <c r="A1041" t="s">
        <v>2574</v>
      </c>
      <c r="B1041" s="1">
        <v>40780</v>
      </c>
      <c r="C1041" s="1" t="str">
        <f>TEXT(Walmart[[#This Row],[Order Date]],"mmmm")</f>
        <v>August</v>
      </c>
      <c r="D1041" s="1">
        <v>40785</v>
      </c>
      <c r="E1041" s="1" t="str">
        <f>IF(DATEDIF(Walmart[[#This Row],[Order Date]],Walmart[[#This Row],[Ship Date]],"D")&lt;7,"On time","Delayed")</f>
        <v>On time</v>
      </c>
      <c r="F1041" t="s">
        <v>2481</v>
      </c>
      <c r="G1041" t="s">
        <v>14</v>
      </c>
      <c r="H1041" t="s">
        <v>25</v>
      </c>
      <c r="I1041" t="s">
        <v>26</v>
      </c>
      <c r="J1041" t="s">
        <v>146</v>
      </c>
      <c r="K1041" t="s">
        <v>2575</v>
      </c>
      <c r="L1041">
        <v>1007.94</v>
      </c>
      <c r="M1041">
        <v>7</v>
      </c>
      <c r="N1041" t="str">
        <f>IF(Walmart[[#This Row],[Quantity]]&gt;=7,"Bulk",IF(Walmart[[#This Row],[Quantity]]&gt;=2,"Multi","Single"))</f>
        <v>Bulk</v>
      </c>
      <c r="O1041">
        <v>75.599999999999994</v>
      </c>
      <c r="P1041" t="str">
        <f>IF(Walmart[[#This Row],[Sales]]&gt;=1000,"High Value", IF(Walmart[[#This Row],[Sales]]&gt;=500,"Medium Value","Low Value"))</f>
        <v>High Value</v>
      </c>
    </row>
    <row r="1042" spans="1:16" hidden="1" x14ac:dyDescent="0.3">
      <c r="A1042" t="s">
        <v>2576</v>
      </c>
      <c r="B1042" s="1">
        <v>41570</v>
      </c>
      <c r="C1042" s="1" t="str">
        <f>TEXT(Walmart[[#This Row],[Order Date]],"mmmm")</f>
        <v>October</v>
      </c>
      <c r="D1042" s="1">
        <v>41570</v>
      </c>
      <c r="E1042" s="1" t="str">
        <f>IF(DATEDIF(Walmart[[#This Row],[Order Date]],Walmart[[#This Row],[Ship Date]],"D")&lt;7,"On time","Delayed")</f>
        <v>On time</v>
      </c>
      <c r="F1042" t="s">
        <v>1299</v>
      </c>
      <c r="G1042" t="s">
        <v>14</v>
      </c>
      <c r="H1042" t="s">
        <v>25</v>
      </c>
      <c r="I1042" t="s">
        <v>26</v>
      </c>
      <c r="J1042" t="s">
        <v>93</v>
      </c>
      <c r="K1042" t="s">
        <v>2577</v>
      </c>
      <c r="L1042">
        <v>6.68</v>
      </c>
      <c r="M1042">
        <v>1</v>
      </c>
      <c r="N1042" t="str">
        <f>IF(Walmart[[#This Row],[Quantity]]&gt;=7,"Bulk",IF(Walmart[[#This Row],[Quantity]]&gt;=2,"Multi","Single"))</f>
        <v>Single</v>
      </c>
      <c r="O1042">
        <v>3.21</v>
      </c>
      <c r="P1042" t="str">
        <f>IF(Walmart[[#This Row],[Sales]]&gt;=1000,"High Value", IF(Walmart[[#This Row],[Sales]]&gt;=500,"Medium Value","Low Value"))</f>
        <v>Low Value</v>
      </c>
    </row>
    <row r="1043" spans="1:16" hidden="1" x14ac:dyDescent="0.3">
      <c r="A1043" t="s">
        <v>2578</v>
      </c>
      <c r="B1043" s="1">
        <v>41494</v>
      </c>
      <c r="C1043" s="1" t="str">
        <f>TEXT(Walmart[[#This Row],[Order Date]],"mmmm")</f>
        <v>August</v>
      </c>
      <c r="D1043" s="1">
        <v>41498</v>
      </c>
      <c r="E1043" s="1" t="str">
        <f>IF(DATEDIF(Walmart[[#This Row],[Order Date]],Walmart[[#This Row],[Ship Date]],"D")&lt;7,"On time","Delayed")</f>
        <v>On time</v>
      </c>
      <c r="F1043" t="s">
        <v>2316</v>
      </c>
      <c r="G1043" t="s">
        <v>14</v>
      </c>
      <c r="H1043" t="s">
        <v>434</v>
      </c>
      <c r="I1043" t="s">
        <v>26</v>
      </c>
      <c r="J1043" t="s">
        <v>53</v>
      </c>
      <c r="K1043" t="s">
        <v>2579</v>
      </c>
      <c r="L1043">
        <v>179.97</v>
      </c>
      <c r="M1043">
        <v>3</v>
      </c>
      <c r="N1043" t="str">
        <f>IF(Walmart[[#This Row],[Quantity]]&gt;=7,"Bulk",IF(Walmart[[#This Row],[Quantity]]&gt;=2,"Multi","Single"))</f>
        <v>Multi</v>
      </c>
      <c r="O1043">
        <v>86.39</v>
      </c>
      <c r="P1043" t="str">
        <f>IF(Walmart[[#This Row],[Sales]]&gt;=1000,"High Value", IF(Walmart[[#This Row],[Sales]]&gt;=500,"Medium Value","Low Value"))</f>
        <v>Low Value</v>
      </c>
    </row>
    <row r="1044" spans="1:16" hidden="1" x14ac:dyDescent="0.3">
      <c r="A1044" t="s">
        <v>2580</v>
      </c>
      <c r="B1044" s="1">
        <v>41029</v>
      </c>
      <c r="C1044" s="1" t="str">
        <f>TEXT(Walmart[[#This Row],[Order Date]],"mmmm")</f>
        <v>April</v>
      </c>
      <c r="D1044" s="1">
        <v>41035</v>
      </c>
      <c r="E1044" s="1" t="str">
        <f>IF(DATEDIF(Walmart[[#This Row],[Order Date]],Walmart[[#This Row],[Ship Date]],"D")&lt;7,"On time","Delayed")</f>
        <v>On time</v>
      </c>
      <c r="F1044" t="s">
        <v>1782</v>
      </c>
      <c r="G1044" t="s">
        <v>14</v>
      </c>
      <c r="H1044" t="s">
        <v>37</v>
      </c>
      <c r="I1044" t="s">
        <v>16</v>
      </c>
      <c r="J1044" t="s">
        <v>38</v>
      </c>
      <c r="K1044" t="s">
        <v>2581</v>
      </c>
      <c r="L1044">
        <v>34.65</v>
      </c>
      <c r="M1044">
        <v>3</v>
      </c>
      <c r="N1044" t="str">
        <f>IF(Walmart[[#This Row],[Quantity]]&gt;=7,"Bulk",IF(Walmart[[#This Row],[Quantity]]&gt;=2,"Multi","Single"))</f>
        <v>Multi</v>
      </c>
      <c r="O1044">
        <v>9.6999999999999993</v>
      </c>
      <c r="P1044" t="str">
        <f>IF(Walmart[[#This Row],[Sales]]&gt;=1000,"High Value", IF(Walmart[[#This Row],[Sales]]&gt;=500,"Medium Value","Low Value"))</f>
        <v>Low Value</v>
      </c>
    </row>
    <row r="1045" spans="1:16" x14ac:dyDescent="0.3">
      <c r="A1045" t="s">
        <v>1597</v>
      </c>
      <c r="B1045" s="1">
        <v>41817</v>
      </c>
      <c r="C1045" s="1" t="str">
        <f>TEXT(Walmart[[#This Row],[Order Date]],"mmmm")</f>
        <v>June</v>
      </c>
      <c r="D1045" s="1">
        <v>41821</v>
      </c>
      <c r="E1045" s="1" t="str">
        <f>IF(DATEDIF(Walmart[[#This Row],[Order Date]],Walmart[[#This Row],[Ship Date]],"D")&lt;7,"On time","Delayed")</f>
        <v>On time</v>
      </c>
      <c r="F1045" t="s">
        <v>612</v>
      </c>
      <c r="G1045" t="s">
        <v>14</v>
      </c>
      <c r="H1045" t="s">
        <v>141</v>
      </c>
      <c r="I1045" t="s">
        <v>77</v>
      </c>
      <c r="J1045" t="s">
        <v>53</v>
      </c>
      <c r="K1045" t="s">
        <v>1598</v>
      </c>
      <c r="L1045">
        <v>431.93</v>
      </c>
      <c r="M1045">
        <v>9</v>
      </c>
      <c r="N1045" t="str">
        <f>IF(Walmart[[#This Row],[Quantity]]&gt;=7,"Bulk",IF(Walmart[[#This Row],[Quantity]]&gt;=2,"Multi","Single"))</f>
        <v>Bulk</v>
      </c>
      <c r="O1045">
        <v>64.790000000000006</v>
      </c>
      <c r="P1045" t="str">
        <f>IF(Walmart[[#This Row],[Sales]]&gt;=1000,"High Value", IF(Walmart[[#This Row],[Sales]]&gt;=500,"Medium Value","Low Value"))</f>
        <v>Low Value</v>
      </c>
    </row>
    <row r="1046" spans="1:16" hidden="1" x14ac:dyDescent="0.3">
      <c r="A1046" t="s">
        <v>2585</v>
      </c>
      <c r="B1046" s="1">
        <v>41421</v>
      </c>
      <c r="C1046" s="1" t="str">
        <f>TEXT(Walmart[[#This Row],[Order Date]],"mmmm")</f>
        <v>May</v>
      </c>
      <c r="D1046" s="1">
        <v>41426</v>
      </c>
      <c r="E1046" s="1" t="str">
        <f>IF(DATEDIF(Walmart[[#This Row],[Order Date]],Walmart[[#This Row],[Ship Date]],"D")&lt;7,"On time","Delayed")</f>
        <v>On time</v>
      </c>
      <c r="F1046" t="s">
        <v>1269</v>
      </c>
      <c r="G1046" t="s">
        <v>14</v>
      </c>
      <c r="H1046" t="s">
        <v>438</v>
      </c>
      <c r="I1046" t="s">
        <v>16</v>
      </c>
      <c r="J1046" t="s">
        <v>191</v>
      </c>
      <c r="K1046" t="s">
        <v>319</v>
      </c>
      <c r="L1046">
        <v>5.94</v>
      </c>
      <c r="M1046">
        <v>3</v>
      </c>
      <c r="N1046" t="str">
        <f>IF(Walmart[[#This Row],[Quantity]]&gt;=7,"Bulk",IF(Walmart[[#This Row],[Quantity]]&gt;=2,"Multi","Single"))</f>
        <v>Multi</v>
      </c>
      <c r="O1046">
        <v>0</v>
      </c>
      <c r="P1046" t="str">
        <f>IF(Walmart[[#This Row],[Sales]]&gt;=1000,"High Value", IF(Walmart[[#This Row],[Sales]]&gt;=500,"Medium Value","Low Value"))</f>
        <v>Low Value</v>
      </c>
    </row>
    <row r="1047" spans="1:16" hidden="1" x14ac:dyDescent="0.3">
      <c r="A1047" t="s">
        <v>2586</v>
      </c>
      <c r="B1047" s="1">
        <v>41568</v>
      </c>
      <c r="C1047" s="1" t="str">
        <f>TEXT(Walmart[[#This Row],[Order Date]],"mmmm")</f>
        <v>October</v>
      </c>
      <c r="D1047" s="1">
        <v>41570</v>
      </c>
      <c r="E1047" s="1" t="str">
        <f>IF(DATEDIF(Walmart[[#This Row],[Order Date]],Walmart[[#This Row],[Ship Date]],"D")&lt;7,"On time","Delayed")</f>
        <v>On time</v>
      </c>
      <c r="F1047" t="s">
        <v>1791</v>
      </c>
      <c r="G1047" t="s">
        <v>14</v>
      </c>
      <c r="H1047" t="s">
        <v>15</v>
      </c>
      <c r="I1047" t="s">
        <v>16</v>
      </c>
      <c r="J1047" t="s">
        <v>27</v>
      </c>
      <c r="K1047" t="s">
        <v>2587</v>
      </c>
      <c r="L1047">
        <v>19.3</v>
      </c>
      <c r="M1047">
        <v>3</v>
      </c>
      <c r="N1047" t="str">
        <f>IF(Walmart[[#This Row],[Quantity]]&gt;=7,"Bulk",IF(Walmart[[#This Row],[Quantity]]&gt;=2,"Multi","Single"))</f>
        <v>Multi</v>
      </c>
      <c r="O1047">
        <v>6.03</v>
      </c>
      <c r="P1047" t="str">
        <f>IF(Walmart[[#This Row],[Sales]]&gt;=1000,"High Value", IF(Walmart[[#This Row],[Sales]]&gt;=500,"Medium Value","Low Value"))</f>
        <v>Low Value</v>
      </c>
    </row>
    <row r="1048" spans="1:16" hidden="1" x14ac:dyDescent="0.3">
      <c r="A1048" t="s">
        <v>2588</v>
      </c>
      <c r="B1048" s="1">
        <v>41443</v>
      </c>
      <c r="C1048" s="1" t="str">
        <f>TEXT(Walmart[[#This Row],[Order Date]],"mmmm")</f>
        <v>June</v>
      </c>
      <c r="D1048" s="1">
        <v>41445</v>
      </c>
      <c r="E1048" s="1" t="str">
        <f>IF(DATEDIF(Walmart[[#This Row],[Order Date]],Walmart[[#This Row],[Ship Date]],"D")&lt;7,"On time","Delayed")</f>
        <v>On time</v>
      </c>
      <c r="F1048" t="s">
        <v>2589</v>
      </c>
      <c r="G1048" t="s">
        <v>14</v>
      </c>
      <c r="H1048" t="s">
        <v>15</v>
      </c>
      <c r="I1048" t="s">
        <v>16</v>
      </c>
      <c r="J1048" t="s">
        <v>671</v>
      </c>
      <c r="K1048" t="s">
        <v>2212</v>
      </c>
      <c r="L1048">
        <v>239.67</v>
      </c>
      <c r="M1048">
        <v>2</v>
      </c>
      <c r="N1048" t="str">
        <f>IF(Walmart[[#This Row],[Quantity]]&gt;=7,"Bulk",IF(Walmart[[#This Row],[Quantity]]&gt;=2,"Multi","Single"))</f>
        <v>Multi</v>
      </c>
      <c r="O1048">
        <v>14.1</v>
      </c>
      <c r="P1048" t="str">
        <f>IF(Walmart[[#This Row],[Sales]]&gt;=1000,"High Value", IF(Walmart[[#This Row],[Sales]]&gt;=500,"Medium Value","Low Value"))</f>
        <v>Low Value</v>
      </c>
    </row>
    <row r="1049" spans="1:16" hidden="1" x14ac:dyDescent="0.3">
      <c r="A1049" t="s">
        <v>2590</v>
      </c>
      <c r="B1049" s="1">
        <v>40792</v>
      </c>
      <c r="C1049" s="1" t="str">
        <f>TEXT(Walmart[[#This Row],[Order Date]],"mmmm")</f>
        <v>September</v>
      </c>
      <c r="D1049" s="1">
        <v>40795</v>
      </c>
      <c r="E1049" s="1" t="str">
        <f>IF(DATEDIF(Walmart[[#This Row],[Order Date]],Walmart[[#This Row],[Ship Date]],"D")&lt;7,"On time","Delayed")</f>
        <v>On time</v>
      </c>
      <c r="F1049" t="s">
        <v>2591</v>
      </c>
      <c r="G1049" t="s">
        <v>14</v>
      </c>
      <c r="H1049" t="s">
        <v>37</v>
      </c>
      <c r="I1049" t="s">
        <v>16</v>
      </c>
      <c r="J1049" t="s">
        <v>21</v>
      </c>
      <c r="K1049" t="s">
        <v>22</v>
      </c>
      <c r="L1049">
        <v>41.88</v>
      </c>
      <c r="M1049">
        <v>6</v>
      </c>
      <c r="N1049" t="str">
        <f>IF(Walmart[[#This Row],[Quantity]]&gt;=7,"Bulk",IF(Walmart[[#This Row],[Quantity]]&gt;=2,"Multi","Single"))</f>
        <v>Multi</v>
      </c>
      <c r="O1049">
        <v>12.15</v>
      </c>
      <c r="P1049" t="str">
        <f>IF(Walmart[[#This Row],[Sales]]&gt;=1000,"High Value", IF(Walmart[[#This Row],[Sales]]&gt;=500,"Medium Value","Low Value"))</f>
        <v>Low Value</v>
      </c>
    </row>
    <row r="1050" spans="1:16" hidden="1" x14ac:dyDescent="0.3">
      <c r="A1050" t="s">
        <v>2592</v>
      </c>
      <c r="B1050" s="1">
        <v>40686</v>
      </c>
      <c r="C1050" s="1" t="str">
        <f>TEXT(Walmart[[#This Row],[Order Date]],"mmmm")</f>
        <v>May</v>
      </c>
      <c r="D1050" s="1">
        <v>40690</v>
      </c>
      <c r="E1050" s="1" t="str">
        <f>IF(DATEDIF(Walmart[[#This Row],[Order Date]],Walmart[[#This Row],[Ship Date]],"D")&lt;7,"On time","Delayed")</f>
        <v>On time</v>
      </c>
      <c r="F1050" t="s">
        <v>1135</v>
      </c>
      <c r="G1050" t="s">
        <v>14</v>
      </c>
      <c r="H1050" t="s">
        <v>770</v>
      </c>
      <c r="I1050" t="s">
        <v>26</v>
      </c>
      <c r="J1050" t="s">
        <v>93</v>
      </c>
      <c r="K1050" t="s">
        <v>2593</v>
      </c>
      <c r="L1050">
        <v>12.96</v>
      </c>
      <c r="M1050">
        <v>2</v>
      </c>
      <c r="N1050" t="str">
        <f>IF(Walmart[[#This Row],[Quantity]]&gt;=7,"Bulk",IF(Walmart[[#This Row],[Quantity]]&gt;=2,"Multi","Single"))</f>
        <v>Multi</v>
      </c>
      <c r="O1050">
        <v>6.22</v>
      </c>
      <c r="P1050" t="str">
        <f>IF(Walmart[[#This Row],[Sales]]&gt;=1000,"High Value", IF(Walmart[[#This Row],[Sales]]&gt;=500,"Medium Value","Low Value"))</f>
        <v>Low Value</v>
      </c>
    </row>
    <row r="1051" spans="1:16" hidden="1" x14ac:dyDescent="0.3">
      <c r="A1051" t="s">
        <v>2594</v>
      </c>
      <c r="B1051" s="1">
        <v>41634</v>
      </c>
      <c r="C1051" s="1" t="str">
        <f>TEXT(Walmart[[#This Row],[Order Date]],"mmmm")</f>
        <v>December</v>
      </c>
      <c r="D1051" s="1">
        <v>41639</v>
      </c>
      <c r="E1051" s="1" t="str">
        <f>IF(DATEDIF(Walmart[[#This Row],[Order Date]],Walmart[[#This Row],[Ship Date]],"D")&lt;7,"On time","Delayed")</f>
        <v>On time</v>
      </c>
      <c r="F1051" t="s">
        <v>954</v>
      </c>
      <c r="G1051" t="s">
        <v>14</v>
      </c>
      <c r="H1051" t="s">
        <v>25</v>
      </c>
      <c r="I1051" t="s">
        <v>26</v>
      </c>
      <c r="J1051" t="s">
        <v>88</v>
      </c>
      <c r="K1051" t="s">
        <v>2595</v>
      </c>
      <c r="L1051">
        <v>698.35</v>
      </c>
      <c r="M1051">
        <v>3</v>
      </c>
      <c r="N1051" t="str">
        <f>IF(Walmart[[#This Row],[Quantity]]&gt;=7,"Bulk",IF(Walmart[[#This Row],[Quantity]]&gt;=2,"Multi","Single"))</f>
        <v>Multi</v>
      </c>
      <c r="O1051">
        <v>52.38</v>
      </c>
      <c r="P1051" t="str">
        <f>IF(Walmart[[#This Row],[Sales]]&gt;=1000,"High Value", IF(Walmart[[#This Row],[Sales]]&gt;=500,"Medium Value","Low Value"))</f>
        <v>Medium Value</v>
      </c>
    </row>
    <row r="1052" spans="1:16" hidden="1" x14ac:dyDescent="0.3">
      <c r="A1052" t="s">
        <v>2596</v>
      </c>
      <c r="B1052" s="1">
        <v>41572</v>
      </c>
      <c r="C1052" s="1" t="str">
        <f>TEXT(Walmart[[#This Row],[Order Date]],"mmmm")</f>
        <v>October</v>
      </c>
      <c r="D1052" s="1">
        <v>41572</v>
      </c>
      <c r="E1052" s="1" t="str">
        <f>IF(DATEDIF(Walmart[[#This Row],[Order Date]],Walmart[[#This Row],[Ship Date]],"D")&lt;7,"On time","Delayed")</f>
        <v>On time</v>
      </c>
      <c r="F1052" t="s">
        <v>271</v>
      </c>
      <c r="G1052" t="s">
        <v>14</v>
      </c>
      <c r="H1052" t="s">
        <v>37</v>
      </c>
      <c r="I1052" t="s">
        <v>16</v>
      </c>
      <c r="J1052" t="s">
        <v>53</v>
      </c>
      <c r="K1052" t="s">
        <v>2597</v>
      </c>
      <c r="L1052">
        <v>199.99</v>
      </c>
      <c r="M1052">
        <v>1</v>
      </c>
      <c r="N1052" t="str">
        <f>IF(Walmart[[#This Row],[Quantity]]&gt;=7,"Bulk",IF(Walmart[[#This Row],[Quantity]]&gt;=2,"Multi","Single"))</f>
        <v>Single</v>
      </c>
      <c r="O1052">
        <v>86</v>
      </c>
      <c r="P1052" t="str">
        <f>IF(Walmart[[#This Row],[Sales]]&gt;=1000,"High Value", IF(Walmart[[#This Row],[Sales]]&gt;=500,"Medium Value","Low Value"))</f>
        <v>Low Value</v>
      </c>
    </row>
    <row r="1053" spans="1:16" hidden="1" x14ac:dyDescent="0.3">
      <c r="A1053" t="s">
        <v>2598</v>
      </c>
      <c r="B1053" s="1">
        <v>41131</v>
      </c>
      <c r="C1053" s="1" t="str">
        <f>TEXT(Walmart[[#This Row],[Order Date]],"mmmm")</f>
        <v>August</v>
      </c>
      <c r="D1053" s="1">
        <v>41137</v>
      </c>
      <c r="E1053" s="1" t="str">
        <f>IF(DATEDIF(Walmart[[#This Row],[Order Date]],Walmart[[#This Row],[Ship Date]],"D")&lt;7,"On time","Delayed")</f>
        <v>On time</v>
      </c>
      <c r="F1053" t="s">
        <v>1035</v>
      </c>
      <c r="G1053" t="s">
        <v>14</v>
      </c>
      <c r="H1053" t="s">
        <v>885</v>
      </c>
      <c r="I1053" t="s">
        <v>69</v>
      </c>
      <c r="J1053" t="s">
        <v>146</v>
      </c>
      <c r="K1053" t="s">
        <v>2599</v>
      </c>
      <c r="L1053">
        <v>438.37</v>
      </c>
      <c r="M1053">
        <v>4</v>
      </c>
      <c r="N1053" t="str">
        <f>IF(Walmart[[#This Row],[Quantity]]&gt;=7,"Bulk",IF(Walmart[[#This Row],[Quantity]]&gt;=2,"Multi","Single"))</f>
        <v>Multi</v>
      </c>
      <c r="O1053">
        <v>38.36</v>
      </c>
      <c r="P1053" t="str">
        <f>IF(Walmart[[#This Row],[Sales]]&gt;=1000,"High Value", IF(Walmart[[#This Row],[Sales]]&gt;=500,"Medium Value","Low Value"))</f>
        <v>Low Value</v>
      </c>
    </row>
    <row r="1054" spans="1:16" hidden="1" x14ac:dyDescent="0.3">
      <c r="A1054" t="s">
        <v>2600</v>
      </c>
      <c r="B1054" s="1">
        <v>41624</v>
      </c>
      <c r="C1054" s="1" t="str">
        <f>TEXT(Walmart[[#This Row],[Order Date]],"mmmm")</f>
        <v>December</v>
      </c>
      <c r="D1054" s="1">
        <v>41630</v>
      </c>
      <c r="E1054" s="1" t="str">
        <f>IF(DATEDIF(Walmart[[#This Row],[Order Date]],Walmart[[#This Row],[Ship Date]],"D")&lt;7,"On time","Delayed")</f>
        <v>On time</v>
      </c>
      <c r="F1054" t="s">
        <v>760</v>
      </c>
      <c r="G1054" t="s">
        <v>14</v>
      </c>
      <c r="H1054" t="s">
        <v>926</v>
      </c>
      <c r="I1054" t="s">
        <v>69</v>
      </c>
      <c r="J1054" t="s">
        <v>43</v>
      </c>
      <c r="K1054" t="s">
        <v>2601</v>
      </c>
      <c r="L1054">
        <v>564.20000000000005</v>
      </c>
      <c r="M1054">
        <v>3</v>
      </c>
      <c r="N1054" t="str">
        <f>IF(Walmart[[#This Row],[Quantity]]&gt;=7,"Bulk",IF(Walmart[[#This Row],[Quantity]]&gt;=2,"Multi","Single"))</f>
        <v>Multi</v>
      </c>
      <c r="O1054">
        <v>-304.67</v>
      </c>
      <c r="P1054" t="str">
        <f>IF(Walmart[[#This Row],[Sales]]&gt;=1000,"High Value", IF(Walmart[[#This Row],[Sales]]&gt;=500,"Medium Value","Low Value"))</f>
        <v>Medium Value</v>
      </c>
    </row>
    <row r="1055" spans="1:16" x14ac:dyDescent="0.3">
      <c r="A1055" t="s">
        <v>963</v>
      </c>
      <c r="B1055" s="1">
        <v>41816</v>
      </c>
      <c r="C1055" s="1" t="str">
        <f>TEXT(Walmart[[#This Row],[Order Date]],"mmmm")</f>
        <v>June</v>
      </c>
      <c r="D1055" s="1">
        <v>41823</v>
      </c>
      <c r="E1055" s="1" t="str">
        <f>IF(DATEDIF(Walmart[[#This Row],[Order Date]],Walmart[[#This Row],[Ship Date]],"D")&lt;7,"On time","Delayed")</f>
        <v>Delayed</v>
      </c>
      <c r="F1055" t="s">
        <v>964</v>
      </c>
      <c r="G1055" t="s">
        <v>14</v>
      </c>
      <c r="H1055" t="s">
        <v>926</v>
      </c>
      <c r="I1055" t="s">
        <v>69</v>
      </c>
      <c r="J1055" t="s">
        <v>17</v>
      </c>
      <c r="K1055" t="s">
        <v>269</v>
      </c>
      <c r="L1055">
        <v>71.040000000000006</v>
      </c>
      <c r="M1055">
        <v>6</v>
      </c>
      <c r="N1055" t="str">
        <f>IF(Walmart[[#This Row],[Quantity]]&gt;=7,"Bulk",IF(Walmart[[#This Row],[Quantity]]&gt;=2,"Multi","Single"))</f>
        <v>Multi</v>
      </c>
      <c r="O1055">
        <v>26.64</v>
      </c>
      <c r="P1055" t="str">
        <f>IF(Walmart[[#This Row],[Sales]]&gt;=1000,"High Value", IF(Walmart[[#This Row],[Sales]]&gt;=500,"Medium Value","Low Value"))</f>
        <v>Low Value</v>
      </c>
    </row>
    <row r="1056" spans="1:16" hidden="1" x14ac:dyDescent="0.3">
      <c r="A1056" t="s">
        <v>2603</v>
      </c>
      <c r="B1056" s="1">
        <v>40778</v>
      </c>
      <c r="C1056" s="1" t="str">
        <f>TEXT(Walmart[[#This Row],[Order Date]],"mmmm")</f>
        <v>August</v>
      </c>
      <c r="D1056" s="1">
        <v>40782</v>
      </c>
      <c r="E1056" s="1" t="str">
        <f>IF(DATEDIF(Walmart[[#This Row],[Order Date]],Walmart[[#This Row],[Ship Date]],"D")&lt;7,"On time","Delayed")</f>
        <v>On time</v>
      </c>
      <c r="F1056" t="s">
        <v>829</v>
      </c>
      <c r="G1056" t="s">
        <v>14</v>
      </c>
      <c r="H1056" t="s">
        <v>15</v>
      </c>
      <c r="I1056" t="s">
        <v>16</v>
      </c>
      <c r="J1056" t="s">
        <v>27</v>
      </c>
      <c r="K1056" t="s">
        <v>2604</v>
      </c>
      <c r="L1056">
        <v>49.57</v>
      </c>
      <c r="M1056">
        <v>2</v>
      </c>
      <c r="N1056" t="str">
        <f>IF(Walmart[[#This Row],[Quantity]]&gt;=7,"Bulk",IF(Walmart[[#This Row],[Quantity]]&gt;=2,"Multi","Single"))</f>
        <v>Multi</v>
      </c>
      <c r="O1056">
        <v>17.350000000000001</v>
      </c>
      <c r="P1056" t="str">
        <f>IF(Walmart[[#This Row],[Sales]]&gt;=1000,"High Value", IF(Walmart[[#This Row],[Sales]]&gt;=500,"Medium Value","Low Value"))</f>
        <v>Low Value</v>
      </c>
    </row>
    <row r="1057" spans="1:16" hidden="1" x14ac:dyDescent="0.3">
      <c r="A1057" t="s">
        <v>2605</v>
      </c>
      <c r="B1057" s="1">
        <v>41163</v>
      </c>
      <c r="C1057" s="1" t="str">
        <f>TEXT(Walmart[[#This Row],[Order Date]],"mmmm")</f>
        <v>September</v>
      </c>
      <c r="D1057" s="1">
        <v>41168</v>
      </c>
      <c r="E1057" s="1" t="str">
        <f>IF(DATEDIF(Walmart[[#This Row],[Order Date]],Walmart[[#This Row],[Ship Date]],"D")&lt;7,"On time","Delayed")</f>
        <v>On time</v>
      </c>
      <c r="F1057" t="s">
        <v>2606</v>
      </c>
      <c r="G1057" t="s">
        <v>14</v>
      </c>
      <c r="H1057" t="s">
        <v>160</v>
      </c>
      <c r="I1057" t="s">
        <v>16</v>
      </c>
      <c r="J1057" t="s">
        <v>38</v>
      </c>
      <c r="K1057" t="s">
        <v>2607</v>
      </c>
      <c r="L1057">
        <v>265.86</v>
      </c>
      <c r="M1057">
        <v>7</v>
      </c>
      <c r="N1057" t="str">
        <f>IF(Walmart[[#This Row],[Quantity]]&gt;=7,"Bulk",IF(Walmart[[#This Row],[Quantity]]&gt;=2,"Multi","Single"))</f>
        <v>Bulk</v>
      </c>
      <c r="O1057">
        <v>79.760000000000005</v>
      </c>
      <c r="P1057" t="str">
        <f>IF(Walmart[[#This Row],[Sales]]&gt;=1000,"High Value", IF(Walmart[[#This Row],[Sales]]&gt;=500,"Medium Value","Low Value"))</f>
        <v>Low Value</v>
      </c>
    </row>
    <row r="1058" spans="1:16" hidden="1" x14ac:dyDescent="0.3">
      <c r="A1058" t="s">
        <v>2608</v>
      </c>
      <c r="B1058" s="1">
        <v>40826</v>
      </c>
      <c r="C1058" s="1" t="str">
        <f>TEXT(Walmart[[#This Row],[Order Date]],"mmmm")</f>
        <v>October</v>
      </c>
      <c r="D1058" s="1">
        <v>40830</v>
      </c>
      <c r="E1058" s="1" t="str">
        <f>IF(DATEDIF(Walmart[[#This Row],[Order Date]],Walmart[[#This Row],[Ship Date]],"D")&lt;7,"On time","Delayed")</f>
        <v>On time</v>
      </c>
      <c r="F1058" t="s">
        <v>2609</v>
      </c>
      <c r="G1058" t="s">
        <v>14</v>
      </c>
      <c r="H1058" t="s">
        <v>84</v>
      </c>
      <c r="I1058" t="s">
        <v>58</v>
      </c>
      <c r="J1058" t="s">
        <v>21</v>
      </c>
      <c r="K1058" t="s">
        <v>656</v>
      </c>
      <c r="L1058">
        <v>46.87</v>
      </c>
      <c r="M1058">
        <v>7</v>
      </c>
      <c r="N1058" t="str">
        <f>IF(Walmart[[#This Row],[Quantity]]&gt;=7,"Bulk",IF(Walmart[[#This Row],[Quantity]]&gt;=2,"Multi","Single"))</f>
        <v>Bulk</v>
      </c>
      <c r="O1058">
        <v>3.52</v>
      </c>
      <c r="P1058" t="str">
        <f>IF(Walmart[[#This Row],[Sales]]&gt;=1000,"High Value", IF(Walmart[[#This Row],[Sales]]&gt;=500,"Medium Value","Low Value"))</f>
        <v>Low Value</v>
      </c>
    </row>
    <row r="1059" spans="1:16" hidden="1" x14ac:dyDescent="0.3">
      <c r="A1059" t="s">
        <v>2610</v>
      </c>
      <c r="B1059" s="1">
        <v>40852</v>
      </c>
      <c r="C1059" s="1" t="str">
        <f>TEXT(Walmart[[#This Row],[Order Date]],"mmmm")</f>
        <v>November</v>
      </c>
      <c r="D1059" s="1">
        <v>40857</v>
      </c>
      <c r="E1059" s="1" t="str">
        <f>IF(DATEDIF(Walmart[[#This Row],[Order Date]],Walmart[[#This Row],[Ship Date]],"D")&lt;7,"On time","Delayed")</f>
        <v>On time</v>
      </c>
      <c r="F1059" t="s">
        <v>1948</v>
      </c>
      <c r="G1059" t="s">
        <v>14</v>
      </c>
      <c r="H1059" t="s">
        <v>15</v>
      </c>
      <c r="I1059" t="s">
        <v>16</v>
      </c>
      <c r="J1059" t="s">
        <v>21</v>
      </c>
      <c r="K1059" t="s">
        <v>2235</v>
      </c>
      <c r="L1059">
        <v>20.04</v>
      </c>
      <c r="M1059">
        <v>6</v>
      </c>
      <c r="N1059" t="str">
        <f>IF(Walmart[[#This Row],[Quantity]]&gt;=7,"Bulk",IF(Walmart[[#This Row],[Quantity]]&gt;=2,"Multi","Single"))</f>
        <v>Multi</v>
      </c>
      <c r="O1059">
        <v>8.82</v>
      </c>
      <c r="P1059" t="str">
        <f>IF(Walmart[[#This Row],[Sales]]&gt;=1000,"High Value", IF(Walmart[[#This Row],[Sales]]&gt;=500,"Medium Value","Low Value"))</f>
        <v>Low Value</v>
      </c>
    </row>
    <row r="1060" spans="1:16" hidden="1" x14ac:dyDescent="0.3">
      <c r="A1060" t="s">
        <v>2611</v>
      </c>
      <c r="B1060" s="1">
        <v>41043</v>
      </c>
      <c r="C1060" s="1" t="str">
        <f>TEXT(Walmart[[#This Row],[Order Date]],"mmmm")</f>
        <v>May</v>
      </c>
      <c r="D1060" s="1">
        <v>41050</v>
      </c>
      <c r="E1060" s="1" t="str">
        <f>IF(DATEDIF(Walmart[[#This Row],[Order Date]],Walmart[[#This Row],[Ship Date]],"D")&lt;7,"On time","Delayed")</f>
        <v>Delayed</v>
      </c>
      <c r="F1060" t="s">
        <v>2612</v>
      </c>
      <c r="G1060" t="s">
        <v>14</v>
      </c>
      <c r="H1060" t="s">
        <v>15</v>
      </c>
      <c r="I1060" t="s">
        <v>16</v>
      </c>
      <c r="J1060" t="s">
        <v>33</v>
      </c>
      <c r="K1060" t="s">
        <v>2613</v>
      </c>
      <c r="L1060">
        <v>1117.92</v>
      </c>
      <c r="M1060">
        <v>4</v>
      </c>
      <c r="N1060" t="str">
        <f>IF(Walmart[[#This Row],[Quantity]]&gt;=7,"Bulk",IF(Walmart[[#This Row],[Quantity]]&gt;=2,"Multi","Single"))</f>
        <v>Multi</v>
      </c>
      <c r="O1060">
        <v>55.9</v>
      </c>
      <c r="P1060" t="str">
        <f>IF(Walmart[[#This Row],[Sales]]&gt;=1000,"High Value", IF(Walmart[[#This Row],[Sales]]&gt;=500,"Medium Value","Low Value"))</f>
        <v>High Value</v>
      </c>
    </row>
    <row r="1061" spans="1:16" x14ac:dyDescent="0.3">
      <c r="A1061" t="s">
        <v>1786</v>
      </c>
      <c r="B1061" s="1">
        <v>41816</v>
      </c>
      <c r="C1061" s="1" t="str">
        <f>TEXT(Walmart[[#This Row],[Order Date]],"mmmm")</f>
        <v>June</v>
      </c>
      <c r="D1061" s="1">
        <v>41820</v>
      </c>
      <c r="E1061" s="1" t="str">
        <f>IF(DATEDIF(Walmart[[#This Row],[Order Date]],Walmart[[#This Row],[Ship Date]],"D")&lt;7,"On time","Delayed")</f>
        <v>On time</v>
      </c>
      <c r="F1061" t="s">
        <v>1184</v>
      </c>
      <c r="G1061" t="s">
        <v>14</v>
      </c>
      <c r="H1061" t="s">
        <v>25</v>
      </c>
      <c r="I1061" t="s">
        <v>26</v>
      </c>
      <c r="J1061" t="s">
        <v>43</v>
      </c>
      <c r="K1061" t="s">
        <v>1787</v>
      </c>
      <c r="L1061">
        <v>871.4</v>
      </c>
      <c r="M1061">
        <v>4</v>
      </c>
      <c r="N1061" t="str">
        <f>IF(Walmart[[#This Row],[Quantity]]&gt;=7,"Bulk",IF(Walmart[[#This Row],[Quantity]]&gt;=2,"Multi","Single"))</f>
        <v>Multi</v>
      </c>
      <c r="O1061">
        <v>148.13999999999999</v>
      </c>
      <c r="P1061" t="str">
        <f>IF(Walmart[[#This Row],[Sales]]&gt;=1000,"High Value", IF(Walmart[[#This Row],[Sales]]&gt;=500,"Medium Value","Low Value"))</f>
        <v>Medium Value</v>
      </c>
    </row>
    <row r="1062" spans="1:16" x14ac:dyDescent="0.3">
      <c r="A1062" t="s">
        <v>235</v>
      </c>
      <c r="B1062" s="1">
        <v>41815</v>
      </c>
      <c r="C1062" s="1" t="str">
        <f>TEXT(Walmart[[#This Row],[Order Date]],"mmmm")</f>
        <v>June</v>
      </c>
      <c r="D1062" s="1">
        <v>41819</v>
      </c>
      <c r="E1062" s="1" t="str">
        <f>IF(DATEDIF(Walmart[[#This Row],[Order Date]],Walmart[[#This Row],[Ship Date]],"D")&lt;7,"On time","Delayed")</f>
        <v>On time</v>
      </c>
      <c r="F1062" t="s">
        <v>236</v>
      </c>
      <c r="G1062" t="s">
        <v>14</v>
      </c>
      <c r="H1062" t="s">
        <v>237</v>
      </c>
      <c r="I1062" t="s">
        <v>16</v>
      </c>
      <c r="J1062" t="s">
        <v>38</v>
      </c>
      <c r="K1062" t="s">
        <v>238</v>
      </c>
      <c r="L1062">
        <v>95.92</v>
      </c>
      <c r="M1062">
        <v>8</v>
      </c>
      <c r="N1062" t="str">
        <f>IF(Walmart[[#This Row],[Quantity]]&gt;=7,"Bulk",IF(Walmart[[#This Row],[Quantity]]&gt;=2,"Multi","Single"))</f>
        <v>Bulk</v>
      </c>
      <c r="O1062">
        <v>25.9</v>
      </c>
      <c r="P1062" t="str">
        <f>IF(Walmart[[#This Row],[Sales]]&gt;=1000,"High Value", IF(Walmart[[#This Row],[Sales]]&gt;=500,"Medium Value","Low Value"))</f>
        <v>Low Value</v>
      </c>
    </row>
    <row r="1063" spans="1:16" hidden="1" x14ac:dyDescent="0.3">
      <c r="A1063" t="s">
        <v>2618</v>
      </c>
      <c r="B1063" s="1">
        <v>41083</v>
      </c>
      <c r="C1063" s="1" t="str">
        <f>TEXT(Walmart[[#This Row],[Order Date]],"mmmm")</f>
        <v>June</v>
      </c>
      <c r="D1063" s="1">
        <v>41088</v>
      </c>
      <c r="E1063" s="1" t="str">
        <f>IF(DATEDIF(Walmart[[#This Row],[Order Date]],Walmart[[#This Row],[Ship Date]],"D")&lt;7,"On time","Delayed")</f>
        <v>On time</v>
      </c>
      <c r="F1063" t="s">
        <v>1959</v>
      </c>
      <c r="G1063" t="s">
        <v>14</v>
      </c>
      <c r="H1063" t="s">
        <v>190</v>
      </c>
      <c r="I1063" t="s">
        <v>16</v>
      </c>
      <c r="J1063" t="s">
        <v>146</v>
      </c>
      <c r="K1063" t="s">
        <v>2619</v>
      </c>
      <c r="L1063">
        <v>217.58</v>
      </c>
      <c r="M1063">
        <v>2</v>
      </c>
      <c r="N1063" t="str">
        <f>IF(Walmart[[#This Row],[Quantity]]&gt;=7,"Bulk",IF(Walmart[[#This Row],[Quantity]]&gt;=2,"Multi","Single"))</f>
        <v>Multi</v>
      </c>
      <c r="O1063">
        <v>19.04</v>
      </c>
      <c r="P1063" t="str">
        <f>IF(Walmart[[#This Row],[Sales]]&gt;=1000,"High Value", IF(Walmart[[#This Row],[Sales]]&gt;=500,"Medium Value","Low Value"))</f>
        <v>Low Value</v>
      </c>
    </row>
    <row r="1064" spans="1:16" hidden="1" x14ac:dyDescent="0.3">
      <c r="A1064" t="s">
        <v>2620</v>
      </c>
      <c r="B1064" s="1">
        <v>41227</v>
      </c>
      <c r="C1064" s="1" t="str">
        <f>TEXT(Walmart[[#This Row],[Order Date]],"mmmm")</f>
        <v>November</v>
      </c>
      <c r="D1064" s="1">
        <v>41232</v>
      </c>
      <c r="E1064" s="1" t="str">
        <f>IF(DATEDIF(Walmart[[#This Row],[Order Date]],Walmart[[#This Row],[Ship Date]],"D")&lt;7,"On time","Delayed")</f>
        <v>On time</v>
      </c>
      <c r="F1064" t="s">
        <v>393</v>
      </c>
      <c r="G1064" t="s">
        <v>14</v>
      </c>
      <c r="H1064" t="s">
        <v>2621</v>
      </c>
      <c r="I1064" t="s">
        <v>123</v>
      </c>
      <c r="J1064" t="s">
        <v>88</v>
      </c>
      <c r="K1064" t="s">
        <v>1261</v>
      </c>
      <c r="L1064">
        <v>883.84</v>
      </c>
      <c r="M1064">
        <v>4</v>
      </c>
      <c r="N1064" t="str">
        <f>IF(Walmart[[#This Row],[Quantity]]&gt;=7,"Bulk",IF(Walmart[[#This Row],[Quantity]]&gt;=2,"Multi","Single"))</f>
        <v>Multi</v>
      </c>
      <c r="O1064">
        <v>99.43</v>
      </c>
      <c r="P1064" t="str">
        <f>IF(Walmart[[#This Row],[Sales]]&gt;=1000,"High Value", IF(Walmart[[#This Row],[Sales]]&gt;=500,"Medium Value","Low Value"))</f>
        <v>Medium Value</v>
      </c>
    </row>
    <row r="1065" spans="1:16" hidden="1" x14ac:dyDescent="0.3">
      <c r="A1065" t="s">
        <v>2622</v>
      </c>
      <c r="B1065" s="1">
        <v>41618</v>
      </c>
      <c r="C1065" s="1" t="str">
        <f>TEXT(Walmart[[#This Row],[Order Date]],"mmmm")</f>
        <v>December</v>
      </c>
      <c r="D1065" s="1">
        <v>41621</v>
      </c>
      <c r="E1065" s="1" t="str">
        <f>IF(DATEDIF(Walmart[[#This Row],[Order Date]],Walmart[[#This Row],[Ship Date]],"D")&lt;7,"On time","Delayed")</f>
        <v>On time</v>
      </c>
      <c r="F1065" t="s">
        <v>108</v>
      </c>
      <c r="G1065" t="s">
        <v>14</v>
      </c>
      <c r="H1065" t="s">
        <v>1028</v>
      </c>
      <c r="I1065" t="s">
        <v>16</v>
      </c>
      <c r="J1065" t="s">
        <v>27</v>
      </c>
      <c r="K1065" t="s">
        <v>2623</v>
      </c>
      <c r="L1065">
        <v>273.92</v>
      </c>
      <c r="M1065">
        <v>8</v>
      </c>
      <c r="N1065" t="str">
        <f>IF(Walmart[[#This Row],[Quantity]]&gt;=7,"Bulk",IF(Walmart[[#This Row],[Quantity]]&gt;=2,"Multi","Single"))</f>
        <v>Bulk</v>
      </c>
      <c r="O1065">
        <v>99.3</v>
      </c>
      <c r="P1065" t="str">
        <f>IF(Walmart[[#This Row],[Sales]]&gt;=1000,"High Value", IF(Walmart[[#This Row],[Sales]]&gt;=500,"Medium Value","Low Value"))</f>
        <v>Low Value</v>
      </c>
    </row>
    <row r="1066" spans="1:16" x14ac:dyDescent="0.3">
      <c r="A1066" t="s">
        <v>741</v>
      </c>
      <c r="B1066" s="1">
        <v>41815</v>
      </c>
      <c r="C1066" s="1" t="str">
        <f>TEXT(Walmart[[#This Row],[Order Date]],"mmmm")</f>
        <v>June</v>
      </c>
      <c r="D1066" s="1">
        <v>41822</v>
      </c>
      <c r="E1066" s="1" t="str">
        <f>IF(DATEDIF(Walmart[[#This Row],[Order Date]],Walmart[[#This Row],[Ship Date]],"D")&lt;7,"On time","Delayed")</f>
        <v>Delayed</v>
      </c>
      <c r="F1066" t="s">
        <v>742</v>
      </c>
      <c r="G1066" t="s">
        <v>14</v>
      </c>
      <c r="H1066" t="s">
        <v>743</v>
      </c>
      <c r="I1066" t="s">
        <v>16</v>
      </c>
      <c r="J1066" t="s">
        <v>38</v>
      </c>
      <c r="K1066" t="s">
        <v>744</v>
      </c>
      <c r="L1066">
        <v>385.6</v>
      </c>
      <c r="M1066">
        <v>8</v>
      </c>
      <c r="N1066" t="str">
        <f>IF(Walmart[[#This Row],[Quantity]]&gt;=7,"Bulk",IF(Walmart[[#This Row],[Quantity]]&gt;=2,"Multi","Single"))</f>
        <v>Bulk</v>
      </c>
      <c r="O1066">
        <v>111.82</v>
      </c>
      <c r="P1066" t="str">
        <f>IF(Walmart[[#This Row],[Sales]]&gt;=1000,"High Value", IF(Walmart[[#This Row],[Sales]]&gt;=500,"Medium Value","Low Value"))</f>
        <v>Low Value</v>
      </c>
    </row>
    <row r="1067" spans="1:16" hidden="1" x14ac:dyDescent="0.3">
      <c r="A1067" t="s">
        <v>2626</v>
      </c>
      <c r="B1067" s="1">
        <v>41530</v>
      </c>
      <c r="C1067" s="1" t="str">
        <f>TEXT(Walmart[[#This Row],[Order Date]],"mmmm")</f>
        <v>September</v>
      </c>
      <c r="D1067" s="1">
        <v>41534</v>
      </c>
      <c r="E1067" s="1" t="str">
        <f>IF(DATEDIF(Walmart[[#This Row],[Order Date]],Walmart[[#This Row],[Ship Date]],"D")&lt;7,"On time","Delayed")</f>
        <v>On time</v>
      </c>
      <c r="F1067" t="s">
        <v>327</v>
      </c>
      <c r="G1067" t="s">
        <v>14</v>
      </c>
      <c r="H1067" t="s">
        <v>25</v>
      </c>
      <c r="I1067" t="s">
        <v>26</v>
      </c>
      <c r="J1067" t="s">
        <v>191</v>
      </c>
      <c r="K1067" t="s">
        <v>2627</v>
      </c>
      <c r="L1067">
        <v>10.47</v>
      </c>
      <c r="M1067">
        <v>3</v>
      </c>
      <c r="N1067" t="str">
        <f>IF(Walmart[[#This Row],[Quantity]]&gt;=7,"Bulk",IF(Walmart[[#This Row],[Quantity]]&gt;=2,"Multi","Single"))</f>
        <v>Multi</v>
      </c>
      <c r="O1067">
        <v>4.82</v>
      </c>
      <c r="P1067" t="str">
        <f>IF(Walmart[[#This Row],[Sales]]&gt;=1000,"High Value", IF(Walmart[[#This Row],[Sales]]&gt;=500,"Medium Value","Low Value"))</f>
        <v>Low Value</v>
      </c>
    </row>
    <row r="1068" spans="1:16" hidden="1" x14ac:dyDescent="0.3">
      <c r="A1068" t="s">
        <v>2628</v>
      </c>
      <c r="B1068" s="1">
        <v>40728</v>
      </c>
      <c r="C1068" s="1" t="str">
        <f>TEXT(Walmart[[#This Row],[Order Date]],"mmmm")</f>
        <v>July</v>
      </c>
      <c r="D1068" s="1">
        <v>40731</v>
      </c>
      <c r="E1068" s="1" t="str">
        <f>IF(DATEDIF(Walmart[[#This Row],[Order Date]],Walmart[[#This Row],[Ship Date]],"D")&lt;7,"On time","Delayed")</f>
        <v>On time</v>
      </c>
      <c r="F1068" t="s">
        <v>1727</v>
      </c>
      <c r="G1068" t="s">
        <v>14</v>
      </c>
      <c r="H1068" t="s">
        <v>76</v>
      </c>
      <c r="I1068" t="s">
        <v>77</v>
      </c>
      <c r="J1068" t="s">
        <v>93</v>
      </c>
      <c r="K1068" t="s">
        <v>2629</v>
      </c>
      <c r="L1068">
        <v>177.54</v>
      </c>
      <c r="M1068">
        <v>4</v>
      </c>
      <c r="N1068" t="str">
        <f>IF(Walmart[[#This Row],[Quantity]]&gt;=7,"Bulk",IF(Walmart[[#This Row],[Quantity]]&gt;=2,"Multi","Single"))</f>
        <v>Multi</v>
      </c>
      <c r="O1068">
        <v>62.14</v>
      </c>
      <c r="P1068" t="str">
        <f>IF(Walmart[[#This Row],[Sales]]&gt;=1000,"High Value", IF(Walmart[[#This Row],[Sales]]&gt;=500,"Medium Value","Low Value"))</f>
        <v>Low Value</v>
      </c>
    </row>
    <row r="1069" spans="1:16" hidden="1" x14ac:dyDescent="0.3">
      <c r="A1069" t="s">
        <v>2630</v>
      </c>
      <c r="B1069" s="1">
        <v>41375</v>
      </c>
      <c r="C1069" s="1" t="str">
        <f>TEXT(Walmart[[#This Row],[Order Date]],"mmmm")</f>
        <v>April</v>
      </c>
      <c r="D1069" s="1">
        <v>41382</v>
      </c>
      <c r="E1069" s="1" t="str">
        <f>IF(DATEDIF(Walmart[[#This Row],[Order Date]],Walmart[[#This Row],[Ship Date]],"D")&lt;7,"On time","Delayed")</f>
        <v>Delayed</v>
      </c>
      <c r="F1069" t="s">
        <v>2631</v>
      </c>
      <c r="G1069" t="s">
        <v>14</v>
      </c>
      <c r="H1069" t="s">
        <v>37</v>
      </c>
      <c r="I1069" t="s">
        <v>16</v>
      </c>
      <c r="J1069" t="s">
        <v>105</v>
      </c>
      <c r="K1069" t="s">
        <v>2632</v>
      </c>
      <c r="L1069">
        <v>113.76</v>
      </c>
      <c r="M1069">
        <v>3</v>
      </c>
      <c r="N1069" t="str">
        <f>IF(Walmart[[#This Row],[Quantity]]&gt;=7,"Bulk",IF(Walmart[[#This Row],[Quantity]]&gt;=2,"Multi","Single"))</f>
        <v>Multi</v>
      </c>
      <c r="O1069">
        <v>44.37</v>
      </c>
      <c r="P1069" t="str">
        <f>IF(Walmart[[#This Row],[Sales]]&gt;=1000,"High Value", IF(Walmart[[#This Row],[Sales]]&gt;=500,"Medium Value","Low Value"))</f>
        <v>Low Value</v>
      </c>
    </row>
    <row r="1070" spans="1:16" x14ac:dyDescent="0.3">
      <c r="A1070" t="s">
        <v>1931</v>
      </c>
      <c r="B1070" s="1">
        <v>41815</v>
      </c>
      <c r="C1070" s="1" t="str">
        <f>TEXT(Walmart[[#This Row],[Order Date]],"mmmm")</f>
        <v>June</v>
      </c>
      <c r="D1070" s="1">
        <v>41817</v>
      </c>
      <c r="E1070" s="1" t="str">
        <f>IF(DATEDIF(Walmart[[#This Row],[Order Date]],Walmart[[#This Row],[Ship Date]],"D")&lt;7,"On time","Delayed")</f>
        <v>On time</v>
      </c>
      <c r="F1070" t="s">
        <v>1019</v>
      </c>
      <c r="G1070" t="s">
        <v>14</v>
      </c>
      <c r="H1070" t="s">
        <v>37</v>
      </c>
      <c r="I1070" t="s">
        <v>16</v>
      </c>
      <c r="J1070" t="s">
        <v>191</v>
      </c>
      <c r="K1070" t="s">
        <v>1932</v>
      </c>
      <c r="L1070">
        <v>2.88</v>
      </c>
      <c r="M1070">
        <v>1</v>
      </c>
      <c r="N1070" t="str">
        <f>IF(Walmart[[#This Row],[Quantity]]&gt;=7,"Bulk",IF(Walmart[[#This Row],[Quantity]]&gt;=2,"Multi","Single"))</f>
        <v>Single</v>
      </c>
      <c r="O1070">
        <v>1.35</v>
      </c>
      <c r="P1070" t="str">
        <f>IF(Walmart[[#This Row],[Sales]]&gt;=1000,"High Value", IF(Walmart[[#This Row],[Sales]]&gt;=500,"Medium Value","Low Value"))</f>
        <v>Low Value</v>
      </c>
    </row>
    <row r="1071" spans="1:16" x14ac:dyDescent="0.3">
      <c r="A1071" t="s">
        <v>3525</v>
      </c>
      <c r="B1071" s="1">
        <v>41810</v>
      </c>
      <c r="C1071" s="1" t="str">
        <f>TEXT(Walmart[[#This Row],[Order Date]],"mmmm")</f>
        <v>June</v>
      </c>
      <c r="D1071" s="1">
        <v>41814</v>
      </c>
      <c r="E1071" s="1" t="str">
        <f>IF(DATEDIF(Walmart[[#This Row],[Order Date]],Walmart[[#This Row],[Ship Date]],"D")&lt;7,"On time","Delayed")</f>
        <v>On time</v>
      </c>
      <c r="F1071" t="s">
        <v>1312</v>
      </c>
      <c r="G1071" t="s">
        <v>14</v>
      </c>
      <c r="H1071" t="s">
        <v>37</v>
      </c>
      <c r="I1071" t="s">
        <v>16</v>
      </c>
      <c r="J1071" t="s">
        <v>21</v>
      </c>
      <c r="K1071" t="s">
        <v>2260</v>
      </c>
      <c r="L1071">
        <v>50.32</v>
      </c>
      <c r="M1071">
        <v>4</v>
      </c>
      <c r="N1071" t="str">
        <f>IF(Walmart[[#This Row],[Quantity]]&gt;=7,"Bulk",IF(Walmart[[#This Row],[Quantity]]&gt;=2,"Multi","Single"))</f>
        <v>Multi</v>
      </c>
      <c r="O1071">
        <v>21.13</v>
      </c>
      <c r="P1071" t="str">
        <f>IF(Walmart[[#This Row],[Sales]]&gt;=1000,"High Value", IF(Walmart[[#This Row],[Sales]]&gt;=500,"Medium Value","Low Value"))</f>
        <v>Low Value</v>
      </c>
    </row>
    <row r="1072" spans="1:16" hidden="1" x14ac:dyDescent="0.3">
      <c r="A1072" t="s">
        <v>2635</v>
      </c>
      <c r="B1072" s="1">
        <v>41583</v>
      </c>
      <c r="C1072" s="1" t="str">
        <f>TEXT(Walmart[[#This Row],[Order Date]],"mmmm")</f>
        <v>November</v>
      </c>
      <c r="D1072" s="1">
        <v>41587</v>
      </c>
      <c r="E1072" s="1" t="str">
        <f>IF(DATEDIF(Walmart[[#This Row],[Order Date]],Walmart[[#This Row],[Ship Date]],"D")&lt;7,"On time","Delayed")</f>
        <v>On time</v>
      </c>
      <c r="F1072" t="s">
        <v>981</v>
      </c>
      <c r="G1072" t="s">
        <v>14</v>
      </c>
      <c r="H1072" t="s">
        <v>15</v>
      </c>
      <c r="I1072" t="s">
        <v>16</v>
      </c>
      <c r="J1072" t="s">
        <v>27</v>
      </c>
      <c r="K1072" t="s">
        <v>202</v>
      </c>
      <c r="L1072">
        <v>7.71</v>
      </c>
      <c r="M1072">
        <v>2</v>
      </c>
      <c r="N1072" t="str">
        <f>IF(Walmart[[#This Row],[Quantity]]&gt;=7,"Bulk",IF(Walmart[[#This Row],[Quantity]]&gt;=2,"Multi","Single"))</f>
        <v>Multi</v>
      </c>
      <c r="O1072">
        <v>2.8</v>
      </c>
      <c r="P1072" t="str">
        <f>IF(Walmart[[#This Row],[Sales]]&gt;=1000,"High Value", IF(Walmart[[#This Row],[Sales]]&gt;=500,"Medium Value","Low Value"))</f>
        <v>Low Value</v>
      </c>
    </row>
    <row r="1073" spans="1:16" hidden="1" x14ac:dyDescent="0.3">
      <c r="A1073" t="s">
        <v>2636</v>
      </c>
      <c r="B1073" s="1">
        <v>41595</v>
      </c>
      <c r="C1073" s="1" t="str">
        <f>TEXT(Walmart[[#This Row],[Order Date]],"mmmm")</f>
        <v>November</v>
      </c>
      <c r="D1073" s="1">
        <v>41596</v>
      </c>
      <c r="E1073" s="1" t="str">
        <f>IF(DATEDIF(Walmart[[#This Row],[Order Date]],Walmart[[#This Row],[Ship Date]],"D")&lt;7,"On time","Delayed")</f>
        <v>On time</v>
      </c>
      <c r="F1073" t="s">
        <v>2637</v>
      </c>
      <c r="G1073" t="s">
        <v>14</v>
      </c>
      <c r="H1073" t="s">
        <v>92</v>
      </c>
      <c r="I1073" t="s">
        <v>16</v>
      </c>
      <c r="J1073" t="s">
        <v>27</v>
      </c>
      <c r="K1073" t="s">
        <v>2638</v>
      </c>
      <c r="L1073">
        <v>8.32</v>
      </c>
      <c r="M1073">
        <v>5</v>
      </c>
      <c r="N1073" t="str">
        <f>IF(Walmart[[#This Row],[Quantity]]&gt;=7,"Bulk",IF(Walmart[[#This Row],[Quantity]]&gt;=2,"Multi","Single"))</f>
        <v>Multi</v>
      </c>
      <c r="O1073">
        <v>2.81</v>
      </c>
      <c r="P1073" t="str">
        <f>IF(Walmart[[#This Row],[Sales]]&gt;=1000,"High Value", IF(Walmart[[#This Row],[Sales]]&gt;=500,"Medium Value","Low Value"))</f>
        <v>Low Value</v>
      </c>
    </row>
    <row r="1074" spans="1:16" hidden="1" x14ac:dyDescent="0.3">
      <c r="A1074" t="s">
        <v>2639</v>
      </c>
      <c r="B1074" s="1">
        <v>41589</v>
      </c>
      <c r="C1074" s="1" t="str">
        <f>TEXT(Walmart[[#This Row],[Order Date]],"mmmm")</f>
        <v>November</v>
      </c>
      <c r="D1074" s="1">
        <v>41594</v>
      </c>
      <c r="E1074" s="1" t="str">
        <f>IF(DATEDIF(Walmart[[#This Row],[Order Date]],Walmart[[#This Row],[Ship Date]],"D")&lt;7,"On time","Delayed")</f>
        <v>On time</v>
      </c>
      <c r="F1074" t="s">
        <v>605</v>
      </c>
      <c r="G1074" t="s">
        <v>14</v>
      </c>
      <c r="H1074" t="s">
        <v>1136</v>
      </c>
      <c r="I1074" t="s">
        <v>16</v>
      </c>
      <c r="J1074" t="s">
        <v>21</v>
      </c>
      <c r="K1074" t="s">
        <v>2640</v>
      </c>
      <c r="L1074">
        <v>9.98</v>
      </c>
      <c r="M1074">
        <v>1</v>
      </c>
      <c r="N1074" t="str">
        <f>IF(Walmart[[#This Row],[Quantity]]&gt;=7,"Bulk",IF(Walmart[[#This Row],[Quantity]]&gt;=2,"Multi","Single"))</f>
        <v>Single</v>
      </c>
      <c r="O1074">
        <v>2.79</v>
      </c>
      <c r="P1074" t="str">
        <f>IF(Walmart[[#This Row],[Sales]]&gt;=1000,"High Value", IF(Walmart[[#This Row],[Sales]]&gt;=500,"Medium Value","Low Value"))</f>
        <v>Low Value</v>
      </c>
    </row>
    <row r="1075" spans="1:16" hidden="1" x14ac:dyDescent="0.3">
      <c r="A1075" t="s">
        <v>2641</v>
      </c>
      <c r="B1075" s="1">
        <v>41634</v>
      </c>
      <c r="C1075" s="1" t="str">
        <f>TEXT(Walmart[[#This Row],[Order Date]],"mmmm")</f>
        <v>December</v>
      </c>
      <c r="D1075" s="1">
        <v>41641</v>
      </c>
      <c r="E1075" s="1" t="str">
        <f>IF(DATEDIF(Walmart[[#This Row],[Order Date]],Walmart[[#This Row],[Ship Date]],"D")&lt;7,"On time","Delayed")</f>
        <v>Delayed</v>
      </c>
      <c r="F1075" t="s">
        <v>962</v>
      </c>
      <c r="G1075" t="s">
        <v>14</v>
      </c>
      <c r="H1075" t="s">
        <v>84</v>
      </c>
      <c r="I1075" t="s">
        <v>58</v>
      </c>
      <c r="J1075" t="s">
        <v>43</v>
      </c>
      <c r="K1075" t="s">
        <v>397</v>
      </c>
      <c r="L1075">
        <v>35.450000000000003</v>
      </c>
      <c r="M1075">
        <v>1</v>
      </c>
      <c r="N1075" t="str">
        <f>IF(Walmart[[#This Row],[Quantity]]&gt;=7,"Bulk",IF(Walmart[[#This Row],[Quantity]]&gt;=2,"Multi","Single"))</f>
        <v>Single</v>
      </c>
      <c r="O1075">
        <v>-24.1</v>
      </c>
      <c r="P1075" t="str">
        <f>IF(Walmart[[#This Row],[Sales]]&gt;=1000,"High Value", IF(Walmart[[#This Row],[Sales]]&gt;=500,"Medium Value","Low Value"))</f>
        <v>Low Value</v>
      </c>
    </row>
    <row r="1076" spans="1:16" hidden="1" x14ac:dyDescent="0.3">
      <c r="A1076" t="s">
        <v>2642</v>
      </c>
      <c r="B1076" s="1">
        <v>40821</v>
      </c>
      <c r="C1076" s="1" t="str">
        <f>TEXT(Walmart[[#This Row],[Order Date]],"mmmm")</f>
        <v>October</v>
      </c>
      <c r="D1076" s="1">
        <v>40822</v>
      </c>
      <c r="E1076" s="1" t="str">
        <f>IF(DATEDIF(Walmart[[#This Row],[Order Date]],Walmart[[#This Row],[Ship Date]],"D")&lt;7,"On time","Delayed")</f>
        <v>On time</v>
      </c>
      <c r="F1076" t="s">
        <v>230</v>
      </c>
      <c r="G1076" t="s">
        <v>14</v>
      </c>
      <c r="H1076" t="s">
        <v>743</v>
      </c>
      <c r="I1076" t="s">
        <v>16</v>
      </c>
      <c r="J1076" t="s">
        <v>53</v>
      </c>
      <c r="K1076" t="s">
        <v>992</v>
      </c>
      <c r="L1076">
        <v>99.98</v>
      </c>
      <c r="M1076">
        <v>2</v>
      </c>
      <c r="N1076" t="str">
        <f>IF(Walmart[[#This Row],[Quantity]]&gt;=7,"Bulk",IF(Walmart[[#This Row],[Quantity]]&gt;=2,"Multi","Single"))</f>
        <v>Multi</v>
      </c>
      <c r="O1076">
        <v>34.99</v>
      </c>
      <c r="P1076" t="str">
        <f>IF(Walmart[[#This Row],[Sales]]&gt;=1000,"High Value", IF(Walmart[[#This Row],[Sales]]&gt;=500,"Medium Value","Low Value"))</f>
        <v>Low Value</v>
      </c>
    </row>
    <row r="1077" spans="1:16" x14ac:dyDescent="0.3">
      <c r="A1077" t="s">
        <v>1863</v>
      </c>
      <c r="B1077" s="1">
        <v>41809</v>
      </c>
      <c r="C1077" s="1" t="str">
        <f>TEXT(Walmart[[#This Row],[Order Date]],"mmmm")</f>
        <v>June</v>
      </c>
      <c r="D1077" s="1">
        <v>41814</v>
      </c>
      <c r="E1077" s="1" t="str">
        <f>IF(DATEDIF(Walmart[[#This Row],[Order Date]],Walmart[[#This Row],[Ship Date]],"D")&lt;7,"On time","Delayed")</f>
        <v>On time</v>
      </c>
      <c r="F1077" t="s">
        <v>946</v>
      </c>
      <c r="G1077" t="s">
        <v>14</v>
      </c>
      <c r="H1077" t="s">
        <v>15</v>
      </c>
      <c r="I1077" t="s">
        <v>16</v>
      </c>
      <c r="J1077" t="s">
        <v>671</v>
      </c>
      <c r="K1077" t="s">
        <v>762</v>
      </c>
      <c r="L1077">
        <v>917.92</v>
      </c>
      <c r="M1077">
        <v>9</v>
      </c>
      <c r="N1077" t="str">
        <f>IF(Walmart[[#This Row],[Quantity]]&gt;=7,"Bulk",IF(Walmart[[#This Row],[Quantity]]&gt;=2,"Multi","Single"))</f>
        <v>Bulk</v>
      </c>
      <c r="O1077">
        <v>75.59</v>
      </c>
      <c r="P1077" t="str">
        <f>IF(Walmart[[#This Row],[Sales]]&gt;=1000,"High Value", IF(Walmart[[#This Row],[Sales]]&gt;=500,"Medium Value","Low Value"))</f>
        <v>Medium Value</v>
      </c>
    </row>
    <row r="1078" spans="1:16" hidden="1" x14ac:dyDescent="0.3">
      <c r="A1078" t="s">
        <v>2645</v>
      </c>
      <c r="B1078" s="1">
        <v>40711</v>
      </c>
      <c r="C1078" s="1" t="str">
        <f>TEXT(Walmart[[#This Row],[Order Date]],"mmmm")</f>
        <v>June</v>
      </c>
      <c r="D1078" s="1">
        <v>40715</v>
      </c>
      <c r="E1078" s="1" t="str">
        <f>IF(DATEDIF(Walmart[[#This Row],[Order Date]],Walmart[[#This Row],[Ship Date]],"D")&lt;7,"On time","Delayed")</f>
        <v>On time</v>
      </c>
      <c r="F1078" t="s">
        <v>754</v>
      </c>
      <c r="G1078" t="s">
        <v>14</v>
      </c>
      <c r="H1078" t="s">
        <v>25</v>
      </c>
      <c r="I1078" t="s">
        <v>26</v>
      </c>
      <c r="J1078" t="s">
        <v>21</v>
      </c>
      <c r="K1078" t="s">
        <v>258</v>
      </c>
      <c r="L1078">
        <v>6.24</v>
      </c>
      <c r="M1078">
        <v>3</v>
      </c>
      <c r="N1078" t="str">
        <f>IF(Walmart[[#This Row],[Quantity]]&gt;=7,"Bulk",IF(Walmart[[#This Row],[Quantity]]&gt;=2,"Multi","Single"))</f>
        <v>Multi</v>
      </c>
      <c r="O1078">
        <v>2.62</v>
      </c>
      <c r="P1078" t="str">
        <f>IF(Walmart[[#This Row],[Sales]]&gt;=1000,"High Value", IF(Walmart[[#This Row],[Sales]]&gt;=500,"Medium Value","Low Value"))</f>
        <v>Low Value</v>
      </c>
    </row>
    <row r="1079" spans="1:16" x14ac:dyDescent="0.3">
      <c r="A1079" t="s">
        <v>71</v>
      </c>
      <c r="B1079" s="1">
        <v>41808</v>
      </c>
      <c r="C1079" s="1" t="str">
        <f>TEXT(Walmart[[#This Row],[Order Date]],"mmmm")</f>
        <v>June</v>
      </c>
      <c r="D1079" s="1">
        <v>41811</v>
      </c>
      <c r="E1079" s="1" t="str">
        <f>IF(DATEDIF(Walmart[[#This Row],[Order Date]],Walmart[[#This Row],[Ship Date]],"D")&lt;7,"On time","Delayed")</f>
        <v>On time</v>
      </c>
      <c r="F1079" t="s">
        <v>72</v>
      </c>
      <c r="G1079" t="s">
        <v>14</v>
      </c>
      <c r="H1079" t="s">
        <v>37</v>
      </c>
      <c r="I1079" t="s">
        <v>16</v>
      </c>
      <c r="J1079" t="s">
        <v>27</v>
      </c>
      <c r="K1079" t="s">
        <v>73</v>
      </c>
      <c r="L1079">
        <v>51.31</v>
      </c>
      <c r="M1079">
        <v>3</v>
      </c>
      <c r="N1079" t="str">
        <f>IF(Walmart[[#This Row],[Quantity]]&gt;=7,"Bulk",IF(Walmart[[#This Row],[Quantity]]&gt;=2,"Multi","Single"))</f>
        <v>Multi</v>
      </c>
      <c r="O1079">
        <v>17.96</v>
      </c>
      <c r="P1079" t="str">
        <f>IF(Walmart[[#This Row],[Sales]]&gt;=1000,"High Value", IF(Walmart[[#This Row],[Sales]]&gt;=500,"Medium Value","Low Value"))</f>
        <v>Low Value</v>
      </c>
    </row>
    <row r="1080" spans="1:16" hidden="1" x14ac:dyDescent="0.3">
      <c r="A1080" t="s">
        <v>2648</v>
      </c>
      <c r="B1080" s="1">
        <v>41526</v>
      </c>
      <c r="C1080" s="1" t="str">
        <f>TEXT(Walmart[[#This Row],[Order Date]],"mmmm")</f>
        <v>September</v>
      </c>
      <c r="D1080" s="1">
        <v>41526</v>
      </c>
      <c r="E1080" s="1" t="str">
        <f>IF(DATEDIF(Walmart[[#This Row],[Order Date]],Walmart[[#This Row],[Ship Date]],"D")&lt;7,"On time","Delayed")</f>
        <v>On time</v>
      </c>
      <c r="F1080" t="s">
        <v>437</v>
      </c>
      <c r="G1080" t="s">
        <v>14</v>
      </c>
      <c r="H1080" t="s">
        <v>438</v>
      </c>
      <c r="I1080" t="s">
        <v>16</v>
      </c>
      <c r="J1080" t="s">
        <v>43</v>
      </c>
      <c r="K1080" t="s">
        <v>678</v>
      </c>
      <c r="L1080">
        <v>146.04</v>
      </c>
      <c r="M1080">
        <v>1</v>
      </c>
      <c r="N1080" t="str">
        <f>IF(Walmart[[#This Row],[Quantity]]&gt;=7,"Bulk",IF(Walmart[[#This Row],[Quantity]]&gt;=2,"Multi","Single"))</f>
        <v>Single</v>
      </c>
      <c r="O1080">
        <v>-12.78</v>
      </c>
      <c r="P1080" t="str">
        <f>IF(Walmart[[#This Row],[Sales]]&gt;=1000,"High Value", IF(Walmart[[#This Row],[Sales]]&gt;=500,"Medium Value","Low Value"))</f>
        <v>Low Value</v>
      </c>
    </row>
    <row r="1081" spans="1:16" hidden="1" x14ac:dyDescent="0.3">
      <c r="A1081" t="s">
        <v>2649</v>
      </c>
      <c r="B1081" s="1">
        <v>41599</v>
      </c>
      <c r="C1081" s="1" t="str">
        <f>TEXT(Walmart[[#This Row],[Order Date]],"mmmm")</f>
        <v>November</v>
      </c>
      <c r="D1081" s="1">
        <v>41603</v>
      </c>
      <c r="E1081" s="1" t="str">
        <f>IF(DATEDIF(Walmart[[#This Row],[Order Date]],Walmart[[#This Row],[Ship Date]],"D")&lt;7,"On time","Delayed")</f>
        <v>On time</v>
      </c>
      <c r="F1081" t="s">
        <v>2650</v>
      </c>
      <c r="G1081" t="s">
        <v>14</v>
      </c>
      <c r="H1081" t="s">
        <v>2651</v>
      </c>
      <c r="I1081" t="s">
        <v>16</v>
      </c>
      <c r="J1081" t="s">
        <v>53</v>
      </c>
      <c r="K1081" t="s">
        <v>2652</v>
      </c>
      <c r="L1081">
        <v>27.88</v>
      </c>
      <c r="M1081">
        <v>2</v>
      </c>
      <c r="N1081" t="str">
        <f>IF(Walmart[[#This Row],[Quantity]]&gt;=7,"Bulk",IF(Walmart[[#This Row],[Quantity]]&gt;=2,"Multi","Single"))</f>
        <v>Multi</v>
      </c>
      <c r="O1081">
        <v>3.9</v>
      </c>
      <c r="P1081" t="str">
        <f>IF(Walmart[[#This Row],[Sales]]&gt;=1000,"High Value", IF(Walmart[[#This Row],[Sales]]&gt;=500,"Medium Value","Low Value"))</f>
        <v>Low Value</v>
      </c>
    </row>
    <row r="1082" spans="1:16" x14ac:dyDescent="0.3">
      <c r="A1082" t="s">
        <v>519</v>
      </c>
      <c r="B1082" s="1">
        <v>41808</v>
      </c>
      <c r="C1082" s="1" t="str">
        <f>TEXT(Walmart[[#This Row],[Order Date]],"mmmm")</f>
        <v>June</v>
      </c>
      <c r="D1082" s="1">
        <v>41812</v>
      </c>
      <c r="E1082" s="1" t="str">
        <f>IF(DATEDIF(Walmart[[#This Row],[Order Date]],Walmart[[#This Row],[Ship Date]],"D")&lt;7,"On time","Delayed")</f>
        <v>On time</v>
      </c>
      <c r="F1082" t="s">
        <v>520</v>
      </c>
      <c r="G1082" t="s">
        <v>14</v>
      </c>
      <c r="H1082" t="s">
        <v>521</v>
      </c>
      <c r="I1082" t="s">
        <v>26</v>
      </c>
      <c r="J1082" t="s">
        <v>21</v>
      </c>
      <c r="K1082" t="s">
        <v>522</v>
      </c>
      <c r="L1082">
        <v>155.25</v>
      </c>
      <c r="M1082">
        <v>3</v>
      </c>
      <c r="N1082" t="str">
        <f>IF(Walmart[[#This Row],[Quantity]]&gt;=7,"Bulk",IF(Walmart[[#This Row],[Quantity]]&gt;=2,"Multi","Single"))</f>
        <v>Multi</v>
      </c>
      <c r="O1082">
        <v>46.58</v>
      </c>
      <c r="P1082" t="str">
        <f>IF(Walmart[[#This Row],[Sales]]&gt;=1000,"High Value", IF(Walmart[[#This Row],[Sales]]&gt;=500,"Medium Value","Low Value"))</f>
        <v>Low Value</v>
      </c>
    </row>
    <row r="1083" spans="1:16" x14ac:dyDescent="0.3">
      <c r="A1083" t="s">
        <v>2582</v>
      </c>
      <c r="B1083" s="1">
        <v>41808</v>
      </c>
      <c r="C1083" s="1" t="str">
        <f>TEXT(Walmart[[#This Row],[Order Date]],"mmmm")</f>
        <v>June</v>
      </c>
      <c r="D1083" s="1">
        <v>41811</v>
      </c>
      <c r="E1083" s="1" t="str">
        <f>IF(DATEDIF(Walmart[[#This Row],[Order Date]],Walmart[[#This Row],[Ship Date]],"D")&lt;7,"On time","Delayed")</f>
        <v>On time</v>
      </c>
      <c r="F1083" t="s">
        <v>510</v>
      </c>
      <c r="G1083" t="s">
        <v>14</v>
      </c>
      <c r="H1083" t="s">
        <v>2583</v>
      </c>
      <c r="I1083" t="s">
        <v>77</v>
      </c>
      <c r="J1083" t="s">
        <v>33</v>
      </c>
      <c r="K1083" t="s">
        <v>2584</v>
      </c>
      <c r="L1083">
        <v>146.35</v>
      </c>
      <c r="M1083">
        <v>3</v>
      </c>
      <c r="N1083" t="str">
        <f>IF(Walmart[[#This Row],[Quantity]]&gt;=7,"Bulk",IF(Walmart[[#This Row],[Quantity]]&gt;=2,"Multi","Single"))</f>
        <v>Multi</v>
      </c>
      <c r="O1083">
        <v>-32.93</v>
      </c>
      <c r="P1083" t="str">
        <f>IF(Walmart[[#This Row],[Sales]]&gt;=1000,"High Value", IF(Walmart[[#This Row],[Sales]]&gt;=500,"Medium Value","Low Value"))</f>
        <v>Low Value</v>
      </c>
    </row>
    <row r="1084" spans="1:16" hidden="1" x14ac:dyDescent="0.3">
      <c r="A1084" t="s">
        <v>2655</v>
      </c>
      <c r="B1084" s="1">
        <v>40730</v>
      </c>
      <c r="C1084" s="1" t="str">
        <f>TEXT(Walmart[[#This Row],[Order Date]],"mmmm")</f>
        <v>July</v>
      </c>
      <c r="D1084" s="1">
        <v>40736</v>
      </c>
      <c r="E1084" s="1" t="str">
        <f>IF(DATEDIF(Walmart[[#This Row],[Order Date]],Walmart[[#This Row],[Ship Date]],"D")&lt;7,"On time","Delayed")</f>
        <v>On time</v>
      </c>
      <c r="F1084" t="s">
        <v>1118</v>
      </c>
      <c r="G1084" t="s">
        <v>14</v>
      </c>
      <c r="H1084" t="s">
        <v>2656</v>
      </c>
      <c r="I1084" t="s">
        <v>16</v>
      </c>
      <c r="J1084" t="s">
        <v>88</v>
      </c>
      <c r="K1084" t="s">
        <v>2657</v>
      </c>
      <c r="L1084">
        <v>478.48</v>
      </c>
      <c r="M1084">
        <v>2</v>
      </c>
      <c r="N1084" t="str">
        <f>IF(Walmart[[#This Row],[Quantity]]&gt;=7,"Bulk",IF(Walmart[[#This Row],[Quantity]]&gt;=2,"Multi","Single"))</f>
        <v>Multi</v>
      </c>
      <c r="O1084">
        <v>47.85</v>
      </c>
      <c r="P1084" t="str">
        <f>IF(Walmart[[#This Row],[Sales]]&gt;=1000,"High Value", IF(Walmart[[#This Row],[Sales]]&gt;=500,"Medium Value","Low Value"))</f>
        <v>Low Value</v>
      </c>
    </row>
    <row r="1085" spans="1:16" hidden="1" x14ac:dyDescent="0.3">
      <c r="A1085" t="s">
        <v>2658</v>
      </c>
      <c r="B1085" s="1">
        <v>41404</v>
      </c>
      <c r="C1085" s="1" t="str">
        <f>TEXT(Walmart[[#This Row],[Order Date]],"mmmm")</f>
        <v>May</v>
      </c>
      <c r="D1085" s="1">
        <v>41409</v>
      </c>
      <c r="E1085" s="1" t="str">
        <f>IF(DATEDIF(Walmart[[#This Row],[Order Date]],Walmart[[#This Row],[Ship Date]],"D")&lt;7,"On time","Delayed")</f>
        <v>On time</v>
      </c>
      <c r="F1085" t="s">
        <v>1115</v>
      </c>
      <c r="G1085" t="s">
        <v>14</v>
      </c>
      <c r="H1085" t="s">
        <v>15</v>
      </c>
      <c r="I1085" t="s">
        <v>16</v>
      </c>
      <c r="J1085" t="s">
        <v>93</v>
      </c>
      <c r="K1085" t="s">
        <v>2659</v>
      </c>
      <c r="L1085">
        <v>32.04</v>
      </c>
      <c r="M1085">
        <v>4</v>
      </c>
      <c r="N1085" t="str">
        <f>IF(Walmart[[#This Row],[Quantity]]&gt;=7,"Bulk",IF(Walmart[[#This Row],[Quantity]]&gt;=2,"Multi","Single"))</f>
        <v>Multi</v>
      </c>
      <c r="O1085">
        <v>14.42</v>
      </c>
      <c r="P1085" t="str">
        <f>IF(Walmart[[#This Row],[Sales]]&gt;=1000,"High Value", IF(Walmart[[#This Row],[Sales]]&gt;=500,"Medium Value","Low Value"))</f>
        <v>Low Value</v>
      </c>
    </row>
    <row r="1086" spans="1:16" hidden="1" x14ac:dyDescent="0.3">
      <c r="A1086" t="s">
        <v>2660</v>
      </c>
      <c r="B1086" s="1">
        <v>41474</v>
      </c>
      <c r="C1086" s="1" t="str">
        <f>TEXT(Walmart[[#This Row],[Order Date]],"mmmm")</f>
        <v>July</v>
      </c>
      <c r="D1086" s="1">
        <v>41478</v>
      </c>
      <c r="E1086" s="1" t="str">
        <f>IF(DATEDIF(Walmart[[#This Row],[Order Date]],Walmart[[#This Row],[Ship Date]],"D")&lt;7,"On time","Delayed")</f>
        <v>On time</v>
      </c>
      <c r="F1086" t="s">
        <v>2661</v>
      </c>
      <c r="G1086" t="s">
        <v>14</v>
      </c>
      <c r="H1086" t="s">
        <v>84</v>
      </c>
      <c r="I1086" t="s">
        <v>58</v>
      </c>
      <c r="J1086" t="s">
        <v>146</v>
      </c>
      <c r="K1086" t="s">
        <v>2187</v>
      </c>
      <c r="L1086">
        <v>55.99</v>
      </c>
      <c r="M1086">
        <v>1</v>
      </c>
      <c r="N1086" t="str">
        <f>IF(Walmart[[#This Row],[Quantity]]&gt;=7,"Bulk",IF(Walmart[[#This Row],[Quantity]]&gt;=2,"Multi","Single"))</f>
        <v>Single</v>
      </c>
      <c r="O1086">
        <v>3.5</v>
      </c>
      <c r="P1086" t="str">
        <f>IF(Walmart[[#This Row],[Sales]]&gt;=1000,"High Value", IF(Walmart[[#This Row],[Sales]]&gt;=500,"Medium Value","Low Value"))</f>
        <v>Low Value</v>
      </c>
    </row>
    <row r="1087" spans="1:16" hidden="1" x14ac:dyDescent="0.3">
      <c r="A1087" t="s">
        <v>2662</v>
      </c>
      <c r="B1087" s="1">
        <v>40653</v>
      </c>
      <c r="C1087" s="1" t="str">
        <f>TEXT(Walmart[[#This Row],[Order Date]],"mmmm")</f>
        <v>April</v>
      </c>
      <c r="D1087" s="1">
        <v>40658</v>
      </c>
      <c r="E1087" s="1" t="str">
        <f>IF(DATEDIF(Walmart[[#This Row],[Order Date]],Walmart[[#This Row],[Ship Date]],"D")&lt;7,"On time","Delayed")</f>
        <v>On time</v>
      </c>
      <c r="F1087" t="s">
        <v>908</v>
      </c>
      <c r="G1087" t="s">
        <v>14</v>
      </c>
      <c r="H1087" t="s">
        <v>15</v>
      </c>
      <c r="I1087" t="s">
        <v>16</v>
      </c>
      <c r="J1087" t="s">
        <v>21</v>
      </c>
      <c r="K1087" t="s">
        <v>2663</v>
      </c>
      <c r="L1087">
        <v>59.92</v>
      </c>
      <c r="M1087">
        <v>4</v>
      </c>
      <c r="N1087" t="str">
        <f>IF(Walmart[[#This Row],[Quantity]]&gt;=7,"Bulk",IF(Walmart[[#This Row],[Quantity]]&gt;=2,"Multi","Single"))</f>
        <v>Multi</v>
      </c>
      <c r="O1087">
        <v>27.56</v>
      </c>
      <c r="P1087" t="str">
        <f>IF(Walmart[[#This Row],[Sales]]&gt;=1000,"High Value", IF(Walmart[[#This Row],[Sales]]&gt;=500,"Medium Value","Low Value"))</f>
        <v>Low Value</v>
      </c>
    </row>
    <row r="1088" spans="1:16" x14ac:dyDescent="0.3">
      <c r="A1088" t="s">
        <v>1093</v>
      </c>
      <c r="B1088" s="1">
        <v>41807</v>
      </c>
      <c r="C1088" s="1" t="str">
        <f>TEXT(Walmart[[#This Row],[Order Date]],"mmmm")</f>
        <v>June</v>
      </c>
      <c r="D1088" s="1">
        <v>41810</v>
      </c>
      <c r="E1088" s="1" t="str">
        <f>IF(DATEDIF(Walmart[[#This Row],[Order Date]],Walmart[[#This Row],[Ship Date]],"D")&lt;7,"On time","Delayed")</f>
        <v>On time</v>
      </c>
      <c r="F1088" t="s">
        <v>83</v>
      </c>
      <c r="G1088" t="s">
        <v>14</v>
      </c>
      <c r="H1088" t="s">
        <v>37</v>
      </c>
      <c r="I1088" t="s">
        <v>16</v>
      </c>
      <c r="J1088" t="s">
        <v>88</v>
      </c>
      <c r="K1088" t="s">
        <v>1094</v>
      </c>
      <c r="L1088">
        <v>1212.96</v>
      </c>
      <c r="M1088">
        <v>7</v>
      </c>
      <c r="N1088" t="str">
        <f>IF(Walmart[[#This Row],[Quantity]]&gt;=7,"Bulk",IF(Walmart[[#This Row],[Quantity]]&gt;=2,"Multi","Single"))</f>
        <v>Bulk</v>
      </c>
      <c r="O1088">
        <v>90.97</v>
      </c>
      <c r="P1088" t="str">
        <f>IF(Walmart[[#This Row],[Sales]]&gt;=1000,"High Value", IF(Walmart[[#This Row],[Sales]]&gt;=500,"Medium Value","Low Value"))</f>
        <v>High Value</v>
      </c>
    </row>
    <row r="1089" spans="1:16" hidden="1" x14ac:dyDescent="0.3">
      <c r="A1089" t="s">
        <v>2666</v>
      </c>
      <c r="B1089" s="1">
        <v>41508</v>
      </c>
      <c r="C1089" s="1" t="str">
        <f>TEXT(Walmart[[#This Row],[Order Date]],"mmmm")</f>
        <v>August</v>
      </c>
      <c r="D1089" s="1">
        <v>41515</v>
      </c>
      <c r="E1089" s="1" t="str">
        <f>IF(DATEDIF(Walmart[[#This Row],[Order Date]],Walmart[[#This Row],[Ship Date]],"D")&lt;7,"On time","Delayed")</f>
        <v>Delayed</v>
      </c>
      <c r="F1089" t="s">
        <v>2667</v>
      </c>
      <c r="G1089" t="s">
        <v>14</v>
      </c>
      <c r="H1089" t="s">
        <v>15</v>
      </c>
      <c r="I1089" t="s">
        <v>16</v>
      </c>
      <c r="J1089" t="s">
        <v>27</v>
      </c>
      <c r="K1089" t="s">
        <v>2668</v>
      </c>
      <c r="L1089">
        <v>12.67</v>
      </c>
      <c r="M1089">
        <v>2</v>
      </c>
      <c r="N1089" t="str">
        <f>IF(Walmart[[#This Row],[Quantity]]&gt;=7,"Bulk",IF(Walmart[[#This Row],[Quantity]]&gt;=2,"Multi","Single"))</f>
        <v>Multi</v>
      </c>
      <c r="O1089">
        <v>4.75</v>
      </c>
      <c r="P1089" t="str">
        <f>IF(Walmart[[#This Row],[Sales]]&gt;=1000,"High Value", IF(Walmart[[#This Row],[Sales]]&gt;=500,"Medium Value","Low Value"))</f>
        <v>Low Value</v>
      </c>
    </row>
    <row r="1090" spans="1:16" hidden="1" x14ac:dyDescent="0.3">
      <c r="A1090" t="s">
        <v>2669</v>
      </c>
      <c r="B1090" s="1">
        <v>41259</v>
      </c>
      <c r="C1090" s="1" t="str">
        <f>TEXT(Walmart[[#This Row],[Order Date]],"mmmm")</f>
        <v>December</v>
      </c>
      <c r="D1090" s="1">
        <v>41262</v>
      </c>
      <c r="E1090" s="1" t="str">
        <f>IF(DATEDIF(Walmart[[#This Row],[Order Date]],Walmart[[#This Row],[Ship Date]],"D")&lt;7,"On time","Delayed")</f>
        <v>On time</v>
      </c>
      <c r="F1090" t="s">
        <v>1025</v>
      </c>
      <c r="G1090" t="s">
        <v>14</v>
      </c>
      <c r="H1090" t="s">
        <v>25</v>
      </c>
      <c r="I1090" t="s">
        <v>26</v>
      </c>
      <c r="J1090" t="s">
        <v>93</v>
      </c>
      <c r="K1090" t="s">
        <v>2670</v>
      </c>
      <c r="L1090">
        <v>4.9800000000000004</v>
      </c>
      <c r="M1090">
        <v>1</v>
      </c>
      <c r="N1090" t="str">
        <f>IF(Walmart[[#This Row],[Quantity]]&gt;=7,"Bulk",IF(Walmart[[#This Row],[Quantity]]&gt;=2,"Multi","Single"))</f>
        <v>Single</v>
      </c>
      <c r="O1090">
        <v>2.34</v>
      </c>
      <c r="P1090" t="str">
        <f>IF(Walmart[[#This Row],[Sales]]&gt;=1000,"High Value", IF(Walmart[[#This Row],[Sales]]&gt;=500,"Medium Value","Low Value"))</f>
        <v>Low Value</v>
      </c>
    </row>
    <row r="1091" spans="1:16" hidden="1" x14ac:dyDescent="0.3">
      <c r="A1091" t="s">
        <v>2671</v>
      </c>
      <c r="B1091" s="1">
        <v>41244</v>
      </c>
      <c r="C1091" s="1" t="str">
        <f>TEXT(Walmart[[#This Row],[Order Date]],"mmmm")</f>
        <v>December</v>
      </c>
      <c r="D1091" s="1">
        <v>41248</v>
      </c>
      <c r="E1091" s="1" t="str">
        <f>IF(DATEDIF(Walmart[[#This Row],[Order Date]],Walmart[[#This Row],[Ship Date]],"D")&lt;7,"On time","Delayed")</f>
        <v>On time</v>
      </c>
      <c r="F1091" t="s">
        <v>103</v>
      </c>
      <c r="G1091" t="s">
        <v>14</v>
      </c>
      <c r="H1091" t="s">
        <v>25</v>
      </c>
      <c r="I1091" t="s">
        <v>26</v>
      </c>
      <c r="J1091" t="s">
        <v>88</v>
      </c>
      <c r="K1091" t="s">
        <v>1354</v>
      </c>
      <c r="L1091">
        <v>2003.92</v>
      </c>
      <c r="M1091">
        <v>5</v>
      </c>
      <c r="N1091" t="str">
        <f>IF(Walmart[[#This Row],[Quantity]]&gt;=7,"Bulk",IF(Walmart[[#This Row],[Quantity]]&gt;=2,"Multi","Single"))</f>
        <v>Multi</v>
      </c>
      <c r="O1091">
        <v>125.25</v>
      </c>
      <c r="P1091" t="str">
        <f>IF(Walmart[[#This Row],[Sales]]&gt;=1000,"High Value", IF(Walmart[[#This Row],[Sales]]&gt;=500,"Medium Value","Low Value"))</f>
        <v>High Value</v>
      </c>
    </row>
    <row r="1092" spans="1:16" x14ac:dyDescent="0.3">
      <c r="A1092" t="s">
        <v>1282</v>
      </c>
      <c r="B1092" s="1">
        <v>41807</v>
      </c>
      <c r="C1092" s="1" t="str">
        <f>TEXT(Walmart[[#This Row],[Order Date]],"mmmm")</f>
        <v>June</v>
      </c>
      <c r="D1092" s="1">
        <v>41812</v>
      </c>
      <c r="E1092" s="1" t="str">
        <f>IF(DATEDIF(Walmart[[#This Row],[Order Date]],Walmart[[#This Row],[Ship Date]],"D")&lt;7,"On time","Delayed")</f>
        <v>On time</v>
      </c>
      <c r="F1092" t="s">
        <v>1283</v>
      </c>
      <c r="G1092" t="s">
        <v>14</v>
      </c>
      <c r="H1092" t="s">
        <v>122</v>
      </c>
      <c r="I1092" t="s">
        <v>123</v>
      </c>
      <c r="J1092" t="s">
        <v>334</v>
      </c>
      <c r="K1092" t="s">
        <v>1284</v>
      </c>
      <c r="L1092">
        <v>16.68</v>
      </c>
      <c r="M1092">
        <v>2</v>
      </c>
      <c r="N1092" t="str">
        <f>IF(Walmart[[#This Row],[Quantity]]&gt;=7,"Bulk",IF(Walmart[[#This Row],[Quantity]]&gt;=2,"Multi","Single"))</f>
        <v>Multi</v>
      </c>
      <c r="O1092">
        <v>4.34</v>
      </c>
      <c r="P1092" t="str">
        <f>IF(Walmart[[#This Row],[Sales]]&gt;=1000,"High Value", IF(Walmart[[#This Row],[Sales]]&gt;=500,"Medium Value","Low Value"))</f>
        <v>Low Value</v>
      </c>
    </row>
    <row r="1093" spans="1:16" x14ac:dyDescent="0.3">
      <c r="A1093" t="s">
        <v>207</v>
      </c>
      <c r="B1093" s="1">
        <v>41806</v>
      </c>
      <c r="C1093" s="1" t="str">
        <f>TEXT(Walmart[[#This Row],[Order Date]],"mmmm")</f>
        <v>June</v>
      </c>
      <c r="D1093" s="1">
        <v>41810</v>
      </c>
      <c r="E1093" s="1" t="str">
        <f>IF(DATEDIF(Walmart[[#This Row],[Order Date]],Walmart[[#This Row],[Ship Date]],"D")&lt;7,"On time","Delayed")</f>
        <v>On time</v>
      </c>
      <c r="F1093" t="s">
        <v>208</v>
      </c>
      <c r="G1093" t="s">
        <v>14</v>
      </c>
      <c r="H1093" t="s">
        <v>37</v>
      </c>
      <c r="I1093" t="s">
        <v>16</v>
      </c>
      <c r="J1093" t="s">
        <v>146</v>
      </c>
      <c r="K1093" t="s">
        <v>209</v>
      </c>
      <c r="L1093">
        <v>47.98</v>
      </c>
      <c r="M1093">
        <v>3</v>
      </c>
      <c r="N1093" t="str">
        <f>IF(Walmart[[#This Row],[Quantity]]&gt;=7,"Bulk",IF(Walmart[[#This Row],[Quantity]]&gt;=2,"Multi","Single"))</f>
        <v>Multi</v>
      </c>
      <c r="O1093">
        <v>4.8</v>
      </c>
      <c r="P1093" t="str">
        <f>IF(Walmart[[#This Row],[Sales]]&gt;=1000,"High Value", IF(Walmart[[#This Row],[Sales]]&gt;=500,"Medium Value","Low Value"))</f>
        <v>Low Value</v>
      </c>
    </row>
    <row r="1094" spans="1:16" x14ac:dyDescent="0.3">
      <c r="A1094" t="s">
        <v>1359</v>
      </c>
      <c r="B1094" s="1">
        <v>41806</v>
      </c>
      <c r="C1094" s="1" t="str">
        <f>TEXT(Walmart[[#This Row],[Order Date]],"mmmm")</f>
        <v>June</v>
      </c>
      <c r="D1094" s="1">
        <v>41811</v>
      </c>
      <c r="E1094" s="1" t="str">
        <f>IF(DATEDIF(Walmart[[#This Row],[Order Date]],Walmart[[#This Row],[Ship Date]],"D")&lt;7,"On time","Delayed")</f>
        <v>On time</v>
      </c>
      <c r="F1094" t="s">
        <v>1360</v>
      </c>
      <c r="G1094" t="s">
        <v>14</v>
      </c>
      <c r="H1094" t="s">
        <v>15</v>
      </c>
      <c r="I1094" t="s">
        <v>16</v>
      </c>
      <c r="J1094" t="s">
        <v>38</v>
      </c>
      <c r="K1094" t="s">
        <v>1361</v>
      </c>
      <c r="L1094">
        <v>4.26</v>
      </c>
      <c r="M1094">
        <v>1</v>
      </c>
      <c r="N1094" t="str">
        <f>IF(Walmart[[#This Row],[Quantity]]&gt;=7,"Bulk",IF(Walmart[[#This Row],[Quantity]]&gt;=2,"Multi","Single"))</f>
        <v>Single</v>
      </c>
      <c r="O1094">
        <v>1.75</v>
      </c>
      <c r="P1094" t="str">
        <f>IF(Walmart[[#This Row],[Sales]]&gt;=1000,"High Value", IF(Walmart[[#This Row],[Sales]]&gt;=500,"Medium Value","Low Value"))</f>
        <v>Low Value</v>
      </c>
    </row>
    <row r="1095" spans="1:16" hidden="1" x14ac:dyDescent="0.3">
      <c r="A1095" t="s">
        <v>2677</v>
      </c>
      <c r="B1095" s="1">
        <v>41545</v>
      </c>
      <c r="C1095" s="1" t="str">
        <f>TEXT(Walmart[[#This Row],[Order Date]],"mmmm")</f>
        <v>September</v>
      </c>
      <c r="D1095" s="1">
        <v>41551</v>
      </c>
      <c r="E1095" s="1" t="str">
        <f>IF(DATEDIF(Walmart[[#This Row],[Order Date]],Walmart[[#This Row],[Ship Date]],"D")&lt;7,"On time","Delayed")</f>
        <v>On time</v>
      </c>
      <c r="F1095" t="s">
        <v>2094</v>
      </c>
      <c r="G1095" t="s">
        <v>14</v>
      </c>
      <c r="H1095" t="s">
        <v>25</v>
      </c>
      <c r="I1095" t="s">
        <v>26</v>
      </c>
      <c r="J1095" t="s">
        <v>146</v>
      </c>
      <c r="K1095" t="s">
        <v>2678</v>
      </c>
      <c r="L1095">
        <v>1001.58</v>
      </c>
      <c r="M1095">
        <v>2</v>
      </c>
      <c r="N1095" t="str">
        <f>IF(Walmart[[#This Row],[Quantity]]&gt;=7,"Bulk",IF(Walmart[[#This Row],[Quantity]]&gt;=2,"Multi","Single"))</f>
        <v>Multi</v>
      </c>
      <c r="O1095">
        <v>125.2</v>
      </c>
      <c r="P1095" t="str">
        <f>IF(Walmart[[#This Row],[Sales]]&gt;=1000,"High Value", IF(Walmart[[#This Row],[Sales]]&gt;=500,"Medium Value","Low Value"))</f>
        <v>High Value</v>
      </c>
    </row>
    <row r="1096" spans="1:16" x14ac:dyDescent="0.3">
      <c r="A1096" t="s">
        <v>2752</v>
      </c>
      <c r="B1096" s="1">
        <v>41806</v>
      </c>
      <c r="C1096" s="1" t="str">
        <f>TEXT(Walmart[[#This Row],[Order Date]],"mmmm")</f>
        <v>June</v>
      </c>
      <c r="D1096" s="1">
        <v>41810</v>
      </c>
      <c r="E1096" s="1" t="str">
        <f>IF(DATEDIF(Walmart[[#This Row],[Order Date]],Walmart[[#This Row],[Ship Date]],"D")&lt;7,"On time","Delayed")</f>
        <v>On time</v>
      </c>
      <c r="F1096" t="s">
        <v>167</v>
      </c>
      <c r="G1096" t="s">
        <v>14</v>
      </c>
      <c r="H1096" t="s">
        <v>15</v>
      </c>
      <c r="I1096" t="s">
        <v>16</v>
      </c>
      <c r="J1096" t="s">
        <v>146</v>
      </c>
      <c r="K1096" t="s">
        <v>2753</v>
      </c>
      <c r="L1096">
        <v>119.96</v>
      </c>
      <c r="M1096">
        <v>1</v>
      </c>
      <c r="N1096" t="str">
        <f>IF(Walmart[[#This Row],[Quantity]]&gt;=7,"Bulk",IF(Walmart[[#This Row],[Quantity]]&gt;=2,"Multi","Single"))</f>
        <v>Single</v>
      </c>
      <c r="O1096">
        <v>7.5</v>
      </c>
      <c r="P1096" t="str">
        <f>IF(Walmart[[#This Row],[Sales]]&gt;=1000,"High Value", IF(Walmart[[#This Row],[Sales]]&gt;=500,"Medium Value","Low Value"))</f>
        <v>Low Value</v>
      </c>
    </row>
    <row r="1097" spans="1:16" x14ac:dyDescent="0.3">
      <c r="A1097" t="s">
        <v>2942</v>
      </c>
      <c r="B1097" s="1">
        <v>41804</v>
      </c>
      <c r="C1097" s="1" t="str">
        <f>TEXT(Walmart[[#This Row],[Order Date]],"mmmm")</f>
        <v>June</v>
      </c>
      <c r="D1097" s="1">
        <v>41810</v>
      </c>
      <c r="E1097" s="1" t="str">
        <f>IF(DATEDIF(Walmart[[#This Row],[Order Date]],Walmart[[#This Row],[Ship Date]],"D")&lt;7,"On time","Delayed")</f>
        <v>On time</v>
      </c>
      <c r="F1097" t="s">
        <v>103</v>
      </c>
      <c r="G1097" t="s">
        <v>14</v>
      </c>
      <c r="H1097" t="s">
        <v>25</v>
      </c>
      <c r="I1097" t="s">
        <v>26</v>
      </c>
      <c r="J1097" t="s">
        <v>88</v>
      </c>
      <c r="K1097" t="s">
        <v>2943</v>
      </c>
      <c r="L1097">
        <v>291.14</v>
      </c>
      <c r="M1097">
        <v>4</v>
      </c>
      <c r="N1097" t="str">
        <f>IF(Walmart[[#This Row],[Quantity]]&gt;=7,"Bulk",IF(Walmart[[#This Row],[Quantity]]&gt;=2,"Multi","Single"))</f>
        <v>Multi</v>
      </c>
      <c r="O1097">
        <v>-25.47</v>
      </c>
      <c r="P1097" t="str">
        <f>IF(Walmart[[#This Row],[Sales]]&gt;=1000,"High Value", IF(Walmart[[#This Row],[Sales]]&gt;=500,"Medium Value","Low Value"))</f>
        <v>Low Value</v>
      </c>
    </row>
    <row r="1098" spans="1:16" x14ac:dyDescent="0.3">
      <c r="A1098" t="s">
        <v>3321</v>
      </c>
      <c r="B1098" s="1">
        <v>41803</v>
      </c>
      <c r="C1098" s="1" t="str">
        <f>TEXT(Walmart[[#This Row],[Order Date]],"mmmm")</f>
        <v>June</v>
      </c>
      <c r="D1098" s="1">
        <v>41805</v>
      </c>
      <c r="E1098" s="1" t="str">
        <f>IF(DATEDIF(Walmart[[#This Row],[Order Date]],Walmart[[#This Row],[Ship Date]],"D")&lt;7,"On time","Delayed")</f>
        <v>On time</v>
      </c>
      <c r="F1098" t="s">
        <v>3039</v>
      </c>
      <c r="G1098" t="s">
        <v>14</v>
      </c>
      <c r="H1098" t="s">
        <v>804</v>
      </c>
      <c r="I1098" t="s">
        <v>26</v>
      </c>
      <c r="J1098" t="s">
        <v>146</v>
      </c>
      <c r="K1098" t="s">
        <v>3298</v>
      </c>
      <c r="L1098">
        <v>71.98</v>
      </c>
      <c r="M1098">
        <v>3</v>
      </c>
      <c r="N1098" t="str">
        <f>IF(Walmart[[#This Row],[Quantity]]&gt;=7,"Bulk",IF(Walmart[[#This Row],[Quantity]]&gt;=2,"Multi","Single"))</f>
        <v>Multi</v>
      </c>
      <c r="O1098">
        <v>9</v>
      </c>
      <c r="P1098" t="str">
        <f>IF(Walmart[[#This Row],[Sales]]&gt;=1000,"High Value", IF(Walmart[[#This Row],[Sales]]&gt;=500,"Medium Value","Low Value"))</f>
        <v>Low Value</v>
      </c>
    </row>
    <row r="1099" spans="1:16" hidden="1" x14ac:dyDescent="0.3">
      <c r="A1099" t="s">
        <v>2686</v>
      </c>
      <c r="B1099" s="1">
        <v>40893</v>
      </c>
      <c r="C1099" s="1" t="str">
        <f>TEXT(Walmart[[#This Row],[Order Date]],"mmmm")</f>
        <v>December</v>
      </c>
      <c r="D1099" s="1">
        <v>40898</v>
      </c>
      <c r="E1099" s="1" t="str">
        <f>IF(DATEDIF(Walmart[[#This Row],[Order Date]],Walmart[[#This Row],[Ship Date]],"D")&lt;7,"On time","Delayed")</f>
        <v>On time</v>
      </c>
      <c r="F1099" t="s">
        <v>2687</v>
      </c>
      <c r="G1099" t="s">
        <v>14</v>
      </c>
      <c r="H1099" t="s">
        <v>1136</v>
      </c>
      <c r="I1099" t="s">
        <v>16</v>
      </c>
      <c r="J1099" t="s">
        <v>88</v>
      </c>
      <c r="K1099" t="s">
        <v>2688</v>
      </c>
      <c r="L1099">
        <v>1403.92</v>
      </c>
      <c r="M1099">
        <v>5</v>
      </c>
      <c r="N1099" t="str">
        <f>IF(Walmart[[#This Row],[Quantity]]&gt;=7,"Bulk",IF(Walmart[[#This Row],[Quantity]]&gt;=2,"Multi","Single"))</f>
        <v>Multi</v>
      </c>
      <c r="O1099">
        <v>70.2</v>
      </c>
      <c r="P1099" t="str">
        <f>IF(Walmart[[#This Row],[Sales]]&gt;=1000,"High Value", IF(Walmart[[#This Row],[Sales]]&gt;=500,"Medium Value","Low Value"))</f>
        <v>High Value</v>
      </c>
    </row>
    <row r="1100" spans="1:16" hidden="1" x14ac:dyDescent="0.3">
      <c r="A1100" t="s">
        <v>2689</v>
      </c>
      <c r="B1100" s="1">
        <v>41381</v>
      </c>
      <c r="C1100" s="1" t="str">
        <f>TEXT(Walmart[[#This Row],[Order Date]],"mmmm")</f>
        <v>April</v>
      </c>
      <c r="D1100" s="1">
        <v>41383</v>
      </c>
      <c r="E1100" s="1" t="str">
        <f>IF(DATEDIF(Walmart[[#This Row],[Order Date]],Walmart[[#This Row],[Ship Date]],"D")&lt;7,"On time","Delayed")</f>
        <v>On time</v>
      </c>
      <c r="F1100" t="s">
        <v>2690</v>
      </c>
      <c r="G1100" t="s">
        <v>14</v>
      </c>
      <c r="H1100" t="s">
        <v>25</v>
      </c>
      <c r="I1100" t="s">
        <v>26</v>
      </c>
      <c r="J1100" t="s">
        <v>334</v>
      </c>
      <c r="K1100" t="s">
        <v>2691</v>
      </c>
      <c r="L1100">
        <v>28.8</v>
      </c>
      <c r="M1100">
        <v>3</v>
      </c>
      <c r="N1100" t="str">
        <f>IF(Walmart[[#This Row],[Quantity]]&gt;=7,"Bulk",IF(Walmart[[#This Row],[Quantity]]&gt;=2,"Multi","Single"))</f>
        <v>Multi</v>
      </c>
      <c r="O1100">
        <v>0.86</v>
      </c>
      <c r="P1100" t="str">
        <f>IF(Walmart[[#This Row],[Sales]]&gt;=1000,"High Value", IF(Walmart[[#This Row],[Sales]]&gt;=500,"Medium Value","Low Value"))</f>
        <v>Low Value</v>
      </c>
    </row>
    <row r="1101" spans="1:16" x14ac:dyDescent="0.3">
      <c r="A1101" t="s">
        <v>786</v>
      </c>
      <c r="B1101" s="1">
        <v>41802</v>
      </c>
      <c r="C1101" s="1" t="str">
        <f>TEXT(Walmart[[#This Row],[Order Date]],"mmmm")</f>
        <v>June</v>
      </c>
      <c r="D1101" s="1">
        <v>41802</v>
      </c>
      <c r="E1101" s="1" t="str">
        <f>IF(DATEDIF(Walmart[[#This Row],[Order Date]],Walmart[[#This Row],[Ship Date]],"D")&lt;7,"On time","Delayed")</f>
        <v>On time</v>
      </c>
      <c r="F1101" t="s">
        <v>337</v>
      </c>
      <c r="G1101" t="s">
        <v>14</v>
      </c>
      <c r="H1101" t="s">
        <v>15</v>
      </c>
      <c r="I1101" t="s">
        <v>16</v>
      </c>
      <c r="J1101" t="s">
        <v>93</v>
      </c>
      <c r="K1101" t="s">
        <v>787</v>
      </c>
      <c r="L1101">
        <v>122.97</v>
      </c>
      <c r="M1101">
        <v>3</v>
      </c>
      <c r="N1101" t="str">
        <f>IF(Walmart[[#This Row],[Quantity]]&gt;=7,"Bulk",IF(Walmart[[#This Row],[Quantity]]&gt;=2,"Multi","Single"))</f>
        <v>Multi</v>
      </c>
      <c r="O1101">
        <v>60.26</v>
      </c>
      <c r="P1101" t="str">
        <f>IF(Walmart[[#This Row],[Sales]]&gt;=1000,"High Value", IF(Walmart[[#This Row],[Sales]]&gt;=500,"Medium Value","Low Value"))</f>
        <v>Low Value</v>
      </c>
    </row>
    <row r="1102" spans="1:16" hidden="1" x14ac:dyDescent="0.3">
      <c r="A1102" t="s">
        <v>2695</v>
      </c>
      <c r="B1102" s="1">
        <v>41484</v>
      </c>
      <c r="C1102" s="1" t="str">
        <f>TEXT(Walmart[[#This Row],[Order Date]],"mmmm")</f>
        <v>July</v>
      </c>
      <c r="D1102" s="1">
        <v>41490</v>
      </c>
      <c r="E1102" s="1" t="str">
        <f>IF(DATEDIF(Walmart[[#This Row],[Order Date]],Walmart[[#This Row],[Ship Date]],"D")&lt;7,"On time","Delayed")</f>
        <v>On time</v>
      </c>
      <c r="F1102" t="s">
        <v>2465</v>
      </c>
      <c r="G1102" t="s">
        <v>14</v>
      </c>
      <c r="H1102" t="s">
        <v>15</v>
      </c>
      <c r="I1102" t="s">
        <v>16</v>
      </c>
      <c r="J1102" t="s">
        <v>17</v>
      </c>
      <c r="K1102" t="s">
        <v>2696</v>
      </c>
      <c r="L1102">
        <v>18.899999999999999</v>
      </c>
      <c r="M1102">
        <v>3</v>
      </c>
      <c r="N1102" t="str">
        <f>IF(Walmart[[#This Row],[Quantity]]&gt;=7,"Bulk",IF(Walmart[[#This Row],[Quantity]]&gt;=2,"Multi","Single"))</f>
        <v>Multi</v>
      </c>
      <c r="O1102">
        <v>8.69</v>
      </c>
      <c r="P1102" t="str">
        <f>IF(Walmart[[#This Row],[Sales]]&gt;=1000,"High Value", IF(Walmart[[#This Row],[Sales]]&gt;=500,"Medium Value","Low Value"))</f>
        <v>Low Value</v>
      </c>
    </row>
    <row r="1103" spans="1:16" hidden="1" x14ac:dyDescent="0.3">
      <c r="A1103" t="s">
        <v>2697</v>
      </c>
      <c r="B1103" s="1">
        <v>41449</v>
      </c>
      <c r="C1103" s="1" t="str">
        <f>TEXT(Walmart[[#This Row],[Order Date]],"mmmm")</f>
        <v>June</v>
      </c>
      <c r="D1103" s="1">
        <v>41451</v>
      </c>
      <c r="E1103" s="1" t="str">
        <f>IF(DATEDIF(Walmart[[#This Row],[Order Date]],Walmart[[#This Row],[Ship Date]],"D")&lt;7,"On time","Delayed")</f>
        <v>On time</v>
      </c>
      <c r="F1103" t="s">
        <v>121</v>
      </c>
      <c r="G1103" t="s">
        <v>14</v>
      </c>
      <c r="H1103" t="s">
        <v>37</v>
      </c>
      <c r="I1103" t="s">
        <v>16</v>
      </c>
      <c r="J1103" t="s">
        <v>33</v>
      </c>
      <c r="K1103" t="s">
        <v>2698</v>
      </c>
      <c r="L1103">
        <v>93.68</v>
      </c>
      <c r="M1103">
        <v>4</v>
      </c>
      <c r="N1103" t="str">
        <f>IF(Walmart[[#This Row],[Quantity]]&gt;=7,"Bulk",IF(Walmart[[#This Row],[Quantity]]&gt;=2,"Multi","Single"))</f>
        <v>Multi</v>
      </c>
      <c r="O1103">
        <v>25.29</v>
      </c>
      <c r="P1103" t="str">
        <f>IF(Walmart[[#This Row],[Sales]]&gt;=1000,"High Value", IF(Walmart[[#This Row],[Sales]]&gt;=500,"Medium Value","Low Value"))</f>
        <v>Low Value</v>
      </c>
    </row>
    <row r="1104" spans="1:16" hidden="1" x14ac:dyDescent="0.3">
      <c r="A1104" t="s">
        <v>2699</v>
      </c>
      <c r="B1104" s="1">
        <v>41584</v>
      </c>
      <c r="C1104" s="1" t="str">
        <f>TEXT(Walmart[[#This Row],[Order Date]],"mmmm")</f>
        <v>November</v>
      </c>
      <c r="D1104" s="1">
        <v>41588</v>
      </c>
      <c r="E1104" s="1" t="str">
        <f>IF(DATEDIF(Walmart[[#This Row],[Order Date]],Walmart[[#This Row],[Ship Date]],"D")&lt;7,"On time","Delayed")</f>
        <v>On time</v>
      </c>
      <c r="F1104" t="s">
        <v>612</v>
      </c>
      <c r="G1104" t="s">
        <v>14</v>
      </c>
      <c r="H1104" t="s">
        <v>25</v>
      </c>
      <c r="I1104" t="s">
        <v>26</v>
      </c>
      <c r="J1104" t="s">
        <v>53</v>
      </c>
      <c r="K1104" t="s">
        <v>2700</v>
      </c>
      <c r="L1104">
        <v>479.72</v>
      </c>
      <c r="M1104">
        <v>4</v>
      </c>
      <c r="N1104" t="str">
        <f>IF(Walmart[[#This Row],[Quantity]]&gt;=7,"Bulk",IF(Walmart[[#This Row],[Quantity]]&gt;=2,"Multi","Single"))</f>
        <v>Multi</v>
      </c>
      <c r="O1104">
        <v>52.77</v>
      </c>
      <c r="P1104" t="str">
        <f>IF(Walmart[[#This Row],[Sales]]&gt;=1000,"High Value", IF(Walmart[[#This Row],[Sales]]&gt;=500,"Medium Value","Low Value"))</f>
        <v>Low Value</v>
      </c>
    </row>
    <row r="1105" spans="1:16" hidden="1" x14ac:dyDescent="0.3">
      <c r="A1105" t="s">
        <v>2701</v>
      </c>
      <c r="B1105" s="1">
        <v>41115</v>
      </c>
      <c r="C1105" s="1" t="str">
        <f>TEXT(Walmart[[#This Row],[Order Date]],"mmmm")</f>
        <v>July</v>
      </c>
      <c r="D1105" s="1">
        <v>41120</v>
      </c>
      <c r="E1105" s="1" t="str">
        <f>IF(DATEDIF(Walmart[[#This Row],[Order Date]],Walmart[[#This Row],[Ship Date]],"D")&lt;7,"On time","Delayed")</f>
        <v>On time</v>
      </c>
      <c r="F1105" t="s">
        <v>2702</v>
      </c>
      <c r="G1105" t="s">
        <v>14</v>
      </c>
      <c r="H1105" t="s">
        <v>15</v>
      </c>
      <c r="I1105" t="s">
        <v>16</v>
      </c>
      <c r="J1105" t="s">
        <v>146</v>
      </c>
      <c r="K1105" t="s">
        <v>2703</v>
      </c>
      <c r="L1105">
        <v>623.96</v>
      </c>
      <c r="M1105">
        <v>5</v>
      </c>
      <c r="N1105" t="str">
        <f>IF(Walmart[[#This Row],[Quantity]]&gt;=7,"Bulk",IF(Walmart[[#This Row],[Quantity]]&gt;=2,"Multi","Single"))</f>
        <v>Multi</v>
      </c>
      <c r="O1105">
        <v>39</v>
      </c>
      <c r="P1105" t="str">
        <f>IF(Walmart[[#This Row],[Sales]]&gt;=1000,"High Value", IF(Walmart[[#This Row],[Sales]]&gt;=500,"Medium Value","Low Value"))</f>
        <v>Medium Value</v>
      </c>
    </row>
    <row r="1106" spans="1:16" hidden="1" x14ac:dyDescent="0.3">
      <c r="A1106" t="s">
        <v>2704</v>
      </c>
      <c r="B1106" s="1">
        <v>41222</v>
      </c>
      <c r="C1106" s="1" t="str">
        <f>TEXT(Walmart[[#This Row],[Order Date]],"mmmm")</f>
        <v>November</v>
      </c>
      <c r="D1106" s="1">
        <v>41226</v>
      </c>
      <c r="E1106" s="1" t="str">
        <f>IF(DATEDIF(Walmart[[#This Row],[Order Date]],Walmart[[#This Row],[Ship Date]],"D")&lt;7,"On time","Delayed")</f>
        <v>On time</v>
      </c>
      <c r="F1106" t="s">
        <v>784</v>
      </c>
      <c r="G1106" t="s">
        <v>14</v>
      </c>
      <c r="H1106" t="s">
        <v>92</v>
      </c>
      <c r="I1106" t="s">
        <v>16</v>
      </c>
      <c r="J1106" t="s">
        <v>191</v>
      </c>
      <c r="K1106" t="s">
        <v>206</v>
      </c>
      <c r="L1106">
        <v>2.48</v>
      </c>
      <c r="M1106">
        <v>2</v>
      </c>
      <c r="N1106" t="str">
        <f>IF(Walmart[[#This Row],[Quantity]]&gt;=7,"Bulk",IF(Walmart[[#This Row],[Quantity]]&gt;=2,"Multi","Single"))</f>
        <v>Multi</v>
      </c>
      <c r="O1106">
        <v>1.17</v>
      </c>
      <c r="P1106" t="str">
        <f>IF(Walmart[[#This Row],[Sales]]&gt;=1000,"High Value", IF(Walmart[[#This Row],[Sales]]&gt;=500,"Medium Value","Low Value"))</f>
        <v>Low Value</v>
      </c>
    </row>
    <row r="1107" spans="1:16" hidden="1" x14ac:dyDescent="0.3">
      <c r="A1107" t="s">
        <v>2705</v>
      </c>
      <c r="B1107" s="1">
        <v>41184</v>
      </c>
      <c r="C1107" s="1" t="str">
        <f>TEXT(Walmart[[#This Row],[Order Date]],"mmmm")</f>
        <v>October</v>
      </c>
      <c r="D1107" s="1">
        <v>41185</v>
      </c>
      <c r="E1107" s="1" t="str">
        <f>IF(DATEDIF(Walmart[[#This Row],[Order Date]],Walmart[[#This Row],[Ship Date]],"D")&lt;7,"On time","Delayed")</f>
        <v>On time</v>
      </c>
      <c r="F1107" t="s">
        <v>2706</v>
      </c>
      <c r="G1107" t="s">
        <v>14</v>
      </c>
      <c r="H1107" t="s">
        <v>15</v>
      </c>
      <c r="I1107" t="s">
        <v>16</v>
      </c>
      <c r="J1107" t="s">
        <v>27</v>
      </c>
      <c r="K1107" t="s">
        <v>2536</v>
      </c>
      <c r="L1107">
        <v>11.81</v>
      </c>
      <c r="M1107">
        <v>3</v>
      </c>
      <c r="N1107" t="str">
        <f>IF(Walmart[[#This Row],[Quantity]]&gt;=7,"Bulk",IF(Walmart[[#This Row],[Quantity]]&gt;=2,"Multi","Single"))</f>
        <v>Multi</v>
      </c>
      <c r="O1107">
        <v>4.13</v>
      </c>
      <c r="P1107" t="str">
        <f>IF(Walmart[[#This Row],[Sales]]&gt;=1000,"High Value", IF(Walmart[[#This Row],[Sales]]&gt;=500,"Medium Value","Low Value"))</f>
        <v>Low Value</v>
      </c>
    </row>
    <row r="1108" spans="1:16" hidden="1" x14ac:dyDescent="0.3">
      <c r="A1108" t="s">
        <v>2707</v>
      </c>
      <c r="B1108" s="1">
        <v>41024</v>
      </c>
      <c r="C1108" s="1" t="str">
        <f>TEXT(Walmart[[#This Row],[Order Date]],"mmmm")</f>
        <v>April</v>
      </c>
      <c r="D1108" s="1">
        <v>41031</v>
      </c>
      <c r="E1108" s="1" t="str">
        <f>IF(DATEDIF(Walmart[[#This Row],[Order Date]],Walmart[[#This Row],[Ship Date]],"D")&lt;7,"On time","Delayed")</f>
        <v>Delayed</v>
      </c>
      <c r="F1108" t="s">
        <v>603</v>
      </c>
      <c r="G1108" t="s">
        <v>14</v>
      </c>
      <c r="H1108" t="s">
        <v>15</v>
      </c>
      <c r="I1108" t="s">
        <v>16</v>
      </c>
      <c r="J1108" t="s">
        <v>124</v>
      </c>
      <c r="K1108" t="s">
        <v>2708</v>
      </c>
      <c r="L1108">
        <v>21.34</v>
      </c>
      <c r="M1108">
        <v>2</v>
      </c>
      <c r="N1108" t="str">
        <f>IF(Walmart[[#This Row],[Quantity]]&gt;=7,"Bulk",IF(Walmart[[#This Row],[Quantity]]&gt;=2,"Multi","Single"))</f>
        <v>Multi</v>
      </c>
      <c r="O1108">
        <v>9.82</v>
      </c>
      <c r="P1108" t="str">
        <f>IF(Walmart[[#This Row],[Sales]]&gt;=1000,"High Value", IF(Walmart[[#This Row],[Sales]]&gt;=500,"Medium Value","Low Value"))</f>
        <v>Low Value</v>
      </c>
    </row>
    <row r="1109" spans="1:16" hidden="1" x14ac:dyDescent="0.3">
      <c r="A1109" t="s">
        <v>2709</v>
      </c>
      <c r="B1109" s="1">
        <v>41179</v>
      </c>
      <c r="C1109" s="1" t="str">
        <f>TEXT(Walmart[[#This Row],[Order Date]],"mmmm")</f>
        <v>September</v>
      </c>
      <c r="D1109" s="1">
        <v>41181</v>
      </c>
      <c r="E1109" s="1" t="str">
        <f>IF(DATEDIF(Walmart[[#This Row],[Order Date]],Walmart[[#This Row],[Ship Date]],"D")&lt;7,"On time","Delayed")</f>
        <v>On time</v>
      </c>
      <c r="F1109" t="s">
        <v>1078</v>
      </c>
      <c r="G1109" t="s">
        <v>14</v>
      </c>
      <c r="H1109" t="s">
        <v>37</v>
      </c>
      <c r="I1109" t="s">
        <v>16</v>
      </c>
      <c r="J1109" t="s">
        <v>33</v>
      </c>
      <c r="K1109" t="s">
        <v>150</v>
      </c>
      <c r="L1109">
        <v>15.51</v>
      </c>
      <c r="M1109">
        <v>1</v>
      </c>
      <c r="N1109" t="str">
        <f>IF(Walmart[[#This Row],[Quantity]]&gt;=7,"Bulk",IF(Walmart[[#This Row],[Quantity]]&gt;=2,"Multi","Single"))</f>
        <v>Single</v>
      </c>
      <c r="O1109">
        <v>4.34</v>
      </c>
      <c r="P1109" t="str">
        <f>IF(Walmart[[#This Row],[Sales]]&gt;=1000,"High Value", IF(Walmart[[#This Row],[Sales]]&gt;=500,"Medium Value","Low Value"))</f>
        <v>Low Value</v>
      </c>
    </row>
    <row r="1110" spans="1:16" x14ac:dyDescent="0.3">
      <c r="A1110" t="s">
        <v>1117</v>
      </c>
      <c r="B1110" s="1">
        <v>41802</v>
      </c>
      <c r="C1110" s="1" t="str">
        <f>TEXT(Walmart[[#This Row],[Order Date]],"mmmm")</f>
        <v>June</v>
      </c>
      <c r="D1110" s="1">
        <v>41803</v>
      </c>
      <c r="E1110" s="1" t="str">
        <f>IF(DATEDIF(Walmart[[#This Row],[Order Date]],Walmart[[#This Row],[Ship Date]],"D")&lt;7,"On time","Delayed")</f>
        <v>On time</v>
      </c>
      <c r="F1110" t="s">
        <v>1118</v>
      </c>
      <c r="G1110" t="s">
        <v>14</v>
      </c>
      <c r="H1110" t="s">
        <v>985</v>
      </c>
      <c r="I1110" t="s">
        <v>58</v>
      </c>
      <c r="J1110" t="s">
        <v>88</v>
      </c>
      <c r="K1110" t="s">
        <v>1119</v>
      </c>
      <c r="L1110">
        <v>280.79000000000002</v>
      </c>
      <c r="M1110">
        <v>1</v>
      </c>
      <c r="N1110" t="str">
        <f>IF(Walmart[[#This Row],[Quantity]]&gt;=7,"Bulk",IF(Walmart[[#This Row],[Quantity]]&gt;=2,"Multi","Single"))</f>
        <v>Single</v>
      </c>
      <c r="O1110">
        <v>35.1</v>
      </c>
      <c r="P1110" t="str">
        <f>IF(Walmart[[#This Row],[Sales]]&gt;=1000,"High Value", IF(Walmart[[#This Row],[Sales]]&gt;=500,"Medium Value","Low Value"))</f>
        <v>Low Value</v>
      </c>
    </row>
    <row r="1111" spans="1:16" hidden="1" x14ac:dyDescent="0.3">
      <c r="A1111" t="s">
        <v>2713</v>
      </c>
      <c r="B1111" s="1">
        <v>41284</v>
      </c>
      <c r="C1111" s="1" t="str">
        <f>TEXT(Walmart[[#This Row],[Order Date]],"mmmm")</f>
        <v>January</v>
      </c>
      <c r="D1111" s="1">
        <v>41287</v>
      </c>
      <c r="E1111" s="1" t="str">
        <f>IF(DATEDIF(Walmart[[#This Row],[Order Date]],Walmart[[#This Row],[Ship Date]],"D")&lt;7,"On time","Delayed")</f>
        <v>On time</v>
      </c>
      <c r="F1111" t="s">
        <v>2290</v>
      </c>
      <c r="G1111" t="s">
        <v>14</v>
      </c>
      <c r="H1111" t="s">
        <v>2486</v>
      </c>
      <c r="I1111" t="s">
        <v>26</v>
      </c>
      <c r="J1111" t="s">
        <v>21</v>
      </c>
      <c r="K1111" t="s">
        <v>2337</v>
      </c>
      <c r="L1111">
        <v>24.85</v>
      </c>
      <c r="M1111">
        <v>5</v>
      </c>
      <c r="N1111" t="str">
        <f>IF(Walmart[[#This Row],[Quantity]]&gt;=7,"Bulk",IF(Walmart[[#This Row],[Quantity]]&gt;=2,"Multi","Single"))</f>
        <v>Multi</v>
      </c>
      <c r="O1111">
        <v>7.7</v>
      </c>
      <c r="P1111" t="str">
        <f>IF(Walmart[[#This Row],[Sales]]&gt;=1000,"High Value", IF(Walmart[[#This Row],[Sales]]&gt;=500,"Medium Value","Low Value"))</f>
        <v>Low Value</v>
      </c>
    </row>
    <row r="1112" spans="1:16" x14ac:dyDescent="0.3">
      <c r="A1112" t="s">
        <v>1772</v>
      </c>
      <c r="B1112" s="1">
        <v>41802</v>
      </c>
      <c r="C1112" s="1" t="str">
        <f>TEXT(Walmart[[#This Row],[Order Date]],"mmmm")</f>
        <v>June</v>
      </c>
      <c r="D1112" s="1">
        <v>41804</v>
      </c>
      <c r="E1112" s="1" t="str">
        <f>IF(DATEDIF(Walmart[[#This Row],[Order Date]],Walmart[[#This Row],[Ship Date]],"D")&lt;7,"On time","Delayed")</f>
        <v>On time</v>
      </c>
      <c r="F1112" t="s">
        <v>750</v>
      </c>
      <c r="G1112" t="s">
        <v>14</v>
      </c>
      <c r="H1112" t="s">
        <v>25</v>
      </c>
      <c r="I1112" t="s">
        <v>26</v>
      </c>
      <c r="J1112" t="s">
        <v>93</v>
      </c>
      <c r="K1112" t="s">
        <v>1773</v>
      </c>
      <c r="L1112">
        <v>37.94</v>
      </c>
      <c r="M1112">
        <v>2</v>
      </c>
      <c r="N1112" t="str">
        <f>IF(Walmart[[#This Row],[Quantity]]&gt;=7,"Bulk",IF(Walmart[[#This Row],[Quantity]]&gt;=2,"Multi","Single"))</f>
        <v>Multi</v>
      </c>
      <c r="O1112">
        <v>18.21</v>
      </c>
      <c r="P1112" t="str">
        <f>IF(Walmart[[#This Row],[Sales]]&gt;=1000,"High Value", IF(Walmart[[#This Row],[Sales]]&gt;=500,"Medium Value","Low Value"))</f>
        <v>Low Value</v>
      </c>
    </row>
    <row r="1113" spans="1:16" hidden="1" x14ac:dyDescent="0.3">
      <c r="A1113" t="s">
        <v>2716</v>
      </c>
      <c r="B1113" s="1">
        <v>41088</v>
      </c>
      <c r="C1113" s="1" t="str">
        <f>TEXT(Walmart[[#This Row],[Order Date]],"mmmm")</f>
        <v>June</v>
      </c>
      <c r="D1113" s="1">
        <v>41092</v>
      </c>
      <c r="E1113" s="1" t="str">
        <f>IF(DATEDIF(Walmart[[#This Row],[Order Date]],Walmart[[#This Row],[Ship Date]],"D")&lt;7,"On time","Delayed")</f>
        <v>On time</v>
      </c>
      <c r="F1113" t="s">
        <v>555</v>
      </c>
      <c r="G1113" t="s">
        <v>14</v>
      </c>
      <c r="H1113" t="s">
        <v>57</v>
      </c>
      <c r="I1113" t="s">
        <v>58</v>
      </c>
      <c r="J1113" t="s">
        <v>17</v>
      </c>
      <c r="K1113" t="s">
        <v>879</v>
      </c>
      <c r="L1113">
        <v>5.9</v>
      </c>
      <c r="M1113">
        <v>2</v>
      </c>
      <c r="N1113" t="str">
        <f>IF(Walmart[[#This Row],[Quantity]]&gt;=7,"Bulk",IF(Walmart[[#This Row],[Quantity]]&gt;=2,"Multi","Single"))</f>
        <v>Multi</v>
      </c>
      <c r="O1113">
        <v>1.99</v>
      </c>
      <c r="P1113" t="str">
        <f>IF(Walmart[[#This Row],[Sales]]&gt;=1000,"High Value", IF(Walmart[[#This Row],[Sales]]&gt;=500,"Medium Value","Low Value"))</f>
        <v>Low Value</v>
      </c>
    </row>
    <row r="1114" spans="1:16" x14ac:dyDescent="0.3">
      <c r="A1114" t="s">
        <v>3085</v>
      </c>
      <c r="B1114" s="1">
        <v>41802</v>
      </c>
      <c r="C1114" s="1" t="str">
        <f>TEXT(Walmart[[#This Row],[Order Date]],"mmmm")</f>
        <v>June</v>
      </c>
      <c r="D1114" s="1">
        <v>41805</v>
      </c>
      <c r="E1114" s="1" t="str">
        <f>IF(DATEDIF(Walmart[[#This Row],[Order Date]],Walmart[[#This Row],[Ship Date]],"D")&lt;7,"On time","Delayed")</f>
        <v>On time</v>
      </c>
      <c r="F1114" t="s">
        <v>36</v>
      </c>
      <c r="G1114" t="s">
        <v>14</v>
      </c>
      <c r="H1114" t="s">
        <v>15</v>
      </c>
      <c r="I1114" t="s">
        <v>16</v>
      </c>
      <c r="J1114" t="s">
        <v>105</v>
      </c>
      <c r="K1114" t="s">
        <v>601</v>
      </c>
      <c r="L1114">
        <v>61.44</v>
      </c>
      <c r="M1114">
        <v>3</v>
      </c>
      <c r="N1114" t="str">
        <f>IF(Walmart[[#This Row],[Quantity]]&gt;=7,"Bulk",IF(Walmart[[#This Row],[Quantity]]&gt;=2,"Multi","Single"))</f>
        <v>Multi</v>
      </c>
      <c r="O1114">
        <v>16.59</v>
      </c>
      <c r="P1114" t="str">
        <f>IF(Walmart[[#This Row],[Sales]]&gt;=1000,"High Value", IF(Walmart[[#This Row],[Sales]]&gt;=500,"Medium Value","Low Value"))</f>
        <v>Low Value</v>
      </c>
    </row>
    <row r="1115" spans="1:16" hidden="1" x14ac:dyDescent="0.3">
      <c r="A1115" t="s">
        <v>2720</v>
      </c>
      <c r="B1115" s="1">
        <v>41232</v>
      </c>
      <c r="C1115" s="1" t="str">
        <f>TEXT(Walmart[[#This Row],[Order Date]],"mmmm")</f>
        <v>November</v>
      </c>
      <c r="D1115" s="1">
        <v>41239</v>
      </c>
      <c r="E1115" s="1" t="str">
        <f>IF(DATEDIF(Walmart[[#This Row],[Order Date]],Walmart[[#This Row],[Ship Date]],"D")&lt;7,"On time","Delayed")</f>
        <v>Delayed</v>
      </c>
      <c r="F1115" t="s">
        <v>1241</v>
      </c>
      <c r="G1115" t="s">
        <v>14</v>
      </c>
      <c r="H1115" t="s">
        <v>226</v>
      </c>
      <c r="I1115" t="s">
        <v>227</v>
      </c>
      <c r="J1115" t="s">
        <v>105</v>
      </c>
      <c r="K1115" t="s">
        <v>2721</v>
      </c>
      <c r="L1115">
        <v>31.08</v>
      </c>
      <c r="M1115">
        <v>4</v>
      </c>
      <c r="N1115" t="str">
        <f>IF(Walmart[[#This Row],[Quantity]]&gt;=7,"Bulk",IF(Walmart[[#This Row],[Quantity]]&gt;=2,"Multi","Single"))</f>
        <v>Multi</v>
      </c>
      <c r="O1115">
        <v>8.39</v>
      </c>
      <c r="P1115" t="str">
        <f>IF(Walmart[[#This Row],[Sales]]&gt;=1000,"High Value", IF(Walmart[[#This Row],[Sales]]&gt;=500,"Medium Value","Low Value"))</f>
        <v>Low Value</v>
      </c>
    </row>
    <row r="1116" spans="1:16" hidden="1" x14ac:dyDescent="0.3">
      <c r="A1116" t="s">
        <v>2722</v>
      </c>
      <c r="B1116" s="1">
        <v>41534</v>
      </c>
      <c r="C1116" s="1" t="str">
        <f>TEXT(Walmart[[#This Row],[Order Date]],"mmmm")</f>
        <v>September</v>
      </c>
      <c r="D1116" s="1">
        <v>41540</v>
      </c>
      <c r="E1116" s="1" t="str">
        <f>IF(DATEDIF(Walmart[[#This Row],[Order Date]],Walmart[[#This Row],[Ship Date]],"D")&lt;7,"On time","Delayed")</f>
        <v>On time</v>
      </c>
      <c r="F1116" t="s">
        <v>1118</v>
      </c>
      <c r="G1116" t="s">
        <v>14</v>
      </c>
      <c r="H1116" t="s">
        <v>761</v>
      </c>
      <c r="I1116" t="s">
        <v>16</v>
      </c>
      <c r="J1116" t="s">
        <v>93</v>
      </c>
      <c r="K1116" t="s">
        <v>1610</v>
      </c>
      <c r="L1116">
        <v>12.96</v>
      </c>
      <c r="M1116">
        <v>2</v>
      </c>
      <c r="N1116" t="str">
        <f>IF(Walmart[[#This Row],[Quantity]]&gt;=7,"Bulk",IF(Walmart[[#This Row],[Quantity]]&gt;=2,"Multi","Single"))</f>
        <v>Multi</v>
      </c>
      <c r="O1116">
        <v>6.35</v>
      </c>
      <c r="P1116" t="str">
        <f>IF(Walmart[[#This Row],[Sales]]&gt;=1000,"High Value", IF(Walmart[[#This Row],[Sales]]&gt;=500,"Medium Value","Low Value"))</f>
        <v>Low Value</v>
      </c>
    </row>
    <row r="1117" spans="1:16" hidden="1" x14ac:dyDescent="0.3">
      <c r="A1117" t="s">
        <v>2723</v>
      </c>
      <c r="B1117" s="1">
        <v>40774</v>
      </c>
      <c r="C1117" s="1" t="str">
        <f>TEXT(Walmart[[#This Row],[Order Date]],"mmmm")</f>
        <v>August</v>
      </c>
      <c r="D1117" s="1">
        <v>40776</v>
      </c>
      <c r="E1117" s="1" t="str">
        <f>IF(DATEDIF(Walmart[[#This Row],[Order Date]],Walmart[[#This Row],[Ship Date]],"D")&lt;7,"On time","Delayed")</f>
        <v>On time</v>
      </c>
      <c r="F1117" t="s">
        <v>1797</v>
      </c>
      <c r="G1117" t="s">
        <v>14</v>
      </c>
      <c r="H1117" t="s">
        <v>15</v>
      </c>
      <c r="I1117" t="s">
        <v>16</v>
      </c>
      <c r="J1117" t="s">
        <v>21</v>
      </c>
      <c r="K1117" t="s">
        <v>2724</v>
      </c>
      <c r="L1117">
        <v>289.24</v>
      </c>
      <c r="M1117">
        <v>7</v>
      </c>
      <c r="N1117" t="str">
        <f>IF(Walmart[[#This Row],[Quantity]]&gt;=7,"Bulk",IF(Walmart[[#This Row],[Quantity]]&gt;=2,"Multi","Single"))</f>
        <v>Bulk</v>
      </c>
      <c r="O1117">
        <v>26.03</v>
      </c>
      <c r="P1117" t="str">
        <f>IF(Walmart[[#This Row],[Sales]]&gt;=1000,"High Value", IF(Walmart[[#This Row],[Sales]]&gt;=500,"Medium Value","Low Value"))</f>
        <v>Low Value</v>
      </c>
    </row>
    <row r="1118" spans="1:16" x14ac:dyDescent="0.3">
      <c r="A1118" t="s">
        <v>267</v>
      </c>
      <c r="B1118" s="1">
        <v>41801</v>
      </c>
      <c r="C1118" s="1" t="str">
        <f>TEXT(Walmart[[#This Row],[Order Date]],"mmmm")</f>
        <v>June</v>
      </c>
      <c r="D1118" s="1">
        <v>41804</v>
      </c>
      <c r="E1118" s="1" t="str">
        <f>IF(DATEDIF(Walmart[[#This Row],[Order Date]],Walmart[[#This Row],[Ship Date]],"D")&lt;7,"On time","Delayed")</f>
        <v>On time</v>
      </c>
      <c r="F1118" t="s">
        <v>268</v>
      </c>
      <c r="G1118" t="s">
        <v>14</v>
      </c>
      <c r="H1118" t="s">
        <v>15</v>
      </c>
      <c r="I1118" t="s">
        <v>16</v>
      </c>
      <c r="J1118" t="s">
        <v>17</v>
      </c>
      <c r="K1118" t="s">
        <v>269</v>
      </c>
      <c r="L1118">
        <v>29.6</v>
      </c>
      <c r="M1118">
        <v>2</v>
      </c>
      <c r="N1118" t="str">
        <f>IF(Walmart[[#This Row],[Quantity]]&gt;=7,"Bulk",IF(Walmart[[#This Row],[Quantity]]&gt;=2,"Multi","Single"))</f>
        <v>Multi</v>
      </c>
      <c r="O1118">
        <v>14.8</v>
      </c>
      <c r="P1118" t="str">
        <f>IF(Walmart[[#This Row],[Sales]]&gt;=1000,"High Value", IF(Walmart[[#This Row],[Sales]]&gt;=500,"Medium Value","Low Value"))</f>
        <v>Low Value</v>
      </c>
    </row>
    <row r="1119" spans="1:16" hidden="1" x14ac:dyDescent="0.3">
      <c r="A1119" t="s">
        <v>2728</v>
      </c>
      <c r="B1119" s="1">
        <v>40778</v>
      </c>
      <c r="C1119" s="1" t="str">
        <f>TEXT(Walmart[[#This Row],[Order Date]],"mmmm")</f>
        <v>August</v>
      </c>
      <c r="D1119" s="1">
        <v>40782</v>
      </c>
      <c r="E1119" s="1" t="str">
        <f>IF(DATEDIF(Walmart[[#This Row],[Order Date]],Walmart[[#This Row],[Ship Date]],"D")&lt;7,"On time","Delayed")</f>
        <v>On time</v>
      </c>
      <c r="F1119" t="s">
        <v>580</v>
      </c>
      <c r="G1119" t="s">
        <v>14</v>
      </c>
      <c r="H1119" t="s">
        <v>141</v>
      </c>
      <c r="I1119" t="s">
        <v>77</v>
      </c>
      <c r="J1119" t="s">
        <v>93</v>
      </c>
      <c r="K1119" t="s">
        <v>2729</v>
      </c>
      <c r="L1119">
        <v>15.55</v>
      </c>
      <c r="M1119">
        <v>3</v>
      </c>
      <c r="N1119" t="str">
        <f>IF(Walmart[[#This Row],[Quantity]]&gt;=7,"Bulk",IF(Walmart[[#This Row],[Quantity]]&gt;=2,"Multi","Single"))</f>
        <v>Multi</v>
      </c>
      <c r="O1119">
        <v>5.44</v>
      </c>
      <c r="P1119" t="str">
        <f>IF(Walmart[[#This Row],[Sales]]&gt;=1000,"High Value", IF(Walmart[[#This Row],[Sales]]&gt;=500,"Medium Value","Low Value"))</f>
        <v>Low Value</v>
      </c>
    </row>
    <row r="1120" spans="1:16" x14ac:dyDescent="0.3">
      <c r="A1120" t="s">
        <v>1111</v>
      </c>
      <c r="B1120" s="1">
        <v>41801</v>
      </c>
      <c r="C1120" s="1" t="str">
        <f>TEXT(Walmart[[#This Row],[Order Date]],"mmmm")</f>
        <v>June</v>
      </c>
      <c r="D1120" s="1">
        <v>41804</v>
      </c>
      <c r="E1120" s="1" t="str">
        <f>IF(DATEDIF(Walmart[[#This Row],[Order Date]],Walmart[[#This Row],[Ship Date]],"D")&lt;7,"On time","Delayed")</f>
        <v>On time</v>
      </c>
      <c r="F1120" t="s">
        <v>1112</v>
      </c>
      <c r="G1120" t="s">
        <v>14</v>
      </c>
      <c r="H1120" t="s">
        <v>15</v>
      </c>
      <c r="I1120" t="s">
        <v>16</v>
      </c>
      <c r="J1120" t="s">
        <v>38</v>
      </c>
      <c r="K1120" t="s">
        <v>1113</v>
      </c>
      <c r="L1120">
        <v>16.399999999999999</v>
      </c>
      <c r="M1120">
        <v>5</v>
      </c>
      <c r="N1120" t="str">
        <f>IF(Walmart[[#This Row],[Quantity]]&gt;=7,"Bulk",IF(Walmart[[#This Row],[Quantity]]&gt;=2,"Multi","Single"))</f>
        <v>Multi</v>
      </c>
      <c r="O1120">
        <v>4.76</v>
      </c>
      <c r="P1120" t="str">
        <f>IF(Walmart[[#This Row],[Sales]]&gt;=1000,"High Value", IF(Walmart[[#This Row],[Sales]]&gt;=500,"Medium Value","Low Value"))</f>
        <v>Low Value</v>
      </c>
    </row>
    <row r="1121" spans="1:16" hidden="1" x14ac:dyDescent="0.3">
      <c r="A1121" t="s">
        <v>2731</v>
      </c>
      <c r="B1121" s="1">
        <v>40641</v>
      </c>
      <c r="C1121" s="1" t="str">
        <f>TEXT(Walmart[[#This Row],[Order Date]],"mmmm")</f>
        <v>April</v>
      </c>
      <c r="D1121" s="1">
        <v>40645</v>
      </c>
      <c r="E1121" s="1" t="str">
        <f>IF(DATEDIF(Walmart[[#This Row],[Order Date]],Walmart[[#This Row],[Ship Date]],"D")&lt;7,"On time","Delayed")</f>
        <v>On time</v>
      </c>
      <c r="F1121" t="s">
        <v>2732</v>
      </c>
      <c r="G1121" t="s">
        <v>14</v>
      </c>
      <c r="H1121" t="s">
        <v>251</v>
      </c>
      <c r="I1121" t="s">
        <v>16</v>
      </c>
      <c r="J1121" t="s">
        <v>43</v>
      </c>
      <c r="K1121" t="s">
        <v>525</v>
      </c>
      <c r="L1121">
        <v>99.59</v>
      </c>
      <c r="M1121">
        <v>1</v>
      </c>
      <c r="N1121" t="str">
        <f>IF(Walmart[[#This Row],[Quantity]]&gt;=7,"Bulk",IF(Walmart[[#This Row],[Quantity]]&gt;=2,"Multi","Single"))</f>
        <v>Single</v>
      </c>
      <c r="O1121">
        <v>2.4900000000000002</v>
      </c>
      <c r="P1121" t="str">
        <f>IF(Walmart[[#This Row],[Sales]]&gt;=1000,"High Value", IF(Walmart[[#This Row],[Sales]]&gt;=500,"Medium Value","Low Value"))</f>
        <v>Low Value</v>
      </c>
    </row>
    <row r="1122" spans="1:16" hidden="1" x14ac:dyDescent="0.3">
      <c r="A1122" t="s">
        <v>2733</v>
      </c>
      <c r="B1122" s="1">
        <v>40811</v>
      </c>
      <c r="C1122" s="1" t="str">
        <f>TEXT(Walmart[[#This Row],[Order Date]],"mmmm")</f>
        <v>September</v>
      </c>
      <c r="D1122" s="1">
        <v>40816</v>
      </c>
      <c r="E1122" s="1" t="str">
        <f>IF(DATEDIF(Walmart[[#This Row],[Order Date]],Walmart[[#This Row],[Ship Date]],"D")&lt;7,"On time","Delayed")</f>
        <v>On time</v>
      </c>
      <c r="F1122" t="s">
        <v>1084</v>
      </c>
      <c r="G1122" t="s">
        <v>14</v>
      </c>
      <c r="H1122" t="s">
        <v>76</v>
      </c>
      <c r="I1122" t="s">
        <v>77</v>
      </c>
      <c r="J1122" t="s">
        <v>38</v>
      </c>
      <c r="K1122" t="s">
        <v>2540</v>
      </c>
      <c r="L1122">
        <v>14.58</v>
      </c>
      <c r="M1122">
        <v>2</v>
      </c>
      <c r="N1122" t="str">
        <f>IF(Walmart[[#This Row],[Quantity]]&gt;=7,"Bulk",IF(Walmart[[#This Row],[Quantity]]&gt;=2,"Multi","Single"))</f>
        <v>Multi</v>
      </c>
      <c r="O1122">
        <v>2.37</v>
      </c>
      <c r="P1122" t="str">
        <f>IF(Walmart[[#This Row],[Sales]]&gt;=1000,"High Value", IF(Walmart[[#This Row],[Sales]]&gt;=500,"Medium Value","Low Value"))</f>
        <v>Low Value</v>
      </c>
    </row>
    <row r="1123" spans="1:16" hidden="1" x14ac:dyDescent="0.3">
      <c r="A1123" t="s">
        <v>2734</v>
      </c>
      <c r="B1123" s="1">
        <v>41620</v>
      </c>
      <c r="C1123" s="1" t="str">
        <f>TEXT(Walmart[[#This Row],[Order Date]],"mmmm")</f>
        <v>December</v>
      </c>
      <c r="D1123" s="1">
        <v>41620</v>
      </c>
      <c r="E1123" s="1" t="str">
        <f>IF(DATEDIF(Walmart[[#This Row],[Order Date]],Walmart[[#This Row],[Ship Date]],"D")&lt;7,"On time","Delayed")</f>
        <v>On time</v>
      </c>
      <c r="F1123" t="s">
        <v>1035</v>
      </c>
      <c r="G1123" t="s">
        <v>14</v>
      </c>
      <c r="H1123" t="s">
        <v>309</v>
      </c>
      <c r="I1123" t="s">
        <v>16</v>
      </c>
      <c r="J1123" t="s">
        <v>27</v>
      </c>
      <c r="K1123" t="s">
        <v>196</v>
      </c>
      <c r="L1123">
        <v>209.6</v>
      </c>
      <c r="M1123">
        <v>5</v>
      </c>
      <c r="N1123" t="str">
        <f>IF(Walmart[[#This Row],[Quantity]]&gt;=7,"Bulk",IF(Walmart[[#This Row],[Quantity]]&gt;=2,"Multi","Single"))</f>
        <v>Multi</v>
      </c>
      <c r="O1123">
        <v>68.12</v>
      </c>
      <c r="P1123" t="str">
        <f>IF(Walmart[[#This Row],[Sales]]&gt;=1000,"High Value", IF(Walmart[[#This Row],[Sales]]&gt;=500,"Medium Value","Low Value"))</f>
        <v>Low Value</v>
      </c>
    </row>
    <row r="1124" spans="1:16" hidden="1" x14ac:dyDescent="0.3">
      <c r="A1124" t="s">
        <v>2735</v>
      </c>
      <c r="B1124" s="1">
        <v>40942</v>
      </c>
      <c r="C1124" s="1" t="str">
        <f>TEXT(Walmart[[#This Row],[Order Date]],"mmmm")</f>
        <v>February</v>
      </c>
      <c r="D1124" s="1">
        <v>40944</v>
      </c>
      <c r="E1124" s="1" t="str">
        <f>IF(DATEDIF(Walmart[[#This Row],[Order Date]],Walmart[[#This Row],[Ship Date]],"D")&lt;7,"On time","Delayed")</f>
        <v>On time</v>
      </c>
      <c r="F1124" t="s">
        <v>1374</v>
      </c>
      <c r="G1124" t="s">
        <v>14</v>
      </c>
      <c r="H1124" t="s">
        <v>681</v>
      </c>
      <c r="I1124" t="s">
        <v>32</v>
      </c>
      <c r="J1124" t="s">
        <v>27</v>
      </c>
      <c r="K1124" t="s">
        <v>2092</v>
      </c>
      <c r="L1124">
        <v>12.14</v>
      </c>
      <c r="M1124">
        <v>3</v>
      </c>
      <c r="N1124" t="str">
        <f>IF(Walmart[[#This Row],[Quantity]]&gt;=7,"Bulk",IF(Walmart[[#This Row],[Quantity]]&gt;=2,"Multi","Single"))</f>
        <v>Multi</v>
      </c>
      <c r="O1124">
        <v>4.0999999999999996</v>
      </c>
      <c r="P1124" t="str">
        <f>IF(Walmart[[#This Row],[Sales]]&gt;=1000,"High Value", IF(Walmart[[#This Row],[Sales]]&gt;=500,"Medium Value","Low Value"))</f>
        <v>Low Value</v>
      </c>
    </row>
    <row r="1125" spans="1:16" hidden="1" x14ac:dyDescent="0.3">
      <c r="A1125" t="s">
        <v>2736</v>
      </c>
      <c r="B1125" s="1">
        <v>41638</v>
      </c>
      <c r="C1125" s="1" t="str">
        <f>TEXT(Walmart[[#This Row],[Order Date]],"mmmm")</f>
        <v>December</v>
      </c>
      <c r="D1125" s="1">
        <v>41640</v>
      </c>
      <c r="E1125" s="1" t="str">
        <f>IF(DATEDIF(Walmart[[#This Row],[Order Date]],Walmart[[#This Row],[Ship Date]],"D")&lt;7,"On time","Delayed")</f>
        <v>On time</v>
      </c>
      <c r="F1125" t="s">
        <v>204</v>
      </c>
      <c r="G1125" t="s">
        <v>14</v>
      </c>
      <c r="H1125" t="s">
        <v>926</v>
      </c>
      <c r="I1125" t="s">
        <v>69</v>
      </c>
      <c r="J1125" t="s">
        <v>124</v>
      </c>
      <c r="K1125" t="s">
        <v>2117</v>
      </c>
      <c r="L1125">
        <v>27.79</v>
      </c>
      <c r="M1125">
        <v>3</v>
      </c>
      <c r="N1125" t="str">
        <f>IF(Walmart[[#This Row],[Quantity]]&gt;=7,"Bulk",IF(Walmart[[#This Row],[Quantity]]&gt;=2,"Multi","Single"))</f>
        <v>Multi</v>
      </c>
      <c r="O1125">
        <v>10.42</v>
      </c>
      <c r="P1125" t="str">
        <f>IF(Walmart[[#This Row],[Sales]]&gt;=1000,"High Value", IF(Walmart[[#This Row],[Sales]]&gt;=500,"Medium Value","Low Value"))</f>
        <v>Low Value</v>
      </c>
    </row>
    <row r="1126" spans="1:16" x14ac:dyDescent="0.3">
      <c r="A1126" t="s">
        <v>2181</v>
      </c>
      <c r="B1126" s="1">
        <v>41801</v>
      </c>
      <c r="C1126" s="1" t="str">
        <f>TEXT(Walmart[[#This Row],[Order Date]],"mmmm")</f>
        <v>June</v>
      </c>
      <c r="D1126" s="1">
        <v>41806</v>
      </c>
      <c r="E1126" s="1" t="str">
        <f>IF(DATEDIF(Walmart[[#This Row],[Order Date]],Walmart[[#This Row],[Ship Date]],"D")&lt;7,"On time","Delayed")</f>
        <v>On time</v>
      </c>
      <c r="F1126" t="s">
        <v>305</v>
      </c>
      <c r="G1126" t="s">
        <v>14</v>
      </c>
      <c r="H1126" t="s">
        <v>25</v>
      </c>
      <c r="I1126" t="s">
        <v>26</v>
      </c>
      <c r="J1126" t="s">
        <v>146</v>
      </c>
      <c r="K1126" t="s">
        <v>488</v>
      </c>
      <c r="L1126">
        <v>88.78</v>
      </c>
      <c r="M1126">
        <v>3</v>
      </c>
      <c r="N1126" t="str">
        <f>IF(Walmart[[#This Row],[Quantity]]&gt;=7,"Bulk",IF(Walmart[[#This Row],[Quantity]]&gt;=2,"Multi","Single"))</f>
        <v>Multi</v>
      </c>
      <c r="O1126">
        <v>7.77</v>
      </c>
      <c r="P1126" t="str">
        <f>IF(Walmart[[#This Row],[Sales]]&gt;=1000,"High Value", IF(Walmart[[#This Row],[Sales]]&gt;=500,"Medium Value","Low Value"))</f>
        <v>Low Value</v>
      </c>
    </row>
    <row r="1127" spans="1:16" hidden="1" x14ac:dyDescent="0.3">
      <c r="A1127" t="s">
        <v>2739</v>
      </c>
      <c r="B1127" s="1">
        <v>40883</v>
      </c>
      <c r="C1127" s="1" t="str">
        <f>TEXT(Walmart[[#This Row],[Order Date]],"mmmm")</f>
        <v>December</v>
      </c>
      <c r="D1127" s="1">
        <v>40885</v>
      </c>
      <c r="E1127" s="1" t="str">
        <f>IF(DATEDIF(Walmart[[#This Row],[Order Date]],Walmart[[#This Row],[Ship Date]],"D")&lt;7,"On time","Delayed")</f>
        <v>On time</v>
      </c>
      <c r="F1127" t="s">
        <v>1627</v>
      </c>
      <c r="G1127" t="s">
        <v>14</v>
      </c>
      <c r="H1127" t="s">
        <v>15</v>
      </c>
      <c r="I1127" t="s">
        <v>16</v>
      </c>
      <c r="J1127" t="s">
        <v>33</v>
      </c>
      <c r="K1127" t="s">
        <v>2740</v>
      </c>
      <c r="L1127">
        <v>1261.33</v>
      </c>
      <c r="M1127">
        <v>7</v>
      </c>
      <c r="N1127" t="str">
        <f>IF(Walmart[[#This Row],[Quantity]]&gt;=7,"Bulk",IF(Walmart[[#This Row],[Quantity]]&gt;=2,"Multi","Single"))</f>
        <v>Bulk</v>
      </c>
      <c r="O1127">
        <v>327.95</v>
      </c>
      <c r="P1127" t="str">
        <f>IF(Walmart[[#This Row],[Sales]]&gt;=1000,"High Value", IF(Walmart[[#This Row],[Sales]]&gt;=500,"Medium Value","Low Value"))</f>
        <v>High Value</v>
      </c>
    </row>
    <row r="1128" spans="1:16" hidden="1" x14ac:dyDescent="0.3">
      <c r="A1128" t="s">
        <v>2741</v>
      </c>
      <c r="B1128" s="1">
        <v>41425</v>
      </c>
      <c r="C1128" s="1" t="str">
        <f>TEXT(Walmart[[#This Row],[Order Date]],"mmmm")</f>
        <v>May</v>
      </c>
      <c r="D1128" s="1">
        <v>41429</v>
      </c>
      <c r="E1128" s="1" t="str">
        <f>IF(DATEDIF(Walmart[[#This Row],[Order Date]],Walmart[[#This Row],[Ship Date]],"D")&lt;7,"On time","Delayed")</f>
        <v>On time</v>
      </c>
      <c r="F1128" t="s">
        <v>1263</v>
      </c>
      <c r="G1128" t="s">
        <v>14</v>
      </c>
      <c r="H1128" t="s">
        <v>15</v>
      </c>
      <c r="I1128" t="s">
        <v>16</v>
      </c>
      <c r="J1128" t="s">
        <v>93</v>
      </c>
      <c r="K1128" t="s">
        <v>2742</v>
      </c>
      <c r="L1128">
        <v>38.880000000000003</v>
      </c>
      <c r="M1128">
        <v>6</v>
      </c>
      <c r="N1128" t="str">
        <f>IF(Walmart[[#This Row],[Quantity]]&gt;=7,"Bulk",IF(Walmart[[#This Row],[Quantity]]&gt;=2,"Multi","Single"))</f>
        <v>Multi</v>
      </c>
      <c r="O1128">
        <v>18.66</v>
      </c>
      <c r="P1128" t="str">
        <f>IF(Walmart[[#This Row],[Sales]]&gt;=1000,"High Value", IF(Walmart[[#This Row],[Sales]]&gt;=500,"Medium Value","Low Value"))</f>
        <v>Low Value</v>
      </c>
    </row>
    <row r="1129" spans="1:16" hidden="1" x14ac:dyDescent="0.3">
      <c r="A1129" t="s">
        <v>2743</v>
      </c>
      <c r="B1129" s="1">
        <v>40764</v>
      </c>
      <c r="C1129" s="1" t="str">
        <f>TEXT(Walmart[[#This Row],[Order Date]],"mmmm")</f>
        <v>August</v>
      </c>
      <c r="D1129" s="1">
        <v>40769</v>
      </c>
      <c r="E1129" s="1" t="str">
        <f>IF(DATEDIF(Walmart[[#This Row],[Order Date]],Walmart[[#This Row],[Ship Date]],"D")&lt;7,"On time","Delayed")</f>
        <v>On time</v>
      </c>
      <c r="F1129" t="s">
        <v>973</v>
      </c>
      <c r="G1129" t="s">
        <v>14</v>
      </c>
      <c r="H1129" t="s">
        <v>613</v>
      </c>
      <c r="I1129" t="s">
        <v>16</v>
      </c>
      <c r="J1129" t="s">
        <v>93</v>
      </c>
      <c r="K1129" t="s">
        <v>2744</v>
      </c>
      <c r="L1129">
        <v>5.98</v>
      </c>
      <c r="M1129">
        <v>1</v>
      </c>
      <c r="N1129" t="str">
        <f>IF(Walmart[[#This Row],[Quantity]]&gt;=7,"Bulk",IF(Walmart[[#This Row],[Quantity]]&gt;=2,"Multi","Single"))</f>
        <v>Single</v>
      </c>
      <c r="O1129">
        <v>2.69</v>
      </c>
      <c r="P1129" t="str">
        <f>IF(Walmart[[#This Row],[Sales]]&gt;=1000,"High Value", IF(Walmart[[#This Row],[Sales]]&gt;=500,"Medium Value","Low Value"))</f>
        <v>Low Value</v>
      </c>
    </row>
    <row r="1130" spans="1:16" hidden="1" x14ac:dyDescent="0.3">
      <c r="A1130" t="s">
        <v>2745</v>
      </c>
      <c r="B1130" s="1">
        <v>41407</v>
      </c>
      <c r="C1130" s="1" t="str">
        <f>TEXT(Walmart[[#This Row],[Order Date]],"mmmm")</f>
        <v>May</v>
      </c>
      <c r="D1130" s="1">
        <v>41412</v>
      </c>
      <c r="E1130" s="1" t="str">
        <f>IF(DATEDIF(Walmart[[#This Row],[Order Date]],Walmart[[#This Row],[Ship Date]],"D")&lt;7,"On time","Delayed")</f>
        <v>On time</v>
      </c>
      <c r="F1130" t="s">
        <v>2082</v>
      </c>
      <c r="G1130" t="s">
        <v>14</v>
      </c>
      <c r="H1130" t="s">
        <v>25</v>
      </c>
      <c r="I1130" t="s">
        <v>26</v>
      </c>
      <c r="J1130" t="s">
        <v>124</v>
      </c>
      <c r="K1130" t="s">
        <v>2746</v>
      </c>
      <c r="L1130">
        <v>54.9</v>
      </c>
      <c r="M1130">
        <v>5</v>
      </c>
      <c r="N1130" t="str">
        <f>IF(Walmart[[#This Row],[Quantity]]&gt;=7,"Bulk",IF(Walmart[[#This Row],[Quantity]]&gt;=2,"Multi","Single"))</f>
        <v>Multi</v>
      </c>
      <c r="O1130">
        <v>26.9</v>
      </c>
      <c r="P1130" t="str">
        <f>IF(Walmart[[#This Row],[Sales]]&gt;=1000,"High Value", IF(Walmart[[#This Row],[Sales]]&gt;=500,"Medium Value","Low Value"))</f>
        <v>Low Value</v>
      </c>
    </row>
    <row r="1131" spans="1:16" x14ac:dyDescent="0.3">
      <c r="A1131" t="s">
        <v>2801</v>
      </c>
      <c r="B1131" s="1">
        <v>41801</v>
      </c>
      <c r="C1131" s="1" t="str">
        <f>TEXT(Walmart[[#This Row],[Order Date]],"mmmm")</f>
        <v>June</v>
      </c>
      <c r="D1131" s="1">
        <v>41804</v>
      </c>
      <c r="E1131" s="1" t="str">
        <f>IF(DATEDIF(Walmart[[#This Row],[Order Date]],Walmart[[#This Row],[Ship Date]],"D")&lt;7,"On time","Delayed")</f>
        <v>On time</v>
      </c>
      <c r="F1131" t="s">
        <v>2802</v>
      </c>
      <c r="G1131" t="s">
        <v>14</v>
      </c>
      <c r="H1131" t="s">
        <v>1140</v>
      </c>
      <c r="I1131" t="s">
        <v>16</v>
      </c>
      <c r="J1131" t="s">
        <v>38</v>
      </c>
      <c r="K1131" t="s">
        <v>2803</v>
      </c>
      <c r="L1131">
        <v>14.7</v>
      </c>
      <c r="M1131">
        <v>7</v>
      </c>
      <c r="N1131" t="str">
        <f>IF(Walmart[[#This Row],[Quantity]]&gt;=7,"Bulk",IF(Walmart[[#This Row],[Quantity]]&gt;=2,"Multi","Single"))</f>
        <v>Bulk</v>
      </c>
      <c r="O1131">
        <v>4.12</v>
      </c>
      <c r="P1131" t="str">
        <f>IF(Walmart[[#This Row],[Sales]]&gt;=1000,"High Value", IF(Walmart[[#This Row],[Sales]]&gt;=500,"Medium Value","Low Value"))</f>
        <v>Low Value</v>
      </c>
    </row>
    <row r="1132" spans="1:16" x14ac:dyDescent="0.3">
      <c r="A1132" t="s">
        <v>2964</v>
      </c>
      <c r="B1132" s="1">
        <v>41799</v>
      </c>
      <c r="C1132" s="1" t="str">
        <f>TEXT(Walmart[[#This Row],[Order Date]],"mmmm")</f>
        <v>June</v>
      </c>
      <c r="D1132" s="1">
        <v>41801</v>
      </c>
      <c r="E1132" s="1" t="str">
        <f>IF(DATEDIF(Walmart[[#This Row],[Order Date]],Walmart[[#This Row],[Ship Date]],"D")&lt;7,"On time","Delayed")</f>
        <v>On time</v>
      </c>
      <c r="F1132" t="s">
        <v>2965</v>
      </c>
      <c r="G1132" t="s">
        <v>14</v>
      </c>
      <c r="H1132" t="s">
        <v>15</v>
      </c>
      <c r="I1132" t="s">
        <v>16</v>
      </c>
      <c r="J1132" t="s">
        <v>671</v>
      </c>
      <c r="K1132" t="s">
        <v>2966</v>
      </c>
      <c r="L1132">
        <v>1497.67</v>
      </c>
      <c r="M1132">
        <v>2</v>
      </c>
      <c r="N1132" t="str">
        <f>IF(Walmart[[#This Row],[Quantity]]&gt;=7,"Bulk",IF(Walmart[[#This Row],[Quantity]]&gt;=2,"Multi","Single"))</f>
        <v>Multi</v>
      </c>
      <c r="O1132">
        <v>140.96</v>
      </c>
      <c r="P1132" t="str">
        <f>IF(Walmart[[#This Row],[Sales]]&gt;=1000,"High Value", IF(Walmart[[#This Row],[Sales]]&gt;=500,"Medium Value","Low Value"))</f>
        <v>High Value</v>
      </c>
    </row>
    <row r="1133" spans="1:16" hidden="1" x14ac:dyDescent="0.3">
      <c r="A1133" t="s">
        <v>2750</v>
      </c>
      <c r="B1133" s="1">
        <v>41207</v>
      </c>
      <c r="C1133" s="1" t="str">
        <f>TEXT(Walmart[[#This Row],[Order Date]],"mmmm")</f>
        <v>October</v>
      </c>
      <c r="D1133" s="1">
        <v>41209</v>
      </c>
      <c r="E1133" s="1" t="str">
        <f>IF(DATEDIF(Walmart[[#This Row],[Order Date]],Walmart[[#This Row],[Ship Date]],"D")&lt;7,"On time","Delayed")</f>
        <v>On time</v>
      </c>
      <c r="F1133" t="s">
        <v>2493</v>
      </c>
      <c r="G1133" t="s">
        <v>14</v>
      </c>
      <c r="H1133" t="s">
        <v>1167</v>
      </c>
      <c r="I1133" t="s">
        <v>227</v>
      </c>
      <c r="J1133" t="s">
        <v>38</v>
      </c>
      <c r="K1133" t="s">
        <v>2751</v>
      </c>
      <c r="L1133">
        <v>79.36</v>
      </c>
      <c r="M1133">
        <v>4</v>
      </c>
      <c r="N1133" t="str">
        <f>IF(Walmart[[#This Row],[Quantity]]&gt;=7,"Bulk",IF(Walmart[[#This Row],[Quantity]]&gt;=2,"Multi","Single"))</f>
        <v>Multi</v>
      </c>
      <c r="O1133">
        <v>23.81</v>
      </c>
      <c r="P1133" t="str">
        <f>IF(Walmart[[#This Row],[Sales]]&gt;=1000,"High Value", IF(Walmart[[#This Row],[Sales]]&gt;=500,"Medium Value","Low Value"))</f>
        <v>Low Value</v>
      </c>
    </row>
    <row r="1134" spans="1:16" x14ac:dyDescent="0.3">
      <c r="A1134" t="s">
        <v>3460</v>
      </c>
      <c r="B1134" s="1">
        <v>41799</v>
      </c>
      <c r="C1134" s="1" t="str">
        <f>TEXT(Walmart[[#This Row],[Order Date]],"mmmm")</f>
        <v>June</v>
      </c>
      <c r="D1134" s="1">
        <v>41804</v>
      </c>
      <c r="E1134" s="1" t="str">
        <f>IF(DATEDIF(Walmart[[#This Row],[Order Date]],Walmart[[#This Row],[Ship Date]],"D")&lt;7,"On time","Delayed")</f>
        <v>On time</v>
      </c>
      <c r="F1134" t="s">
        <v>3214</v>
      </c>
      <c r="G1134" t="s">
        <v>14</v>
      </c>
      <c r="H1134" t="s">
        <v>712</v>
      </c>
      <c r="I1134" t="s">
        <v>58</v>
      </c>
      <c r="J1134" t="s">
        <v>53</v>
      </c>
      <c r="K1134" t="s">
        <v>2553</v>
      </c>
      <c r="L1134">
        <v>89.54</v>
      </c>
      <c r="M1134">
        <v>7</v>
      </c>
      <c r="N1134" t="str">
        <f>IF(Walmart[[#This Row],[Quantity]]&gt;=7,"Bulk",IF(Walmart[[#This Row],[Quantity]]&gt;=2,"Multi","Single"))</f>
        <v>Bulk</v>
      </c>
      <c r="O1134">
        <v>12.31</v>
      </c>
      <c r="P1134" t="str">
        <f>IF(Walmart[[#This Row],[Sales]]&gt;=1000,"High Value", IF(Walmart[[#This Row],[Sales]]&gt;=500,"Medium Value","Low Value"))</f>
        <v>Low Value</v>
      </c>
    </row>
    <row r="1135" spans="1:16" hidden="1" x14ac:dyDescent="0.3">
      <c r="A1135" t="s">
        <v>2754</v>
      </c>
      <c r="B1135" s="1">
        <v>40870</v>
      </c>
      <c r="C1135" s="1" t="str">
        <f>TEXT(Walmart[[#This Row],[Order Date]],"mmmm")</f>
        <v>November</v>
      </c>
      <c r="D1135" s="1">
        <v>40875</v>
      </c>
      <c r="E1135" s="1" t="str">
        <f>IF(DATEDIF(Walmart[[#This Row],[Order Date]],Walmart[[#This Row],[Ship Date]],"D")&lt;7,"On time","Delayed")</f>
        <v>On time</v>
      </c>
      <c r="F1135" t="s">
        <v>2755</v>
      </c>
      <c r="G1135" t="s">
        <v>14</v>
      </c>
      <c r="H1135" t="s">
        <v>104</v>
      </c>
      <c r="I1135" t="s">
        <v>58</v>
      </c>
      <c r="J1135" t="s">
        <v>124</v>
      </c>
      <c r="K1135" t="s">
        <v>125</v>
      </c>
      <c r="L1135">
        <v>23.47</v>
      </c>
      <c r="M1135">
        <v>3</v>
      </c>
      <c r="N1135" t="str">
        <f>IF(Walmart[[#This Row],[Quantity]]&gt;=7,"Bulk",IF(Walmart[[#This Row],[Quantity]]&gt;=2,"Multi","Single"))</f>
        <v>Multi</v>
      </c>
      <c r="O1135">
        <v>8.8000000000000007</v>
      </c>
      <c r="P1135" t="str">
        <f>IF(Walmart[[#This Row],[Sales]]&gt;=1000,"High Value", IF(Walmart[[#This Row],[Sales]]&gt;=500,"Medium Value","Low Value"))</f>
        <v>Low Value</v>
      </c>
    </row>
    <row r="1136" spans="1:16" x14ac:dyDescent="0.3">
      <c r="A1136" t="s">
        <v>1657</v>
      </c>
      <c r="B1136" s="1">
        <v>41797</v>
      </c>
      <c r="C1136" s="1" t="str">
        <f>TEXT(Walmart[[#This Row],[Order Date]],"mmmm")</f>
        <v>June</v>
      </c>
      <c r="D1136" s="1">
        <v>41801</v>
      </c>
      <c r="E1136" s="1" t="str">
        <f>IF(DATEDIF(Walmart[[#This Row],[Order Date]],Walmart[[#This Row],[Ship Date]],"D")&lt;7,"On time","Delayed")</f>
        <v>On time</v>
      </c>
      <c r="F1136" t="s">
        <v>1467</v>
      </c>
      <c r="G1136" t="s">
        <v>14</v>
      </c>
      <c r="H1136" t="s">
        <v>37</v>
      </c>
      <c r="I1136" t="s">
        <v>16</v>
      </c>
      <c r="J1136" t="s">
        <v>21</v>
      </c>
      <c r="K1136" t="s">
        <v>1658</v>
      </c>
      <c r="L1136">
        <v>4.95</v>
      </c>
      <c r="M1136">
        <v>1</v>
      </c>
      <c r="N1136" t="str">
        <f>IF(Walmart[[#This Row],[Quantity]]&gt;=7,"Bulk",IF(Walmart[[#This Row],[Quantity]]&gt;=2,"Multi","Single"))</f>
        <v>Single</v>
      </c>
      <c r="O1136">
        <v>2.1800000000000002</v>
      </c>
      <c r="P1136" t="str">
        <f>IF(Walmart[[#This Row],[Sales]]&gt;=1000,"High Value", IF(Walmart[[#This Row],[Sales]]&gt;=500,"Medium Value","Low Value"))</f>
        <v>Low Value</v>
      </c>
    </row>
    <row r="1137" spans="1:16" hidden="1" x14ac:dyDescent="0.3">
      <c r="A1137" t="s">
        <v>2758</v>
      </c>
      <c r="B1137" s="1">
        <v>41400</v>
      </c>
      <c r="C1137" s="1" t="str">
        <f>TEXT(Walmart[[#This Row],[Order Date]],"mmmm")</f>
        <v>May</v>
      </c>
      <c r="D1137" s="1">
        <v>41401</v>
      </c>
      <c r="E1137" s="1" t="str">
        <f>IF(DATEDIF(Walmart[[#This Row],[Order Date]],Walmart[[#This Row],[Ship Date]],"D")&lt;7,"On time","Delayed")</f>
        <v>On time</v>
      </c>
      <c r="F1137" t="s">
        <v>494</v>
      </c>
      <c r="G1137" t="s">
        <v>14</v>
      </c>
      <c r="H1137" t="s">
        <v>900</v>
      </c>
      <c r="I1137" t="s">
        <v>227</v>
      </c>
      <c r="J1137" t="s">
        <v>43</v>
      </c>
      <c r="K1137" t="s">
        <v>2759</v>
      </c>
      <c r="L1137">
        <v>1685.88</v>
      </c>
      <c r="M1137">
        <v>6</v>
      </c>
      <c r="N1137" t="str">
        <f>IF(Walmart[[#This Row],[Quantity]]&gt;=7,"Bulk",IF(Walmart[[#This Row],[Quantity]]&gt;=2,"Multi","Single"))</f>
        <v>Multi</v>
      </c>
      <c r="O1137">
        <v>320.32</v>
      </c>
      <c r="P1137" t="str">
        <f>IF(Walmart[[#This Row],[Sales]]&gt;=1000,"High Value", IF(Walmart[[#This Row],[Sales]]&gt;=500,"Medium Value","Low Value"))</f>
        <v>High Value</v>
      </c>
    </row>
    <row r="1138" spans="1:16" hidden="1" x14ac:dyDescent="0.3">
      <c r="A1138" t="s">
        <v>2760</v>
      </c>
      <c r="B1138" s="1">
        <v>40834</v>
      </c>
      <c r="C1138" s="1" t="str">
        <f>TEXT(Walmart[[#This Row],[Order Date]],"mmmm")</f>
        <v>October</v>
      </c>
      <c r="D1138" s="1">
        <v>40839</v>
      </c>
      <c r="E1138" s="1" t="str">
        <f>IF(DATEDIF(Walmart[[#This Row],[Order Date]],Walmart[[#This Row],[Ship Date]],"D")&lt;7,"On time","Delayed")</f>
        <v>On time</v>
      </c>
      <c r="F1138" t="s">
        <v>767</v>
      </c>
      <c r="G1138" t="s">
        <v>14</v>
      </c>
      <c r="H1138" t="s">
        <v>25</v>
      </c>
      <c r="I1138" t="s">
        <v>26</v>
      </c>
      <c r="J1138" t="s">
        <v>93</v>
      </c>
      <c r="K1138" t="s">
        <v>2241</v>
      </c>
      <c r="L1138">
        <v>61.96</v>
      </c>
      <c r="M1138">
        <v>2</v>
      </c>
      <c r="N1138" t="str">
        <f>IF(Walmart[[#This Row],[Quantity]]&gt;=7,"Bulk",IF(Walmart[[#This Row],[Quantity]]&gt;=2,"Multi","Single"))</f>
        <v>Multi</v>
      </c>
      <c r="O1138">
        <v>27.88</v>
      </c>
      <c r="P1138" t="str">
        <f>IF(Walmart[[#This Row],[Sales]]&gt;=1000,"High Value", IF(Walmart[[#This Row],[Sales]]&gt;=500,"Medium Value","Low Value"))</f>
        <v>Low Value</v>
      </c>
    </row>
    <row r="1139" spans="1:16" x14ac:dyDescent="0.3">
      <c r="A1139" t="s">
        <v>2393</v>
      </c>
      <c r="B1139" s="1">
        <v>41794</v>
      </c>
      <c r="C1139" s="1" t="str">
        <f>TEXT(Walmart[[#This Row],[Order Date]],"mmmm")</f>
        <v>June</v>
      </c>
      <c r="D1139" s="1">
        <v>41799</v>
      </c>
      <c r="E1139" s="1" t="str">
        <f>IF(DATEDIF(Walmart[[#This Row],[Order Date]],Walmart[[#This Row],[Ship Date]],"D")&lt;7,"On time","Delayed")</f>
        <v>On time</v>
      </c>
      <c r="F1139" t="s">
        <v>2394</v>
      </c>
      <c r="G1139" t="s">
        <v>14</v>
      </c>
      <c r="H1139" t="s">
        <v>1230</v>
      </c>
      <c r="I1139" t="s">
        <v>26</v>
      </c>
      <c r="J1139" t="s">
        <v>53</v>
      </c>
      <c r="K1139" t="s">
        <v>2395</v>
      </c>
      <c r="L1139">
        <v>1099.5</v>
      </c>
      <c r="M1139">
        <v>10</v>
      </c>
      <c r="N1139" t="str">
        <f>IF(Walmart[[#This Row],[Quantity]]&gt;=7,"Bulk",IF(Walmart[[#This Row],[Quantity]]&gt;=2,"Multi","Single"))</f>
        <v>Bulk</v>
      </c>
      <c r="O1139">
        <v>362.84</v>
      </c>
      <c r="P1139" t="str">
        <f>IF(Walmart[[#This Row],[Sales]]&gt;=1000,"High Value", IF(Walmart[[#This Row],[Sales]]&gt;=500,"Medium Value","Low Value"))</f>
        <v>High Value</v>
      </c>
    </row>
    <row r="1140" spans="1:16" x14ac:dyDescent="0.3">
      <c r="A1140" t="s">
        <v>2451</v>
      </c>
      <c r="B1140" s="1">
        <v>41794</v>
      </c>
      <c r="C1140" s="1" t="str">
        <f>TEXT(Walmart[[#This Row],[Order Date]],"mmmm")</f>
        <v>June</v>
      </c>
      <c r="D1140" s="1">
        <v>41798</v>
      </c>
      <c r="E1140" s="1" t="str">
        <f>IF(DATEDIF(Walmart[[#This Row],[Order Date]],Walmart[[#This Row],[Ship Date]],"D")&lt;7,"On time","Delayed")</f>
        <v>On time</v>
      </c>
      <c r="F1140" t="s">
        <v>2452</v>
      </c>
      <c r="G1140" t="s">
        <v>14</v>
      </c>
      <c r="H1140" t="s">
        <v>15</v>
      </c>
      <c r="I1140" t="s">
        <v>16</v>
      </c>
      <c r="J1140" t="s">
        <v>53</v>
      </c>
      <c r="K1140" t="s">
        <v>2453</v>
      </c>
      <c r="L1140">
        <v>44.75</v>
      </c>
      <c r="M1140">
        <v>5</v>
      </c>
      <c r="N1140" t="str">
        <f>IF(Walmart[[#This Row],[Quantity]]&gt;=7,"Bulk",IF(Walmart[[#This Row],[Quantity]]&gt;=2,"Multi","Single"))</f>
        <v>Multi</v>
      </c>
      <c r="O1140">
        <v>8.5</v>
      </c>
      <c r="P1140" t="str">
        <f>IF(Walmart[[#This Row],[Sales]]&gt;=1000,"High Value", IF(Walmart[[#This Row],[Sales]]&gt;=500,"Medium Value","Low Value"))</f>
        <v>Low Value</v>
      </c>
    </row>
    <row r="1141" spans="1:16" x14ac:dyDescent="0.3">
      <c r="A1141" t="s">
        <v>3404</v>
      </c>
      <c r="B1141" s="1">
        <v>41794</v>
      </c>
      <c r="C1141" s="1" t="str">
        <f>TEXT(Walmart[[#This Row],[Order Date]],"mmmm")</f>
        <v>June</v>
      </c>
      <c r="D1141" s="1">
        <v>41798</v>
      </c>
      <c r="E1141" s="1" t="str">
        <f>IF(DATEDIF(Walmart[[#This Row],[Order Date]],Walmart[[#This Row],[Ship Date]],"D")&lt;7,"On time","Delayed")</f>
        <v>On time</v>
      </c>
      <c r="F1141" t="s">
        <v>527</v>
      </c>
      <c r="G1141" t="s">
        <v>14</v>
      </c>
      <c r="H1141" t="s">
        <v>909</v>
      </c>
      <c r="I1141" t="s">
        <v>26</v>
      </c>
      <c r="J1141" t="s">
        <v>33</v>
      </c>
      <c r="K1141" t="s">
        <v>1679</v>
      </c>
      <c r="L1141">
        <v>136.26</v>
      </c>
      <c r="M1141">
        <v>9</v>
      </c>
      <c r="N1141" t="str">
        <f>IF(Walmart[[#This Row],[Quantity]]&gt;=7,"Bulk",IF(Walmart[[#This Row],[Quantity]]&gt;=2,"Multi","Single"))</f>
        <v>Bulk</v>
      </c>
      <c r="O1141">
        <v>5.45</v>
      </c>
      <c r="P1141" t="str">
        <f>IF(Walmart[[#This Row],[Sales]]&gt;=1000,"High Value", IF(Walmart[[#This Row],[Sales]]&gt;=500,"Medium Value","Low Value"))</f>
        <v>Low Value</v>
      </c>
    </row>
    <row r="1142" spans="1:16" hidden="1" x14ac:dyDescent="0.3">
      <c r="A1142" t="s">
        <v>2765</v>
      </c>
      <c r="B1142" s="1">
        <v>41362</v>
      </c>
      <c r="C1142" s="1" t="str">
        <f>TEXT(Walmart[[#This Row],[Order Date]],"mmmm")</f>
        <v>March</v>
      </c>
      <c r="D1142" s="1">
        <v>41365</v>
      </c>
      <c r="E1142" s="1" t="str">
        <f>IF(DATEDIF(Walmart[[#This Row],[Order Date]],Walmart[[#This Row],[Ship Date]],"D")&lt;7,"On time","Delayed")</f>
        <v>On time</v>
      </c>
      <c r="F1142" t="s">
        <v>1496</v>
      </c>
      <c r="G1142" t="s">
        <v>14</v>
      </c>
      <c r="H1142" t="s">
        <v>15</v>
      </c>
      <c r="I1142" t="s">
        <v>16</v>
      </c>
      <c r="J1142" t="s">
        <v>33</v>
      </c>
      <c r="K1142" t="s">
        <v>2474</v>
      </c>
      <c r="L1142">
        <v>87.92</v>
      </c>
      <c r="M1142">
        <v>4</v>
      </c>
      <c r="N1142" t="str">
        <f>IF(Walmart[[#This Row],[Quantity]]&gt;=7,"Bulk",IF(Walmart[[#This Row],[Quantity]]&gt;=2,"Multi","Single"))</f>
        <v>Multi</v>
      </c>
      <c r="O1142">
        <v>0.88</v>
      </c>
      <c r="P1142" t="str">
        <f>IF(Walmart[[#This Row],[Sales]]&gt;=1000,"High Value", IF(Walmart[[#This Row],[Sales]]&gt;=500,"Medium Value","Low Value"))</f>
        <v>Low Value</v>
      </c>
    </row>
    <row r="1143" spans="1:16" hidden="1" x14ac:dyDescent="0.3">
      <c r="A1143" t="s">
        <v>2766</v>
      </c>
      <c r="B1143" s="1">
        <v>40746</v>
      </c>
      <c r="C1143" s="1" t="str">
        <f>TEXT(Walmart[[#This Row],[Order Date]],"mmmm")</f>
        <v>July</v>
      </c>
      <c r="D1143" s="1">
        <v>40748</v>
      </c>
      <c r="E1143" s="1" t="str">
        <f>IF(DATEDIF(Walmart[[#This Row],[Order Date]],Walmart[[#This Row],[Ship Date]],"D")&lt;7,"On time","Delayed")</f>
        <v>On time</v>
      </c>
      <c r="F1143" t="s">
        <v>559</v>
      </c>
      <c r="G1143" t="s">
        <v>14</v>
      </c>
      <c r="H1143" t="s">
        <v>37</v>
      </c>
      <c r="I1143" t="s">
        <v>16</v>
      </c>
      <c r="J1143" t="s">
        <v>38</v>
      </c>
      <c r="K1143" t="s">
        <v>435</v>
      </c>
      <c r="L1143">
        <v>11.52</v>
      </c>
      <c r="M1143">
        <v>4</v>
      </c>
      <c r="N1143" t="str">
        <f>IF(Walmart[[#This Row],[Quantity]]&gt;=7,"Bulk",IF(Walmart[[#This Row],[Quantity]]&gt;=2,"Multi","Single"))</f>
        <v>Multi</v>
      </c>
      <c r="O1143">
        <v>3.23</v>
      </c>
      <c r="P1143" t="str">
        <f>IF(Walmart[[#This Row],[Sales]]&gt;=1000,"High Value", IF(Walmart[[#This Row],[Sales]]&gt;=500,"Medium Value","Low Value"))</f>
        <v>Low Value</v>
      </c>
    </row>
    <row r="1144" spans="1:16" x14ac:dyDescent="0.3">
      <c r="A1144" t="s">
        <v>1618</v>
      </c>
      <c r="B1144" s="1">
        <v>41793</v>
      </c>
      <c r="C1144" s="1" t="str">
        <f>TEXT(Walmart[[#This Row],[Order Date]],"mmmm")</f>
        <v>June</v>
      </c>
      <c r="D1144" s="1">
        <v>41796</v>
      </c>
      <c r="E1144" s="1" t="str">
        <f>IF(DATEDIF(Walmart[[#This Row],[Order Date]],Walmart[[#This Row],[Ship Date]],"D")&lt;7,"On time","Delayed")</f>
        <v>On time</v>
      </c>
      <c r="F1144" t="s">
        <v>1619</v>
      </c>
      <c r="G1144" t="s">
        <v>14</v>
      </c>
      <c r="H1144" t="s">
        <v>299</v>
      </c>
      <c r="I1144" t="s">
        <v>58</v>
      </c>
      <c r="J1144" t="s">
        <v>93</v>
      </c>
      <c r="K1144" t="s">
        <v>154</v>
      </c>
      <c r="L1144">
        <v>25.34</v>
      </c>
      <c r="M1144">
        <v>6</v>
      </c>
      <c r="N1144" t="str">
        <f>IF(Walmart[[#This Row],[Quantity]]&gt;=7,"Bulk",IF(Walmart[[#This Row],[Quantity]]&gt;=2,"Multi","Single"))</f>
        <v>Multi</v>
      </c>
      <c r="O1144">
        <v>7.92</v>
      </c>
      <c r="P1144" t="str">
        <f>IF(Walmart[[#This Row],[Sales]]&gt;=1000,"High Value", IF(Walmart[[#This Row],[Sales]]&gt;=500,"Medium Value","Low Value"))</f>
        <v>Low Value</v>
      </c>
    </row>
    <row r="1145" spans="1:16" x14ac:dyDescent="0.3">
      <c r="A1145" t="s">
        <v>2848</v>
      </c>
      <c r="B1145" s="1">
        <v>41790</v>
      </c>
      <c r="C1145" s="1" t="str">
        <f>TEXT(Walmart[[#This Row],[Order Date]],"mmmm")</f>
        <v>May</v>
      </c>
      <c r="D1145" s="1">
        <v>41794</v>
      </c>
      <c r="E1145" s="1" t="str">
        <f>IF(DATEDIF(Walmart[[#This Row],[Order Date]],Walmart[[#This Row],[Ship Date]],"D")&lt;7,"On time","Delayed")</f>
        <v>On time</v>
      </c>
      <c r="F1145" t="s">
        <v>1235</v>
      </c>
      <c r="G1145" t="s">
        <v>14</v>
      </c>
      <c r="H1145" t="s">
        <v>811</v>
      </c>
      <c r="I1145" t="s">
        <v>69</v>
      </c>
      <c r="J1145" t="s">
        <v>146</v>
      </c>
      <c r="K1145" t="s">
        <v>2849</v>
      </c>
      <c r="L1145">
        <v>156.79</v>
      </c>
      <c r="M1145">
        <v>1</v>
      </c>
      <c r="N1145" t="str">
        <f>IF(Walmart[[#This Row],[Quantity]]&gt;=7,"Bulk",IF(Walmart[[#This Row],[Quantity]]&gt;=2,"Multi","Single"))</f>
        <v>Single</v>
      </c>
      <c r="O1145">
        <v>17.64</v>
      </c>
      <c r="P1145" t="str">
        <f>IF(Walmart[[#This Row],[Sales]]&gt;=1000,"High Value", IF(Walmart[[#This Row],[Sales]]&gt;=500,"Medium Value","Low Value"))</f>
        <v>Low Value</v>
      </c>
    </row>
    <row r="1146" spans="1:16" hidden="1" x14ac:dyDescent="0.3">
      <c r="A1146" t="s">
        <v>2770</v>
      </c>
      <c r="B1146" s="1">
        <v>41591</v>
      </c>
      <c r="C1146" s="1" t="str">
        <f>TEXT(Walmart[[#This Row],[Order Date]],"mmmm")</f>
        <v>November</v>
      </c>
      <c r="D1146" s="1">
        <v>41594</v>
      </c>
      <c r="E1146" s="1" t="str">
        <f>IF(DATEDIF(Walmart[[#This Row],[Order Date]],Walmart[[#This Row],[Ship Date]],"D")&lt;7,"On time","Delayed")</f>
        <v>On time</v>
      </c>
      <c r="F1146" t="s">
        <v>1040</v>
      </c>
      <c r="G1146" t="s">
        <v>14</v>
      </c>
      <c r="H1146" t="s">
        <v>160</v>
      </c>
      <c r="I1146" t="s">
        <v>16</v>
      </c>
      <c r="J1146" t="s">
        <v>146</v>
      </c>
      <c r="K1146" t="s">
        <v>2771</v>
      </c>
      <c r="L1146">
        <v>203.98</v>
      </c>
      <c r="M1146">
        <v>3</v>
      </c>
      <c r="N1146" t="str">
        <f>IF(Walmart[[#This Row],[Quantity]]&gt;=7,"Bulk",IF(Walmart[[#This Row],[Quantity]]&gt;=2,"Multi","Single"))</f>
        <v>Multi</v>
      </c>
      <c r="O1146">
        <v>25.5</v>
      </c>
      <c r="P1146" t="str">
        <f>IF(Walmart[[#This Row],[Sales]]&gt;=1000,"High Value", IF(Walmart[[#This Row],[Sales]]&gt;=500,"Medium Value","Low Value"))</f>
        <v>Low Value</v>
      </c>
    </row>
    <row r="1147" spans="1:16" hidden="1" x14ac:dyDescent="0.3">
      <c r="A1147" t="s">
        <v>2772</v>
      </c>
      <c r="B1147" s="1">
        <v>41592</v>
      </c>
      <c r="C1147" s="1" t="str">
        <f>TEXT(Walmart[[#This Row],[Order Date]],"mmmm")</f>
        <v>November</v>
      </c>
      <c r="D1147" s="1">
        <v>41596</v>
      </c>
      <c r="E1147" s="1" t="str">
        <f>IF(DATEDIF(Walmart[[#This Row],[Order Date]],Walmart[[#This Row],[Ship Date]],"D")&lt;7,"On time","Delayed")</f>
        <v>On time</v>
      </c>
      <c r="F1147" t="s">
        <v>1400</v>
      </c>
      <c r="G1147" t="s">
        <v>14</v>
      </c>
      <c r="H1147" t="s">
        <v>25</v>
      </c>
      <c r="I1147" t="s">
        <v>26</v>
      </c>
      <c r="J1147" t="s">
        <v>21</v>
      </c>
      <c r="K1147" t="s">
        <v>2773</v>
      </c>
      <c r="L1147">
        <v>19.54</v>
      </c>
      <c r="M1147">
        <v>2</v>
      </c>
      <c r="N1147" t="str">
        <f>IF(Walmart[[#This Row],[Quantity]]&gt;=7,"Bulk",IF(Walmart[[#This Row],[Quantity]]&gt;=2,"Multi","Single"))</f>
        <v>Multi</v>
      </c>
      <c r="O1147">
        <v>7.23</v>
      </c>
      <c r="P1147" t="str">
        <f>IF(Walmart[[#This Row],[Sales]]&gt;=1000,"High Value", IF(Walmart[[#This Row],[Sales]]&gt;=500,"Medium Value","Low Value"))</f>
        <v>Low Value</v>
      </c>
    </row>
    <row r="1148" spans="1:16" hidden="1" x14ac:dyDescent="0.3">
      <c r="A1148" t="s">
        <v>2774</v>
      </c>
      <c r="B1148" s="1">
        <v>40659</v>
      </c>
      <c r="C1148" s="1" t="str">
        <f>TEXT(Walmart[[#This Row],[Order Date]],"mmmm")</f>
        <v>April</v>
      </c>
      <c r="D1148" s="1">
        <v>40663</v>
      </c>
      <c r="E1148" s="1" t="str">
        <f>IF(DATEDIF(Walmart[[#This Row],[Order Date]],Walmart[[#This Row],[Ship Date]],"D")&lt;7,"On time","Delayed")</f>
        <v>On time</v>
      </c>
      <c r="F1148" t="s">
        <v>2211</v>
      </c>
      <c r="G1148" t="s">
        <v>14</v>
      </c>
      <c r="H1148" t="s">
        <v>15</v>
      </c>
      <c r="I1148" t="s">
        <v>16</v>
      </c>
      <c r="J1148" t="s">
        <v>38</v>
      </c>
      <c r="K1148" t="s">
        <v>2071</v>
      </c>
      <c r="L1148">
        <v>21.4</v>
      </c>
      <c r="M1148">
        <v>5</v>
      </c>
      <c r="N1148" t="str">
        <f>IF(Walmart[[#This Row],[Quantity]]&gt;=7,"Bulk",IF(Walmart[[#This Row],[Quantity]]&gt;=2,"Multi","Single"))</f>
        <v>Multi</v>
      </c>
      <c r="O1148">
        <v>6.21</v>
      </c>
      <c r="P1148" t="str">
        <f>IF(Walmart[[#This Row],[Sales]]&gt;=1000,"High Value", IF(Walmart[[#This Row],[Sales]]&gt;=500,"Medium Value","Low Value"))</f>
        <v>Low Value</v>
      </c>
    </row>
    <row r="1149" spans="1:16" x14ac:dyDescent="0.3">
      <c r="A1149" t="s">
        <v>3228</v>
      </c>
      <c r="B1149" s="1">
        <v>41790</v>
      </c>
      <c r="C1149" s="1" t="str">
        <f>TEXT(Walmart[[#This Row],[Order Date]],"mmmm")</f>
        <v>May</v>
      </c>
      <c r="D1149" s="1">
        <v>41795</v>
      </c>
      <c r="E1149" s="1" t="str">
        <f>IF(DATEDIF(Walmart[[#This Row],[Order Date]],Walmart[[#This Row],[Ship Date]],"D")&lt;7,"On time","Delayed")</f>
        <v>On time</v>
      </c>
      <c r="F1149" t="s">
        <v>3104</v>
      </c>
      <c r="G1149" t="s">
        <v>14</v>
      </c>
      <c r="H1149" t="s">
        <v>15</v>
      </c>
      <c r="I1149" t="s">
        <v>16</v>
      </c>
      <c r="J1149" t="s">
        <v>93</v>
      </c>
      <c r="K1149" t="s">
        <v>2665</v>
      </c>
      <c r="L1149">
        <v>37.520000000000003</v>
      </c>
      <c r="M1149">
        <v>4</v>
      </c>
      <c r="N1149" t="str">
        <f>IF(Walmart[[#This Row],[Quantity]]&gt;=7,"Bulk",IF(Walmart[[#This Row],[Quantity]]&gt;=2,"Multi","Single"))</f>
        <v>Multi</v>
      </c>
      <c r="O1149">
        <v>18.010000000000002</v>
      </c>
      <c r="P1149" t="str">
        <f>IF(Walmart[[#This Row],[Sales]]&gt;=1000,"High Value", IF(Walmart[[#This Row],[Sales]]&gt;=500,"Medium Value","Low Value"))</f>
        <v>Low Value</v>
      </c>
    </row>
    <row r="1150" spans="1:16" hidden="1" x14ac:dyDescent="0.3">
      <c r="A1150" t="s">
        <v>2778</v>
      </c>
      <c r="B1150" s="1">
        <v>41529</v>
      </c>
      <c r="C1150" s="1" t="str">
        <f>TEXT(Walmart[[#This Row],[Order Date]],"mmmm")</f>
        <v>September</v>
      </c>
      <c r="D1150" s="1">
        <v>41531</v>
      </c>
      <c r="E1150" s="1" t="str">
        <f>IF(DATEDIF(Walmart[[#This Row],[Order Date]],Walmart[[#This Row],[Ship Date]],"D")&lt;7,"On time","Delayed")</f>
        <v>On time</v>
      </c>
      <c r="F1150" t="s">
        <v>1166</v>
      </c>
      <c r="G1150" t="s">
        <v>14</v>
      </c>
      <c r="H1150" t="s">
        <v>84</v>
      </c>
      <c r="I1150" t="s">
        <v>58</v>
      </c>
      <c r="J1150" t="s">
        <v>38</v>
      </c>
      <c r="K1150" t="s">
        <v>583</v>
      </c>
      <c r="L1150">
        <v>2.91</v>
      </c>
      <c r="M1150">
        <v>2</v>
      </c>
      <c r="N1150" t="str">
        <f>IF(Walmart[[#This Row],[Quantity]]&gt;=7,"Bulk",IF(Walmart[[#This Row],[Quantity]]&gt;=2,"Multi","Single"))</f>
        <v>Multi</v>
      </c>
      <c r="O1150">
        <v>0.91</v>
      </c>
      <c r="P1150" t="str">
        <f>IF(Walmart[[#This Row],[Sales]]&gt;=1000,"High Value", IF(Walmart[[#This Row],[Sales]]&gt;=500,"Medium Value","Low Value"))</f>
        <v>Low Value</v>
      </c>
    </row>
    <row r="1151" spans="1:16" hidden="1" x14ac:dyDescent="0.3">
      <c r="A1151" t="s">
        <v>2779</v>
      </c>
      <c r="B1151" s="1">
        <v>41428</v>
      </c>
      <c r="C1151" s="1" t="str">
        <f>TEXT(Walmart[[#This Row],[Order Date]],"mmmm")</f>
        <v>June</v>
      </c>
      <c r="D1151" s="1">
        <v>41432</v>
      </c>
      <c r="E1151" s="1" t="str">
        <f>IF(DATEDIF(Walmart[[#This Row],[Order Date]],Walmart[[#This Row],[Ship Date]],"D")&lt;7,"On time","Delayed")</f>
        <v>On time</v>
      </c>
      <c r="F1151" t="s">
        <v>2002</v>
      </c>
      <c r="G1151" t="s">
        <v>14</v>
      </c>
      <c r="H1151" t="s">
        <v>25</v>
      </c>
      <c r="I1151" t="s">
        <v>26</v>
      </c>
      <c r="J1151" t="s">
        <v>93</v>
      </c>
      <c r="K1151" t="s">
        <v>2780</v>
      </c>
      <c r="L1151">
        <v>30.18</v>
      </c>
      <c r="M1151">
        <v>3</v>
      </c>
      <c r="N1151" t="str">
        <f>IF(Walmart[[#This Row],[Quantity]]&gt;=7,"Bulk",IF(Walmart[[#This Row],[Quantity]]&gt;=2,"Multi","Single"))</f>
        <v>Multi</v>
      </c>
      <c r="O1151">
        <v>13.88</v>
      </c>
      <c r="P1151" t="str">
        <f>IF(Walmart[[#This Row],[Sales]]&gt;=1000,"High Value", IF(Walmart[[#This Row],[Sales]]&gt;=500,"Medium Value","Low Value"))</f>
        <v>Low Value</v>
      </c>
    </row>
    <row r="1152" spans="1:16" x14ac:dyDescent="0.3">
      <c r="A1152" t="s">
        <v>3482</v>
      </c>
      <c r="B1152" s="1">
        <v>41790</v>
      </c>
      <c r="C1152" s="1" t="str">
        <f>TEXT(Walmart[[#This Row],[Order Date]],"mmmm")</f>
        <v>May</v>
      </c>
      <c r="D1152" s="1">
        <v>41794</v>
      </c>
      <c r="E1152" s="1" t="str">
        <f>IF(DATEDIF(Walmart[[#This Row],[Order Date]],Walmart[[#This Row],[Ship Date]],"D")&lt;7,"On time","Delayed")</f>
        <v>On time</v>
      </c>
      <c r="F1152" t="s">
        <v>994</v>
      </c>
      <c r="G1152" t="s">
        <v>14</v>
      </c>
      <c r="H1152" t="s">
        <v>160</v>
      </c>
      <c r="I1152" t="s">
        <v>16</v>
      </c>
      <c r="J1152" t="s">
        <v>38</v>
      </c>
      <c r="K1152" t="s">
        <v>3483</v>
      </c>
      <c r="L1152">
        <v>35.1</v>
      </c>
      <c r="M1152">
        <v>6</v>
      </c>
      <c r="N1152" t="str">
        <f>IF(Walmart[[#This Row],[Quantity]]&gt;=7,"Bulk",IF(Walmart[[#This Row],[Quantity]]&gt;=2,"Multi","Single"))</f>
        <v>Multi</v>
      </c>
      <c r="O1152">
        <v>10.18</v>
      </c>
      <c r="P1152" t="str">
        <f>IF(Walmart[[#This Row],[Sales]]&gt;=1000,"High Value", IF(Walmart[[#This Row],[Sales]]&gt;=500,"Medium Value","Low Value"))</f>
        <v>Low Value</v>
      </c>
    </row>
    <row r="1153" spans="1:16" hidden="1" x14ac:dyDescent="0.3">
      <c r="A1153" t="s">
        <v>2784</v>
      </c>
      <c r="B1153" s="1">
        <v>41032</v>
      </c>
      <c r="C1153" s="1" t="str">
        <f>TEXT(Walmart[[#This Row],[Order Date]],"mmmm")</f>
        <v>May</v>
      </c>
      <c r="D1153" s="1">
        <v>41035</v>
      </c>
      <c r="E1153" s="1" t="str">
        <f>IF(DATEDIF(Walmart[[#This Row],[Order Date]],Walmart[[#This Row],[Ship Date]],"D")&lt;7,"On time","Delayed")</f>
        <v>On time</v>
      </c>
      <c r="F1153" t="s">
        <v>75</v>
      </c>
      <c r="G1153" t="s">
        <v>14</v>
      </c>
      <c r="H1153" t="s">
        <v>37</v>
      </c>
      <c r="I1153" t="s">
        <v>16</v>
      </c>
      <c r="J1153" t="s">
        <v>38</v>
      </c>
      <c r="K1153" t="s">
        <v>2003</v>
      </c>
      <c r="L1153">
        <v>8.82</v>
      </c>
      <c r="M1153">
        <v>3</v>
      </c>
      <c r="N1153" t="str">
        <f>IF(Walmart[[#This Row],[Quantity]]&gt;=7,"Bulk",IF(Walmart[[#This Row],[Quantity]]&gt;=2,"Multi","Single"))</f>
        <v>Multi</v>
      </c>
      <c r="O1153">
        <v>2.56</v>
      </c>
      <c r="P1153" t="str">
        <f>IF(Walmart[[#This Row],[Sales]]&gt;=1000,"High Value", IF(Walmart[[#This Row],[Sales]]&gt;=500,"Medium Value","Low Value"))</f>
        <v>Low Value</v>
      </c>
    </row>
    <row r="1154" spans="1:16" hidden="1" x14ac:dyDescent="0.3">
      <c r="A1154" t="s">
        <v>2785</v>
      </c>
      <c r="B1154" s="1">
        <v>41470</v>
      </c>
      <c r="C1154" s="1" t="str">
        <f>TEXT(Walmart[[#This Row],[Order Date]],"mmmm")</f>
        <v>July</v>
      </c>
      <c r="D1154" s="1">
        <v>41474</v>
      </c>
      <c r="E1154" s="1" t="str">
        <f>IF(DATEDIF(Walmart[[#This Row],[Order Date]],Walmart[[#This Row],[Ship Date]],"D")&lt;7,"On time","Delayed")</f>
        <v>On time</v>
      </c>
      <c r="F1154" t="s">
        <v>2786</v>
      </c>
      <c r="G1154" t="s">
        <v>14</v>
      </c>
      <c r="H1154" t="s">
        <v>37</v>
      </c>
      <c r="I1154" t="s">
        <v>16</v>
      </c>
      <c r="J1154" t="s">
        <v>146</v>
      </c>
      <c r="K1154" t="s">
        <v>2787</v>
      </c>
      <c r="L1154">
        <v>110.38</v>
      </c>
      <c r="M1154">
        <v>3</v>
      </c>
      <c r="N1154" t="str">
        <f>IF(Walmart[[#This Row],[Quantity]]&gt;=7,"Bulk",IF(Walmart[[#This Row],[Quantity]]&gt;=2,"Multi","Single"))</f>
        <v>Multi</v>
      </c>
      <c r="O1154">
        <v>12.42</v>
      </c>
      <c r="P1154" t="str">
        <f>IF(Walmart[[#This Row],[Sales]]&gt;=1000,"High Value", IF(Walmart[[#This Row],[Sales]]&gt;=500,"Medium Value","Low Value"))</f>
        <v>Low Value</v>
      </c>
    </row>
    <row r="1155" spans="1:16" hidden="1" x14ac:dyDescent="0.3">
      <c r="A1155" t="s">
        <v>2788</v>
      </c>
      <c r="B1155" s="1">
        <v>40744</v>
      </c>
      <c r="C1155" s="1" t="str">
        <f>TEXT(Walmart[[#This Row],[Order Date]],"mmmm")</f>
        <v>July</v>
      </c>
      <c r="D1155" s="1">
        <v>40746</v>
      </c>
      <c r="E1155" s="1" t="str">
        <f>IF(DATEDIF(Walmart[[#This Row],[Order Date]],Walmart[[#This Row],[Ship Date]],"D")&lt;7,"On time","Delayed")</f>
        <v>On time</v>
      </c>
      <c r="F1155" t="s">
        <v>2570</v>
      </c>
      <c r="G1155" t="s">
        <v>14</v>
      </c>
      <c r="H1155" t="s">
        <v>37</v>
      </c>
      <c r="I1155" t="s">
        <v>16</v>
      </c>
      <c r="J1155" t="s">
        <v>27</v>
      </c>
      <c r="K1155" t="s">
        <v>275</v>
      </c>
      <c r="L1155">
        <v>89.71</v>
      </c>
      <c r="M1155">
        <v>6</v>
      </c>
      <c r="N1155" t="str">
        <f>IF(Walmart[[#This Row],[Quantity]]&gt;=7,"Bulk",IF(Walmart[[#This Row],[Quantity]]&gt;=2,"Multi","Single"))</f>
        <v>Multi</v>
      </c>
      <c r="O1155">
        <v>30.28</v>
      </c>
      <c r="P1155" t="str">
        <f>IF(Walmart[[#This Row],[Sales]]&gt;=1000,"High Value", IF(Walmart[[#This Row],[Sales]]&gt;=500,"Medium Value","Low Value"))</f>
        <v>Low Value</v>
      </c>
    </row>
    <row r="1156" spans="1:16" hidden="1" x14ac:dyDescent="0.3">
      <c r="A1156" t="s">
        <v>2789</v>
      </c>
      <c r="B1156" s="1">
        <v>40884</v>
      </c>
      <c r="C1156" s="1" t="str">
        <f>TEXT(Walmart[[#This Row],[Order Date]],"mmmm")</f>
        <v>December</v>
      </c>
      <c r="D1156" s="1">
        <v>40887</v>
      </c>
      <c r="E1156" s="1" t="str">
        <f>IF(DATEDIF(Walmart[[#This Row],[Order Date]],Walmart[[#This Row],[Ship Date]],"D")&lt;7,"On time","Delayed")</f>
        <v>On time</v>
      </c>
      <c r="F1156" t="s">
        <v>321</v>
      </c>
      <c r="G1156" t="s">
        <v>14</v>
      </c>
      <c r="H1156" t="s">
        <v>15</v>
      </c>
      <c r="I1156" t="s">
        <v>16</v>
      </c>
      <c r="J1156" t="s">
        <v>38</v>
      </c>
      <c r="K1156" t="s">
        <v>435</v>
      </c>
      <c r="L1156">
        <v>8.64</v>
      </c>
      <c r="M1156">
        <v>3</v>
      </c>
      <c r="N1156" t="str">
        <f>IF(Walmart[[#This Row],[Quantity]]&gt;=7,"Bulk",IF(Walmart[[#This Row],[Quantity]]&gt;=2,"Multi","Single"))</f>
        <v>Multi</v>
      </c>
      <c r="O1156">
        <v>2.42</v>
      </c>
      <c r="P1156" t="str">
        <f>IF(Walmart[[#This Row],[Sales]]&gt;=1000,"High Value", IF(Walmart[[#This Row],[Sales]]&gt;=500,"Medium Value","Low Value"))</f>
        <v>Low Value</v>
      </c>
    </row>
    <row r="1157" spans="1:16" hidden="1" x14ac:dyDescent="0.3">
      <c r="A1157" t="s">
        <v>2790</v>
      </c>
      <c r="B1157" s="1">
        <v>41633</v>
      </c>
      <c r="C1157" s="1" t="str">
        <f>TEXT(Walmart[[#This Row],[Order Date]],"mmmm")</f>
        <v>December</v>
      </c>
      <c r="D1157" s="1">
        <v>41639</v>
      </c>
      <c r="E1157" s="1" t="str">
        <f>IF(DATEDIF(Walmart[[#This Row],[Order Date]],Walmart[[#This Row],[Ship Date]],"D")&lt;7,"On time","Delayed")</f>
        <v>On time</v>
      </c>
      <c r="F1157" t="s">
        <v>2791</v>
      </c>
      <c r="G1157" t="s">
        <v>14</v>
      </c>
      <c r="H1157" t="s">
        <v>109</v>
      </c>
      <c r="I1157" t="s">
        <v>16</v>
      </c>
      <c r="J1157" t="s">
        <v>21</v>
      </c>
      <c r="K1157" t="s">
        <v>2402</v>
      </c>
      <c r="L1157">
        <v>43.96</v>
      </c>
      <c r="M1157">
        <v>7</v>
      </c>
      <c r="N1157" t="str">
        <f>IF(Walmart[[#This Row],[Quantity]]&gt;=7,"Bulk",IF(Walmart[[#This Row],[Quantity]]&gt;=2,"Multi","Single"))</f>
        <v>Bulk</v>
      </c>
      <c r="O1157">
        <v>18.46</v>
      </c>
      <c r="P1157" t="str">
        <f>IF(Walmart[[#This Row],[Sales]]&gt;=1000,"High Value", IF(Walmart[[#This Row],[Sales]]&gt;=500,"Medium Value","Low Value"))</f>
        <v>Low Value</v>
      </c>
    </row>
    <row r="1158" spans="1:16" x14ac:dyDescent="0.3">
      <c r="A1158" t="s">
        <v>3222</v>
      </c>
      <c r="B1158" s="1">
        <v>41788</v>
      </c>
      <c r="C1158" s="1" t="str">
        <f>TEXT(Walmart[[#This Row],[Order Date]],"mmmm")</f>
        <v>May</v>
      </c>
      <c r="D1158" s="1">
        <v>41793</v>
      </c>
      <c r="E1158" s="1" t="str">
        <f>IF(DATEDIF(Walmart[[#This Row],[Order Date]],Walmart[[#This Row],[Ship Date]],"D")&lt;7,"On time","Delayed")</f>
        <v>On time</v>
      </c>
      <c r="F1158" t="s">
        <v>2138</v>
      </c>
      <c r="G1158" t="s">
        <v>14</v>
      </c>
      <c r="H1158" t="s">
        <v>84</v>
      </c>
      <c r="I1158" t="s">
        <v>58</v>
      </c>
      <c r="J1158" t="s">
        <v>146</v>
      </c>
      <c r="K1158" t="s">
        <v>3223</v>
      </c>
      <c r="L1158">
        <v>195.96</v>
      </c>
      <c r="M1158">
        <v>5</v>
      </c>
      <c r="N1158" t="str">
        <f>IF(Walmart[[#This Row],[Quantity]]&gt;=7,"Bulk",IF(Walmart[[#This Row],[Quantity]]&gt;=2,"Multi","Single"))</f>
        <v>Multi</v>
      </c>
      <c r="O1158">
        <v>19.600000000000001</v>
      </c>
      <c r="P1158" t="str">
        <f>IF(Walmart[[#This Row],[Sales]]&gt;=1000,"High Value", IF(Walmart[[#This Row],[Sales]]&gt;=500,"Medium Value","Low Value"))</f>
        <v>Low Value</v>
      </c>
    </row>
    <row r="1159" spans="1:16" x14ac:dyDescent="0.3">
      <c r="A1159" t="s">
        <v>2182</v>
      </c>
      <c r="B1159" s="1">
        <v>41787</v>
      </c>
      <c r="C1159" s="1" t="str">
        <f>TEXT(Walmart[[#This Row],[Order Date]],"mmmm")</f>
        <v>May</v>
      </c>
      <c r="D1159" s="1">
        <v>41791</v>
      </c>
      <c r="E1159" s="1" t="str">
        <f>IF(DATEDIF(Walmart[[#This Row],[Order Date]],Walmart[[#This Row],[Ship Date]],"D")&lt;7,"On time","Delayed")</f>
        <v>On time</v>
      </c>
      <c r="F1159" t="s">
        <v>2183</v>
      </c>
      <c r="G1159" t="s">
        <v>14</v>
      </c>
      <c r="H1159" t="s">
        <v>25</v>
      </c>
      <c r="I1159" t="s">
        <v>26</v>
      </c>
      <c r="J1159" t="s">
        <v>53</v>
      </c>
      <c r="K1159" t="s">
        <v>1491</v>
      </c>
      <c r="L1159">
        <v>98.16</v>
      </c>
      <c r="M1159">
        <v>6</v>
      </c>
      <c r="N1159" t="str">
        <f>IF(Walmart[[#This Row],[Quantity]]&gt;=7,"Bulk",IF(Walmart[[#This Row],[Quantity]]&gt;=2,"Multi","Single"))</f>
        <v>Multi</v>
      </c>
      <c r="O1159">
        <v>9.82</v>
      </c>
      <c r="P1159" t="str">
        <f>IF(Walmart[[#This Row],[Sales]]&gt;=1000,"High Value", IF(Walmart[[#This Row],[Sales]]&gt;=500,"Medium Value","Low Value"))</f>
        <v>Low Value</v>
      </c>
    </row>
    <row r="1160" spans="1:16" x14ac:dyDescent="0.3">
      <c r="A1160" t="s">
        <v>2556</v>
      </c>
      <c r="B1160" s="1">
        <v>41787</v>
      </c>
      <c r="C1160" s="1" t="str">
        <f>TEXT(Walmart[[#This Row],[Order Date]],"mmmm")</f>
        <v>May</v>
      </c>
      <c r="D1160" s="1">
        <v>41789</v>
      </c>
      <c r="E1160" s="1" t="str">
        <f>IF(DATEDIF(Walmart[[#This Row],[Order Date]],Walmart[[#This Row],[Ship Date]],"D")&lt;7,"On time","Delayed")</f>
        <v>On time</v>
      </c>
      <c r="F1160" t="s">
        <v>807</v>
      </c>
      <c r="G1160" t="s">
        <v>14</v>
      </c>
      <c r="H1160" t="s">
        <v>2300</v>
      </c>
      <c r="I1160" t="s">
        <v>1438</v>
      </c>
      <c r="J1160" t="s">
        <v>21</v>
      </c>
      <c r="K1160" t="s">
        <v>1394</v>
      </c>
      <c r="L1160">
        <v>35</v>
      </c>
      <c r="M1160">
        <v>4</v>
      </c>
      <c r="N1160" t="str">
        <f>IF(Walmart[[#This Row],[Quantity]]&gt;=7,"Bulk",IF(Walmart[[#This Row],[Quantity]]&gt;=2,"Multi","Single"))</f>
        <v>Multi</v>
      </c>
      <c r="O1160">
        <v>14.7</v>
      </c>
      <c r="P1160" t="str">
        <f>IF(Walmart[[#This Row],[Sales]]&gt;=1000,"High Value", IF(Walmart[[#This Row],[Sales]]&gt;=500,"Medium Value","Low Value"))</f>
        <v>Low Value</v>
      </c>
    </row>
    <row r="1161" spans="1:16" hidden="1" x14ac:dyDescent="0.3">
      <c r="A1161" t="s">
        <v>2799</v>
      </c>
      <c r="B1161" s="1">
        <v>41064</v>
      </c>
      <c r="C1161" s="1" t="str">
        <f>TEXT(Walmart[[#This Row],[Order Date]],"mmmm")</f>
        <v>June</v>
      </c>
      <c r="D1161" s="1">
        <v>41069</v>
      </c>
      <c r="E1161" s="1" t="str">
        <f>IF(DATEDIF(Walmart[[#This Row],[Order Date]],Walmart[[#This Row],[Ship Date]],"D")&lt;7,"On time","Delayed")</f>
        <v>On time</v>
      </c>
      <c r="F1161" t="s">
        <v>2319</v>
      </c>
      <c r="G1161" t="s">
        <v>14</v>
      </c>
      <c r="H1161" t="s">
        <v>15</v>
      </c>
      <c r="I1161" t="s">
        <v>16</v>
      </c>
      <c r="J1161" t="s">
        <v>53</v>
      </c>
      <c r="K1161" t="s">
        <v>2800</v>
      </c>
      <c r="L1161">
        <v>119.98</v>
      </c>
      <c r="M1161">
        <v>2</v>
      </c>
      <c r="N1161" t="str">
        <f>IF(Walmart[[#This Row],[Quantity]]&gt;=7,"Bulk",IF(Walmart[[#This Row],[Quantity]]&gt;=2,"Multi","Single"))</f>
        <v>Multi</v>
      </c>
      <c r="O1161">
        <v>35.99</v>
      </c>
      <c r="P1161" t="str">
        <f>IF(Walmart[[#This Row],[Sales]]&gt;=1000,"High Value", IF(Walmart[[#This Row],[Sales]]&gt;=500,"Medium Value","Low Value"))</f>
        <v>Low Value</v>
      </c>
    </row>
    <row r="1162" spans="1:16" x14ac:dyDescent="0.3">
      <c r="A1162" t="s">
        <v>3399</v>
      </c>
      <c r="B1162" s="1">
        <v>41786</v>
      </c>
      <c r="C1162" s="1" t="str">
        <f>TEXT(Walmart[[#This Row],[Order Date]],"mmmm")</f>
        <v>May</v>
      </c>
      <c r="D1162" s="1">
        <v>41791</v>
      </c>
      <c r="E1162" s="1" t="str">
        <f>IF(DATEDIF(Walmart[[#This Row],[Order Date]],Walmart[[#This Row],[Ship Date]],"D")&lt;7,"On time","Delayed")</f>
        <v>On time</v>
      </c>
      <c r="F1162" t="s">
        <v>421</v>
      </c>
      <c r="G1162" t="s">
        <v>14</v>
      </c>
      <c r="H1162" t="s">
        <v>491</v>
      </c>
      <c r="I1162" t="s">
        <v>16</v>
      </c>
      <c r="J1162" t="s">
        <v>93</v>
      </c>
      <c r="K1162" t="s">
        <v>3400</v>
      </c>
      <c r="L1162">
        <v>12.96</v>
      </c>
      <c r="M1162">
        <v>2</v>
      </c>
      <c r="N1162" t="str">
        <f>IF(Walmart[[#This Row],[Quantity]]&gt;=7,"Bulk",IF(Walmart[[#This Row],[Quantity]]&gt;=2,"Multi","Single"))</f>
        <v>Multi</v>
      </c>
      <c r="O1162">
        <v>6.22</v>
      </c>
      <c r="P1162" t="str">
        <f>IF(Walmart[[#This Row],[Sales]]&gt;=1000,"High Value", IF(Walmart[[#This Row],[Sales]]&gt;=500,"Medium Value","Low Value"))</f>
        <v>Low Value</v>
      </c>
    </row>
    <row r="1163" spans="1:16" hidden="1" x14ac:dyDescent="0.3">
      <c r="A1163" t="s">
        <v>2804</v>
      </c>
      <c r="B1163" s="1">
        <v>41534</v>
      </c>
      <c r="C1163" s="1" t="str">
        <f>TEXT(Walmart[[#This Row],[Order Date]],"mmmm")</f>
        <v>September</v>
      </c>
      <c r="D1163" s="1">
        <v>41540</v>
      </c>
      <c r="E1163" s="1" t="str">
        <f>IF(DATEDIF(Walmart[[#This Row],[Order Date]],Walmart[[#This Row],[Ship Date]],"D")&lt;7,"On time","Delayed")</f>
        <v>On time</v>
      </c>
      <c r="F1163" t="s">
        <v>2383</v>
      </c>
      <c r="G1163" t="s">
        <v>14</v>
      </c>
      <c r="H1163" t="s">
        <v>109</v>
      </c>
      <c r="I1163" t="s">
        <v>16</v>
      </c>
      <c r="J1163" t="s">
        <v>671</v>
      </c>
      <c r="K1163" t="s">
        <v>2805</v>
      </c>
      <c r="L1163">
        <v>273.67</v>
      </c>
      <c r="M1163">
        <v>2</v>
      </c>
      <c r="N1163" t="str">
        <f>IF(Walmart[[#This Row],[Quantity]]&gt;=7,"Bulk",IF(Walmart[[#This Row],[Quantity]]&gt;=2,"Multi","Single"))</f>
        <v>Multi</v>
      </c>
      <c r="O1163">
        <v>-12.88</v>
      </c>
      <c r="P1163" t="str">
        <f>IF(Walmart[[#This Row],[Sales]]&gt;=1000,"High Value", IF(Walmart[[#This Row],[Sales]]&gt;=500,"Medium Value","Low Value"))</f>
        <v>Low Value</v>
      </c>
    </row>
    <row r="1164" spans="1:16" hidden="1" x14ac:dyDescent="0.3">
      <c r="A1164" t="s">
        <v>2806</v>
      </c>
      <c r="B1164" s="1">
        <v>41226</v>
      </c>
      <c r="C1164" s="1" t="str">
        <f>TEXT(Walmart[[#This Row],[Order Date]],"mmmm")</f>
        <v>November</v>
      </c>
      <c r="D1164" s="1">
        <v>41230</v>
      </c>
      <c r="E1164" s="1" t="str">
        <f>IF(DATEDIF(Walmart[[#This Row],[Order Date]],Walmart[[#This Row],[Ship Date]],"D")&lt;7,"On time","Delayed")</f>
        <v>On time</v>
      </c>
      <c r="F1164" t="s">
        <v>2042</v>
      </c>
      <c r="G1164" t="s">
        <v>14</v>
      </c>
      <c r="H1164" t="s">
        <v>2104</v>
      </c>
      <c r="I1164" t="s">
        <v>286</v>
      </c>
      <c r="J1164" t="s">
        <v>146</v>
      </c>
      <c r="K1164" t="s">
        <v>2771</v>
      </c>
      <c r="L1164">
        <v>339.96</v>
      </c>
      <c r="M1164">
        <v>5</v>
      </c>
      <c r="N1164" t="str">
        <f>IF(Walmart[[#This Row],[Quantity]]&gt;=7,"Bulk",IF(Walmart[[#This Row],[Quantity]]&gt;=2,"Multi","Single"))</f>
        <v>Multi</v>
      </c>
      <c r="O1164">
        <v>42.5</v>
      </c>
      <c r="P1164" t="str">
        <f>IF(Walmart[[#This Row],[Sales]]&gt;=1000,"High Value", IF(Walmart[[#This Row],[Sales]]&gt;=500,"Medium Value","Low Value"))</f>
        <v>Low Value</v>
      </c>
    </row>
    <row r="1165" spans="1:16" hidden="1" x14ac:dyDescent="0.3">
      <c r="A1165" t="s">
        <v>2807</v>
      </c>
      <c r="B1165" s="1">
        <v>41475</v>
      </c>
      <c r="C1165" s="1" t="str">
        <f>TEXT(Walmart[[#This Row],[Order Date]],"mmmm")</f>
        <v>July</v>
      </c>
      <c r="D1165" s="1">
        <v>41477</v>
      </c>
      <c r="E1165" s="1" t="str">
        <f>IF(DATEDIF(Walmart[[#This Row],[Order Date]],Walmart[[#This Row],[Ship Date]],"D")&lt;7,"On time","Delayed")</f>
        <v>On time</v>
      </c>
      <c r="F1165" t="s">
        <v>2030</v>
      </c>
      <c r="G1165" t="s">
        <v>14</v>
      </c>
      <c r="H1165" t="s">
        <v>37</v>
      </c>
      <c r="I1165" t="s">
        <v>16</v>
      </c>
      <c r="J1165" t="s">
        <v>146</v>
      </c>
      <c r="K1165" t="s">
        <v>2808</v>
      </c>
      <c r="L1165">
        <v>35.979999999999997</v>
      </c>
      <c r="M1165">
        <v>2</v>
      </c>
      <c r="N1165" t="str">
        <f>IF(Walmart[[#This Row],[Quantity]]&gt;=7,"Bulk",IF(Walmart[[#This Row],[Quantity]]&gt;=2,"Multi","Single"))</f>
        <v>Multi</v>
      </c>
      <c r="O1165">
        <v>4.5</v>
      </c>
      <c r="P1165" t="str">
        <f>IF(Walmart[[#This Row],[Sales]]&gt;=1000,"High Value", IF(Walmart[[#This Row],[Sales]]&gt;=500,"Medium Value","Low Value"))</f>
        <v>Low Value</v>
      </c>
    </row>
    <row r="1166" spans="1:16" hidden="1" x14ac:dyDescent="0.3">
      <c r="A1166" t="s">
        <v>2809</v>
      </c>
      <c r="B1166" s="1">
        <v>41409</v>
      </c>
      <c r="C1166" s="1" t="str">
        <f>TEXT(Walmart[[#This Row],[Order Date]],"mmmm")</f>
        <v>May</v>
      </c>
      <c r="D1166" s="1">
        <v>41409</v>
      </c>
      <c r="E1166" s="1" t="str">
        <f>IF(DATEDIF(Walmart[[#This Row],[Order Date]],Walmart[[#This Row],[Ship Date]],"D")&lt;7,"On time","Delayed")</f>
        <v>On time</v>
      </c>
      <c r="F1166" t="s">
        <v>1801</v>
      </c>
      <c r="G1166" t="s">
        <v>14</v>
      </c>
      <c r="H1166" t="s">
        <v>1984</v>
      </c>
      <c r="I1166" t="s">
        <v>58</v>
      </c>
      <c r="J1166" t="s">
        <v>53</v>
      </c>
      <c r="K1166" t="s">
        <v>932</v>
      </c>
      <c r="L1166">
        <v>185.53</v>
      </c>
      <c r="M1166">
        <v>7</v>
      </c>
      <c r="N1166" t="str">
        <f>IF(Walmart[[#This Row],[Quantity]]&gt;=7,"Bulk",IF(Walmart[[#This Row],[Quantity]]&gt;=2,"Multi","Single"))</f>
        <v>Bulk</v>
      </c>
      <c r="O1166">
        <v>48.7</v>
      </c>
      <c r="P1166" t="str">
        <f>IF(Walmart[[#This Row],[Sales]]&gt;=1000,"High Value", IF(Walmart[[#This Row],[Sales]]&gt;=500,"Medium Value","Low Value"))</f>
        <v>Low Value</v>
      </c>
    </row>
    <row r="1167" spans="1:16" x14ac:dyDescent="0.3">
      <c r="A1167" t="s">
        <v>1871</v>
      </c>
      <c r="B1167" s="1">
        <v>41783</v>
      </c>
      <c r="C1167" s="1" t="str">
        <f>TEXT(Walmart[[#This Row],[Order Date]],"mmmm")</f>
        <v>May</v>
      </c>
      <c r="D1167" s="1">
        <v>41789</v>
      </c>
      <c r="E1167" s="1" t="str">
        <f>IF(DATEDIF(Walmart[[#This Row],[Order Date]],Walmart[[#This Row],[Ship Date]],"D")&lt;7,"On time","Delayed")</f>
        <v>On time</v>
      </c>
      <c r="F1167" t="s">
        <v>1872</v>
      </c>
      <c r="G1167" t="s">
        <v>14</v>
      </c>
      <c r="H1167" t="s">
        <v>15</v>
      </c>
      <c r="I1167" t="s">
        <v>16</v>
      </c>
      <c r="J1167" t="s">
        <v>43</v>
      </c>
      <c r="K1167" t="s">
        <v>1431</v>
      </c>
      <c r="L1167">
        <v>171.29</v>
      </c>
      <c r="M1167">
        <v>3</v>
      </c>
      <c r="N1167" t="str">
        <f>IF(Walmart[[#This Row],[Quantity]]&gt;=7,"Bulk",IF(Walmart[[#This Row],[Quantity]]&gt;=2,"Multi","Single"))</f>
        <v>Multi</v>
      </c>
      <c r="O1167">
        <v>-6.42</v>
      </c>
      <c r="P1167" t="str">
        <f>IF(Walmart[[#This Row],[Sales]]&gt;=1000,"High Value", IF(Walmart[[#This Row],[Sales]]&gt;=500,"Medium Value","Low Value"))</f>
        <v>Low Value</v>
      </c>
    </row>
    <row r="1168" spans="1:16" x14ac:dyDescent="0.3">
      <c r="A1168" t="s">
        <v>2559</v>
      </c>
      <c r="B1168" s="1">
        <v>41782</v>
      </c>
      <c r="C1168" s="1" t="str">
        <f>TEXT(Walmart[[#This Row],[Order Date]],"mmmm")</f>
        <v>May</v>
      </c>
      <c r="D1168" s="1">
        <v>41785</v>
      </c>
      <c r="E1168" s="1" t="str">
        <f>IF(DATEDIF(Walmart[[#This Row],[Order Date]],Walmart[[#This Row],[Ship Date]],"D")&lt;7,"On time","Delayed")</f>
        <v>On time</v>
      </c>
      <c r="F1168" t="s">
        <v>46</v>
      </c>
      <c r="G1168" t="s">
        <v>14</v>
      </c>
      <c r="H1168" t="s">
        <v>15</v>
      </c>
      <c r="I1168" t="s">
        <v>16</v>
      </c>
      <c r="J1168" t="s">
        <v>53</v>
      </c>
      <c r="K1168" t="s">
        <v>2560</v>
      </c>
      <c r="L1168">
        <v>68.459999999999994</v>
      </c>
      <c r="M1168">
        <v>7</v>
      </c>
      <c r="N1168" t="str">
        <f>IF(Walmart[[#This Row],[Quantity]]&gt;=7,"Bulk",IF(Walmart[[#This Row],[Quantity]]&gt;=2,"Multi","Single"))</f>
        <v>Bulk</v>
      </c>
      <c r="O1168">
        <v>25.33</v>
      </c>
      <c r="P1168" t="str">
        <f>IF(Walmart[[#This Row],[Sales]]&gt;=1000,"High Value", IF(Walmart[[#This Row],[Sales]]&gt;=500,"Medium Value","Low Value"))</f>
        <v>Low Value</v>
      </c>
    </row>
    <row r="1169" spans="1:16" hidden="1" x14ac:dyDescent="0.3">
      <c r="A1169" t="s">
        <v>2814</v>
      </c>
      <c r="B1169" s="1">
        <v>41304</v>
      </c>
      <c r="C1169" s="1" t="str">
        <f>TEXT(Walmart[[#This Row],[Order Date]],"mmmm")</f>
        <v>January</v>
      </c>
      <c r="D1169" s="1">
        <v>41305</v>
      </c>
      <c r="E1169" s="1" t="str">
        <f>IF(DATEDIF(Walmart[[#This Row],[Order Date]],Walmart[[#This Row],[Ship Date]],"D")&lt;7,"On time","Delayed")</f>
        <v>On time</v>
      </c>
      <c r="F1169" t="s">
        <v>843</v>
      </c>
      <c r="G1169" t="s">
        <v>14</v>
      </c>
      <c r="H1169" t="s">
        <v>37</v>
      </c>
      <c r="I1169" t="s">
        <v>16</v>
      </c>
      <c r="J1169" t="s">
        <v>33</v>
      </c>
      <c r="K1169" t="s">
        <v>1389</v>
      </c>
      <c r="L1169">
        <v>305.01</v>
      </c>
      <c r="M1169">
        <v>9</v>
      </c>
      <c r="N1169" t="str">
        <f>IF(Walmart[[#This Row],[Quantity]]&gt;=7,"Bulk",IF(Walmart[[#This Row],[Quantity]]&gt;=2,"Multi","Single"))</f>
        <v>Bulk</v>
      </c>
      <c r="O1169">
        <v>76.25</v>
      </c>
      <c r="P1169" t="str">
        <f>IF(Walmart[[#This Row],[Sales]]&gt;=1000,"High Value", IF(Walmart[[#This Row],[Sales]]&gt;=500,"Medium Value","Low Value"))</f>
        <v>Low Value</v>
      </c>
    </row>
    <row r="1170" spans="1:16" hidden="1" x14ac:dyDescent="0.3">
      <c r="A1170" t="s">
        <v>2815</v>
      </c>
      <c r="B1170" s="1">
        <v>41297</v>
      </c>
      <c r="C1170" s="1" t="str">
        <f>TEXT(Walmart[[#This Row],[Order Date]],"mmmm")</f>
        <v>January</v>
      </c>
      <c r="D1170" s="1">
        <v>41303</v>
      </c>
      <c r="E1170" s="1" t="str">
        <f>IF(DATEDIF(Walmart[[#This Row],[Order Date]],Walmart[[#This Row],[Ship Date]],"D")&lt;7,"On time","Delayed")</f>
        <v>On time</v>
      </c>
      <c r="F1170" t="s">
        <v>2816</v>
      </c>
      <c r="G1170" t="s">
        <v>14</v>
      </c>
      <c r="H1170" t="s">
        <v>15</v>
      </c>
      <c r="I1170" t="s">
        <v>16</v>
      </c>
      <c r="J1170" t="s">
        <v>21</v>
      </c>
      <c r="K1170" t="s">
        <v>2817</v>
      </c>
      <c r="L1170">
        <v>59.99</v>
      </c>
      <c r="M1170">
        <v>7</v>
      </c>
      <c r="N1170" t="str">
        <f>IF(Walmart[[#This Row],[Quantity]]&gt;=7,"Bulk",IF(Walmart[[#This Row],[Quantity]]&gt;=2,"Multi","Single"))</f>
        <v>Bulk</v>
      </c>
      <c r="O1170">
        <v>21.6</v>
      </c>
      <c r="P1170" t="str">
        <f>IF(Walmart[[#This Row],[Sales]]&gt;=1000,"High Value", IF(Walmart[[#This Row],[Sales]]&gt;=500,"Medium Value","Low Value"))</f>
        <v>Low Value</v>
      </c>
    </row>
    <row r="1171" spans="1:16" hidden="1" x14ac:dyDescent="0.3">
      <c r="A1171" t="s">
        <v>2818</v>
      </c>
      <c r="B1171" s="1">
        <v>41055</v>
      </c>
      <c r="C1171" s="1" t="str">
        <f>TEXT(Walmart[[#This Row],[Order Date]],"mmmm")</f>
        <v>May</v>
      </c>
      <c r="D1171" s="1">
        <v>41060</v>
      </c>
      <c r="E1171" s="1" t="str">
        <f>IF(DATEDIF(Walmart[[#This Row],[Order Date]],Walmart[[#This Row],[Ship Date]],"D")&lt;7,"On time","Delayed")</f>
        <v>On time</v>
      </c>
      <c r="F1171" t="s">
        <v>121</v>
      </c>
      <c r="G1171" t="s">
        <v>14</v>
      </c>
      <c r="H1171" t="s">
        <v>770</v>
      </c>
      <c r="I1171" t="s">
        <v>26</v>
      </c>
      <c r="J1171" t="s">
        <v>21</v>
      </c>
      <c r="K1171" t="s">
        <v>2819</v>
      </c>
      <c r="L1171">
        <v>20.239999999999998</v>
      </c>
      <c r="M1171">
        <v>1</v>
      </c>
      <c r="N1171" t="str">
        <f>IF(Walmart[[#This Row],[Quantity]]&gt;=7,"Bulk",IF(Walmart[[#This Row],[Quantity]]&gt;=2,"Multi","Single"))</f>
        <v>Single</v>
      </c>
      <c r="O1171">
        <v>7.89</v>
      </c>
      <c r="P1171" t="str">
        <f>IF(Walmart[[#This Row],[Sales]]&gt;=1000,"High Value", IF(Walmart[[#This Row],[Sales]]&gt;=500,"Medium Value","Low Value"))</f>
        <v>Low Value</v>
      </c>
    </row>
    <row r="1172" spans="1:16" hidden="1" x14ac:dyDescent="0.3">
      <c r="A1172" t="s">
        <v>2820</v>
      </c>
      <c r="B1172" s="1">
        <v>41584</v>
      </c>
      <c r="C1172" s="1" t="str">
        <f>TEXT(Walmart[[#This Row],[Order Date]],"mmmm")</f>
        <v>November</v>
      </c>
      <c r="D1172" s="1">
        <v>41586</v>
      </c>
      <c r="E1172" s="1" t="str">
        <f>IF(DATEDIF(Walmart[[#This Row],[Order Date]],Walmart[[#This Row],[Ship Date]],"D")&lt;7,"On time","Delayed")</f>
        <v>On time</v>
      </c>
      <c r="F1172" t="s">
        <v>156</v>
      </c>
      <c r="G1172" t="s">
        <v>14</v>
      </c>
      <c r="H1172" t="s">
        <v>109</v>
      </c>
      <c r="I1172" t="s">
        <v>16</v>
      </c>
      <c r="J1172" t="s">
        <v>53</v>
      </c>
      <c r="K1172" t="s">
        <v>2821</v>
      </c>
      <c r="L1172">
        <v>72</v>
      </c>
      <c r="M1172">
        <v>4</v>
      </c>
      <c r="N1172" t="str">
        <f>IF(Walmart[[#This Row],[Quantity]]&gt;=7,"Bulk",IF(Walmart[[#This Row],[Quantity]]&gt;=2,"Multi","Single"))</f>
        <v>Multi</v>
      </c>
      <c r="O1172">
        <v>12.96</v>
      </c>
      <c r="P1172" t="str">
        <f>IF(Walmart[[#This Row],[Sales]]&gt;=1000,"High Value", IF(Walmart[[#This Row],[Sales]]&gt;=500,"Medium Value","Low Value"))</f>
        <v>Low Value</v>
      </c>
    </row>
    <row r="1173" spans="1:16" x14ac:dyDescent="0.3">
      <c r="A1173" t="s">
        <v>2794</v>
      </c>
      <c r="B1173" s="1">
        <v>41782</v>
      </c>
      <c r="C1173" s="1" t="str">
        <f>TEXT(Walmart[[#This Row],[Order Date]],"mmmm")</f>
        <v>May</v>
      </c>
      <c r="D1173" s="1">
        <v>41785</v>
      </c>
      <c r="E1173" s="1" t="str">
        <f>IF(DATEDIF(Walmart[[#This Row],[Order Date]],Walmart[[#This Row],[Ship Date]],"D")&lt;7,"On time","Delayed")</f>
        <v>On time</v>
      </c>
      <c r="F1173" t="s">
        <v>2795</v>
      </c>
      <c r="G1173" t="s">
        <v>14</v>
      </c>
      <c r="H1173" t="s">
        <v>15</v>
      </c>
      <c r="I1173" t="s">
        <v>16</v>
      </c>
      <c r="J1173" t="s">
        <v>38</v>
      </c>
      <c r="K1173" t="s">
        <v>1839</v>
      </c>
      <c r="L1173">
        <v>49.56</v>
      </c>
      <c r="M1173">
        <v>7</v>
      </c>
      <c r="N1173" t="str">
        <f>IF(Walmart[[#This Row],[Quantity]]&gt;=7,"Bulk",IF(Walmart[[#This Row],[Quantity]]&gt;=2,"Multi","Single"))</f>
        <v>Bulk</v>
      </c>
      <c r="O1173">
        <v>18.829999999999998</v>
      </c>
      <c r="P1173" t="str">
        <f>IF(Walmart[[#This Row],[Sales]]&gt;=1000,"High Value", IF(Walmart[[#This Row],[Sales]]&gt;=500,"Medium Value","Low Value"))</f>
        <v>Low Value</v>
      </c>
    </row>
    <row r="1174" spans="1:16" x14ac:dyDescent="0.3">
      <c r="A1174" t="s">
        <v>3348</v>
      </c>
      <c r="B1174" s="1">
        <v>41782</v>
      </c>
      <c r="C1174" s="1" t="str">
        <f>TEXT(Walmart[[#This Row],[Order Date]],"mmmm")</f>
        <v>May</v>
      </c>
      <c r="D1174" s="1">
        <v>41786</v>
      </c>
      <c r="E1174" s="1" t="str">
        <f>IF(DATEDIF(Walmart[[#This Row],[Order Date]],Walmart[[#This Row],[Ship Date]],"D")&lt;7,"On time","Delayed")</f>
        <v>On time</v>
      </c>
      <c r="F1174" t="s">
        <v>1609</v>
      </c>
      <c r="G1174" t="s">
        <v>14</v>
      </c>
      <c r="H1174" t="s">
        <v>37</v>
      </c>
      <c r="I1174" t="s">
        <v>16</v>
      </c>
      <c r="J1174" t="s">
        <v>38</v>
      </c>
      <c r="K1174" t="s">
        <v>3349</v>
      </c>
      <c r="L1174">
        <v>9.84</v>
      </c>
      <c r="M1174">
        <v>3</v>
      </c>
      <c r="N1174" t="str">
        <f>IF(Walmart[[#This Row],[Quantity]]&gt;=7,"Bulk",IF(Walmart[[#This Row],[Quantity]]&gt;=2,"Multi","Single"))</f>
        <v>Multi</v>
      </c>
      <c r="O1174">
        <v>2.85</v>
      </c>
      <c r="P1174" t="str">
        <f>IF(Walmart[[#This Row],[Sales]]&gt;=1000,"High Value", IF(Walmart[[#This Row],[Sales]]&gt;=500,"Medium Value","Low Value"))</f>
        <v>Low Value</v>
      </c>
    </row>
    <row r="1175" spans="1:16" hidden="1" x14ac:dyDescent="0.3">
      <c r="A1175" t="s">
        <v>2827</v>
      </c>
      <c r="B1175" s="1">
        <v>40620</v>
      </c>
      <c r="C1175" s="1" t="str">
        <f>TEXT(Walmart[[#This Row],[Order Date]],"mmmm")</f>
        <v>March</v>
      </c>
      <c r="D1175" s="1">
        <v>40626</v>
      </c>
      <c r="E1175" s="1" t="str">
        <f>IF(DATEDIF(Walmart[[#This Row],[Order Date]],Walmart[[#This Row],[Ship Date]],"D")&lt;7,"On time","Delayed")</f>
        <v>On time</v>
      </c>
      <c r="F1175" t="s">
        <v>2045</v>
      </c>
      <c r="G1175" t="s">
        <v>14</v>
      </c>
      <c r="H1175" t="s">
        <v>2828</v>
      </c>
      <c r="I1175" t="s">
        <v>16</v>
      </c>
      <c r="J1175" t="s">
        <v>21</v>
      </c>
      <c r="K1175" t="s">
        <v>2496</v>
      </c>
      <c r="L1175">
        <v>111</v>
      </c>
      <c r="M1175">
        <v>2</v>
      </c>
      <c r="N1175" t="str">
        <f>IF(Walmart[[#This Row],[Quantity]]&gt;=7,"Bulk",IF(Walmart[[#This Row],[Quantity]]&gt;=2,"Multi","Single"))</f>
        <v>Multi</v>
      </c>
      <c r="O1175">
        <v>14.43</v>
      </c>
      <c r="P1175" t="str">
        <f>IF(Walmart[[#This Row],[Sales]]&gt;=1000,"High Value", IF(Walmart[[#This Row],[Sales]]&gt;=500,"Medium Value","Low Value"))</f>
        <v>Low Value</v>
      </c>
    </row>
    <row r="1176" spans="1:16" x14ac:dyDescent="0.3">
      <c r="A1176" t="s">
        <v>2443</v>
      </c>
      <c r="B1176" s="1">
        <v>41780</v>
      </c>
      <c r="C1176" s="1" t="str">
        <f>TEXT(Walmart[[#This Row],[Order Date]],"mmmm")</f>
        <v>May</v>
      </c>
      <c r="D1176" s="1">
        <v>41784</v>
      </c>
      <c r="E1176" s="1" t="str">
        <f>IF(DATEDIF(Walmart[[#This Row],[Order Date]],Walmart[[#This Row],[Ship Date]],"D")&lt;7,"On time","Delayed")</f>
        <v>On time</v>
      </c>
      <c r="F1176" t="s">
        <v>625</v>
      </c>
      <c r="G1176" t="s">
        <v>14</v>
      </c>
      <c r="H1176" t="s">
        <v>1702</v>
      </c>
      <c r="I1176" t="s">
        <v>16</v>
      </c>
      <c r="J1176" t="s">
        <v>88</v>
      </c>
      <c r="K1176" t="s">
        <v>252</v>
      </c>
      <c r="L1176">
        <v>518.27</v>
      </c>
      <c r="M1176">
        <v>8</v>
      </c>
      <c r="N1176" t="str">
        <f>IF(Walmart[[#This Row],[Quantity]]&gt;=7,"Bulk",IF(Walmart[[#This Row],[Quantity]]&gt;=2,"Multi","Single"))</f>
        <v>Bulk</v>
      </c>
      <c r="O1176">
        <v>-97.18</v>
      </c>
      <c r="P1176" t="str">
        <f>IF(Walmart[[#This Row],[Sales]]&gt;=1000,"High Value", IF(Walmart[[#This Row],[Sales]]&gt;=500,"Medium Value","Low Value"))</f>
        <v>Medium Value</v>
      </c>
    </row>
    <row r="1177" spans="1:16" x14ac:dyDescent="0.3">
      <c r="A1177" t="s">
        <v>3315</v>
      </c>
      <c r="B1177" s="1">
        <v>41780</v>
      </c>
      <c r="C1177" s="1" t="str">
        <f>TEXT(Walmart[[#This Row],[Order Date]],"mmmm")</f>
        <v>May</v>
      </c>
      <c r="D1177" s="1">
        <v>41786</v>
      </c>
      <c r="E1177" s="1" t="str">
        <f>IF(DATEDIF(Walmart[[#This Row],[Order Date]],Walmart[[#This Row],[Ship Date]],"D")&lt;7,"On time","Delayed")</f>
        <v>On time</v>
      </c>
      <c r="F1177" t="s">
        <v>791</v>
      </c>
      <c r="G1177" t="s">
        <v>14</v>
      </c>
      <c r="H1177" t="s">
        <v>226</v>
      </c>
      <c r="I1177" t="s">
        <v>227</v>
      </c>
      <c r="J1177" t="s">
        <v>27</v>
      </c>
      <c r="K1177" t="s">
        <v>3111</v>
      </c>
      <c r="L1177">
        <v>8.2899999999999991</v>
      </c>
      <c r="M1177">
        <v>2</v>
      </c>
      <c r="N1177" t="str">
        <f>IF(Walmart[[#This Row],[Quantity]]&gt;=7,"Bulk",IF(Walmart[[#This Row],[Quantity]]&gt;=2,"Multi","Single"))</f>
        <v>Multi</v>
      </c>
      <c r="O1177">
        <v>3</v>
      </c>
      <c r="P1177" t="str">
        <f>IF(Walmart[[#This Row],[Sales]]&gt;=1000,"High Value", IF(Walmart[[#This Row],[Sales]]&gt;=500,"Medium Value","Low Value"))</f>
        <v>Low Value</v>
      </c>
    </row>
    <row r="1178" spans="1:16" x14ac:dyDescent="0.3">
      <c r="A1178" t="s">
        <v>346</v>
      </c>
      <c r="B1178" s="1">
        <v>41779</v>
      </c>
      <c r="C1178" s="1" t="str">
        <f>TEXT(Walmart[[#This Row],[Order Date]],"mmmm")</f>
        <v>May</v>
      </c>
      <c r="D1178" s="1">
        <v>41783</v>
      </c>
      <c r="E1178" s="1" t="str">
        <f>IF(DATEDIF(Walmart[[#This Row],[Order Date]],Walmart[[#This Row],[Ship Date]],"D")&lt;7,"On time","Delayed")</f>
        <v>On time</v>
      </c>
      <c r="F1178" t="s">
        <v>347</v>
      </c>
      <c r="G1178" t="s">
        <v>14</v>
      </c>
      <c r="H1178" t="s">
        <v>25</v>
      </c>
      <c r="I1178" t="s">
        <v>26</v>
      </c>
      <c r="J1178" t="s">
        <v>105</v>
      </c>
      <c r="K1178" t="s">
        <v>348</v>
      </c>
      <c r="L1178">
        <v>97.16</v>
      </c>
      <c r="M1178">
        <v>2</v>
      </c>
      <c r="N1178" t="str">
        <f>IF(Walmart[[#This Row],[Quantity]]&gt;=7,"Bulk",IF(Walmart[[#This Row],[Quantity]]&gt;=2,"Multi","Single"))</f>
        <v>Multi</v>
      </c>
      <c r="O1178">
        <v>28.18</v>
      </c>
      <c r="P1178" t="str">
        <f>IF(Walmart[[#This Row],[Sales]]&gt;=1000,"High Value", IF(Walmart[[#This Row],[Sales]]&gt;=500,"Medium Value","Low Value"))</f>
        <v>Low Value</v>
      </c>
    </row>
    <row r="1179" spans="1:16" hidden="1" x14ac:dyDescent="0.3">
      <c r="A1179" t="s">
        <v>2835</v>
      </c>
      <c r="B1179" s="1">
        <v>41557</v>
      </c>
      <c r="C1179" s="1" t="str">
        <f>TEXT(Walmart[[#This Row],[Order Date]],"mmmm")</f>
        <v>October</v>
      </c>
      <c r="D1179" s="1">
        <v>41562</v>
      </c>
      <c r="E1179" s="1" t="str">
        <f>IF(DATEDIF(Walmart[[#This Row],[Order Date]],Walmart[[#This Row],[Ship Date]],"D")&lt;7,"On time","Delayed")</f>
        <v>On time</v>
      </c>
      <c r="F1179" t="s">
        <v>1096</v>
      </c>
      <c r="G1179" t="s">
        <v>14</v>
      </c>
      <c r="H1179" t="s">
        <v>84</v>
      </c>
      <c r="I1179" t="s">
        <v>58</v>
      </c>
      <c r="J1179" t="s">
        <v>38</v>
      </c>
      <c r="K1179" t="s">
        <v>771</v>
      </c>
      <c r="L1179">
        <v>1.41</v>
      </c>
      <c r="M1179">
        <v>1</v>
      </c>
      <c r="N1179" t="str">
        <f>IF(Walmart[[#This Row],[Quantity]]&gt;=7,"Bulk",IF(Walmart[[#This Row],[Quantity]]&gt;=2,"Multi","Single"))</f>
        <v>Single</v>
      </c>
      <c r="O1179">
        <v>0.16</v>
      </c>
      <c r="P1179" t="str">
        <f>IF(Walmart[[#This Row],[Sales]]&gt;=1000,"High Value", IF(Walmart[[#This Row],[Sales]]&gt;=500,"Medium Value","Low Value"))</f>
        <v>Low Value</v>
      </c>
    </row>
    <row r="1180" spans="1:16" hidden="1" x14ac:dyDescent="0.3">
      <c r="A1180" t="s">
        <v>2836</v>
      </c>
      <c r="B1180" s="1">
        <v>41377</v>
      </c>
      <c r="C1180" s="1" t="str">
        <f>TEXT(Walmart[[#This Row],[Order Date]],"mmmm")</f>
        <v>April</v>
      </c>
      <c r="D1180" s="1">
        <v>41379</v>
      </c>
      <c r="E1180" s="1" t="str">
        <f>IF(DATEDIF(Walmart[[#This Row],[Order Date]],Walmart[[#This Row],[Ship Date]],"D")&lt;7,"On time","Delayed")</f>
        <v>On time</v>
      </c>
      <c r="F1180" t="s">
        <v>1248</v>
      </c>
      <c r="G1180" t="s">
        <v>14</v>
      </c>
      <c r="H1180" t="s">
        <v>15</v>
      </c>
      <c r="I1180" t="s">
        <v>16</v>
      </c>
      <c r="J1180" t="s">
        <v>93</v>
      </c>
      <c r="K1180" t="s">
        <v>2837</v>
      </c>
      <c r="L1180">
        <v>19.440000000000001</v>
      </c>
      <c r="M1180">
        <v>3</v>
      </c>
      <c r="N1180" t="str">
        <f>IF(Walmart[[#This Row],[Quantity]]&gt;=7,"Bulk",IF(Walmart[[#This Row],[Quantity]]&gt;=2,"Multi","Single"))</f>
        <v>Multi</v>
      </c>
      <c r="O1180">
        <v>9.33</v>
      </c>
      <c r="P1180" t="str">
        <f>IF(Walmart[[#This Row],[Sales]]&gt;=1000,"High Value", IF(Walmart[[#This Row],[Sales]]&gt;=500,"Medium Value","Low Value"))</f>
        <v>Low Value</v>
      </c>
    </row>
    <row r="1181" spans="1:16" x14ac:dyDescent="0.3">
      <c r="A1181" t="s">
        <v>1601</v>
      </c>
      <c r="B1181" s="1">
        <v>41779</v>
      </c>
      <c r="C1181" s="1" t="str">
        <f>TEXT(Walmart[[#This Row],[Order Date]],"mmmm")</f>
        <v>May</v>
      </c>
      <c r="D1181" s="1">
        <v>41781</v>
      </c>
      <c r="E1181" s="1" t="str">
        <f>IF(DATEDIF(Walmart[[#This Row],[Order Date]],Walmart[[#This Row],[Ship Date]],"D")&lt;7,"On time","Delayed")</f>
        <v>On time</v>
      </c>
      <c r="F1181" t="s">
        <v>1118</v>
      </c>
      <c r="G1181" t="s">
        <v>14</v>
      </c>
      <c r="H1181" t="s">
        <v>37</v>
      </c>
      <c r="I1181" t="s">
        <v>16</v>
      </c>
      <c r="J1181" t="s">
        <v>88</v>
      </c>
      <c r="K1181" t="s">
        <v>423</v>
      </c>
      <c r="L1181">
        <v>681.41</v>
      </c>
      <c r="M1181">
        <v>12</v>
      </c>
      <c r="N1181" t="str">
        <f>IF(Walmart[[#This Row],[Quantity]]&gt;=7,"Bulk",IF(Walmart[[#This Row],[Quantity]]&gt;=2,"Multi","Single"))</f>
        <v>Bulk</v>
      </c>
      <c r="O1181">
        <v>42.59</v>
      </c>
      <c r="P1181" t="str">
        <f>IF(Walmart[[#This Row],[Sales]]&gt;=1000,"High Value", IF(Walmart[[#This Row],[Sales]]&gt;=500,"Medium Value","Low Value"))</f>
        <v>Medium Value</v>
      </c>
    </row>
    <row r="1182" spans="1:16" x14ac:dyDescent="0.3">
      <c r="A1182" t="s">
        <v>2543</v>
      </c>
      <c r="B1182" s="1">
        <v>41779</v>
      </c>
      <c r="C1182" s="1" t="str">
        <f>TEXT(Walmart[[#This Row],[Order Date]],"mmmm")</f>
        <v>May</v>
      </c>
      <c r="D1182" s="1">
        <v>41784</v>
      </c>
      <c r="E1182" s="1" t="str">
        <f>IF(DATEDIF(Walmart[[#This Row],[Order Date]],Walmart[[#This Row],[Ship Date]],"D")&lt;7,"On time","Delayed")</f>
        <v>On time</v>
      </c>
      <c r="F1182" t="s">
        <v>884</v>
      </c>
      <c r="G1182" t="s">
        <v>14</v>
      </c>
      <c r="H1182" t="s">
        <v>109</v>
      </c>
      <c r="I1182" t="s">
        <v>16</v>
      </c>
      <c r="J1182" t="s">
        <v>27</v>
      </c>
      <c r="K1182" t="s">
        <v>956</v>
      </c>
      <c r="L1182">
        <v>133.12</v>
      </c>
      <c r="M1182">
        <v>5</v>
      </c>
      <c r="N1182" t="str">
        <f>IF(Walmart[[#This Row],[Quantity]]&gt;=7,"Bulk",IF(Walmart[[#This Row],[Quantity]]&gt;=2,"Multi","Single"))</f>
        <v>Multi</v>
      </c>
      <c r="O1182">
        <v>49.92</v>
      </c>
      <c r="P1182" t="str">
        <f>IF(Walmart[[#This Row],[Sales]]&gt;=1000,"High Value", IF(Walmart[[#This Row],[Sales]]&gt;=500,"Medium Value","Low Value"))</f>
        <v>Low Value</v>
      </c>
    </row>
    <row r="1183" spans="1:16" hidden="1" x14ac:dyDescent="0.3">
      <c r="A1183" t="s">
        <v>2841</v>
      </c>
      <c r="B1183" s="1">
        <v>40805</v>
      </c>
      <c r="C1183" s="1" t="str">
        <f>TEXT(Walmart[[#This Row],[Order Date]],"mmmm")</f>
        <v>September</v>
      </c>
      <c r="D1183" s="1">
        <v>40809</v>
      </c>
      <c r="E1183" s="1" t="str">
        <f>IF(DATEDIF(Walmart[[#This Row],[Order Date]],Walmart[[#This Row],[Ship Date]],"D")&lt;7,"On time","Delayed")</f>
        <v>On time</v>
      </c>
      <c r="F1183" t="s">
        <v>1885</v>
      </c>
      <c r="G1183" t="s">
        <v>14</v>
      </c>
      <c r="H1183" t="s">
        <v>25</v>
      </c>
      <c r="I1183" t="s">
        <v>26</v>
      </c>
      <c r="J1183" t="s">
        <v>33</v>
      </c>
      <c r="K1183" t="s">
        <v>2842</v>
      </c>
      <c r="L1183">
        <v>92.52</v>
      </c>
      <c r="M1183">
        <v>6</v>
      </c>
      <c r="N1183" t="str">
        <f>IF(Walmart[[#This Row],[Quantity]]&gt;=7,"Bulk",IF(Walmart[[#This Row],[Quantity]]&gt;=2,"Multi","Single"))</f>
        <v>Multi</v>
      </c>
      <c r="O1183">
        <v>24.98</v>
      </c>
      <c r="P1183" t="str">
        <f>IF(Walmart[[#This Row],[Sales]]&gt;=1000,"High Value", IF(Walmart[[#This Row],[Sales]]&gt;=500,"Medium Value","Low Value"))</f>
        <v>Low Value</v>
      </c>
    </row>
    <row r="1184" spans="1:16" x14ac:dyDescent="0.3">
      <c r="A1184" t="s">
        <v>1939</v>
      </c>
      <c r="B1184" s="1">
        <v>41778</v>
      </c>
      <c r="C1184" s="1" t="str">
        <f>TEXT(Walmart[[#This Row],[Order Date]],"mmmm")</f>
        <v>May</v>
      </c>
      <c r="D1184" s="1">
        <v>41780</v>
      </c>
      <c r="E1184" s="1" t="str">
        <f>IF(DATEDIF(Walmart[[#This Row],[Order Date]],Walmart[[#This Row],[Ship Date]],"D")&lt;7,"On time","Delayed")</f>
        <v>On time</v>
      </c>
      <c r="F1184" t="s">
        <v>684</v>
      </c>
      <c r="G1184" t="s">
        <v>14</v>
      </c>
      <c r="H1184" t="s">
        <v>68</v>
      </c>
      <c r="I1184" t="s">
        <v>69</v>
      </c>
      <c r="J1184" t="s">
        <v>146</v>
      </c>
      <c r="K1184" t="s">
        <v>1940</v>
      </c>
      <c r="L1184">
        <v>344.7</v>
      </c>
      <c r="M1184">
        <v>2</v>
      </c>
      <c r="N1184" t="str">
        <f>IF(Walmart[[#This Row],[Quantity]]&gt;=7,"Bulk",IF(Walmart[[#This Row],[Quantity]]&gt;=2,"Multi","Single"))</f>
        <v>Multi</v>
      </c>
      <c r="O1184">
        <v>38.78</v>
      </c>
      <c r="P1184" t="str">
        <f>IF(Walmart[[#This Row],[Sales]]&gt;=1000,"High Value", IF(Walmart[[#This Row],[Sales]]&gt;=500,"Medium Value","Low Value"))</f>
        <v>Low Value</v>
      </c>
    </row>
    <row r="1185" spans="1:16" hidden="1" x14ac:dyDescent="0.3">
      <c r="A1185" t="s">
        <v>2845</v>
      </c>
      <c r="B1185" s="1">
        <v>41526</v>
      </c>
      <c r="C1185" s="1" t="str">
        <f>TEXT(Walmart[[#This Row],[Order Date]],"mmmm")</f>
        <v>September</v>
      </c>
      <c r="D1185" s="1">
        <v>41531</v>
      </c>
      <c r="E1185" s="1" t="str">
        <f>IF(DATEDIF(Walmart[[#This Row],[Order Date]],Walmart[[#This Row],[Ship Date]],"D")&lt;7,"On time","Delayed")</f>
        <v>On time</v>
      </c>
      <c r="F1185" t="s">
        <v>1003</v>
      </c>
      <c r="G1185" t="s">
        <v>14</v>
      </c>
      <c r="H1185" t="s">
        <v>25</v>
      </c>
      <c r="I1185" t="s">
        <v>26</v>
      </c>
      <c r="J1185" t="s">
        <v>21</v>
      </c>
      <c r="K1185" t="s">
        <v>869</v>
      </c>
      <c r="L1185">
        <v>43.13</v>
      </c>
      <c r="M1185">
        <v>1</v>
      </c>
      <c r="N1185" t="str">
        <f>IF(Walmart[[#This Row],[Quantity]]&gt;=7,"Bulk",IF(Walmart[[#This Row],[Quantity]]&gt;=2,"Multi","Single"))</f>
        <v>Single</v>
      </c>
      <c r="O1185">
        <v>14.66</v>
      </c>
      <c r="P1185" t="str">
        <f>IF(Walmart[[#This Row],[Sales]]&gt;=1000,"High Value", IF(Walmart[[#This Row],[Sales]]&gt;=500,"Medium Value","Low Value"))</f>
        <v>Low Value</v>
      </c>
    </row>
    <row r="1186" spans="1:16" hidden="1" x14ac:dyDescent="0.3">
      <c r="A1186" t="s">
        <v>2846</v>
      </c>
      <c r="B1186" s="1">
        <v>41043</v>
      </c>
      <c r="C1186" s="1" t="str">
        <f>TEXT(Walmart[[#This Row],[Order Date]],"mmmm")</f>
        <v>May</v>
      </c>
      <c r="D1186" s="1">
        <v>41048</v>
      </c>
      <c r="E1186" s="1" t="str">
        <f>IF(DATEDIF(Walmart[[#This Row],[Order Date]],Walmart[[#This Row],[Ship Date]],"D")&lt;7,"On time","Delayed")</f>
        <v>On time</v>
      </c>
      <c r="F1186" t="s">
        <v>838</v>
      </c>
      <c r="G1186" t="s">
        <v>14</v>
      </c>
      <c r="H1186" t="s">
        <v>2782</v>
      </c>
      <c r="I1186" t="s">
        <v>16</v>
      </c>
      <c r="J1186" t="s">
        <v>671</v>
      </c>
      <c r="K1186" t="s">
        <v>762</v>
      </c>
      <c r="L1186">
        <v>509.96</v>
      </c>
      <c r="M1186">
        <v>5</v>
      </c>
      <c r="N1186" t="str">
        <f>IF(Walmart[[#This Row],[Quantity]]&gt;=7,"Bulk",IF(Walmart[[#This Row],[Quantity]]&gt;=2,"Multi","Single"))</f>
        <v>Multi</v>
      </c>
      <c r="O1186">
        <v>42</v>
      </c>
      <c r="P1186" t="str">
        <f>IF(Walmart[[#This Row],[Sales]]&gt;=1000,"High Value", IF(Walmart[[#This Row],[Sales]]&gt;=500,"Medium Value","Low Value"))</f>
        <v>Medium Value</v>
      </c>
    </row>
    <row r="1187" spans="1:16" hidden="1" x14ac:dyDescent="0.3">
      <c r="A1187" t="s">
        <v>2847</v>
      </c>
      <c r="B1187" s="1">
        <v>41425</v>
      </c>
      <c r="C1187" s="1" t="str">
        <f>TEXT(Walmart[[#This Row],[Order Date]],"mmmm")</f>
        <v>May</v>
      </c>
      <c r="D1187" s="1">
        <v>41432</v>
      </c>
      <c r="E1187" s="1" t="str">
        <f>IF(DATEDIF(Walmart[[#This Row],[Order Date]],Walmart[[#This Row],[Ship Date]],"D")&lt;7,"On time","Delayed")</f>
        <v>Delayed</v>
      </c>
      <c r="F1187" t="s">
        <v>2471</v>
      </c>
      <c r="G1187" t="s">
        <v>14</v>
      </c>
      <c r="H1187" t="s">
        <v>15</v>
      </c>
      <c r="I1187" t="s">
        <v>16</v>
      </c>
      <c r="J1187" t="s">
        <v>21</v>
      </c>
      <c r="K1187" t="s">
        <v>1439</v>
      </c>
      <c r="L1187">
        <v>167.84</v>
      </c>
      <c r="M1187">
        <v>8</v>
      </c>
      <c r="N1187" t="str">
        <f>IF(Walmart[[#This Row],[Quantity]]&gt;=7,"Bulk",IF(Walmart[[#This Row],[Quantity]]&gt;=2,"Multi","Single"))</f>
        <v>Bulk</v>
      </c>
      <c r="O1187">
        <v>11.75</v>
      </c>
      <c r="P1187" t="str">
        <f>IF(Walmart[[#This Row],[Sales]]&gt;=1000,"High Value", IF(Walmart[[#This Row],[Sales]]&gt;=500,"Medium Value","Low Value"))</f>
        <v>Low Value</v>
      </c>
    </row>
    <row r="1188" spans="1:16" x14ac:dyDescent="0.3">
      <c r="A1188" t="s">
        <v>486</v>
      </c>
      <c r="B1188" s="1">
        <v>41775</v>
      </c>
      <c r="C1188" s="1" t="str">
        <f>TEXT(Walmart[[#This Row],[Order Date]],"mmmm")</f>
        <v>May</v>
      </c>
      <c r="D1188" s="1">
        <v>41778</v>
      </c>
      <c r="E1188" s="1" t="str">
        <f>IF(DATEDIF(Walmart[[#This Row],[Order Date]],Walmart[[#This Row],[Ship Date]],"D")&lt;7,"On time","Delayed")</f>
        <v>On time</v>
      </c>
      <c r="F1188" t="s">
        <v>487</v>
      </c>
      <c r="G1188" t="s">
        <v>14</v>
      </c>
      <c r="H1188" t="s">
        <v>84</v>
      </c>
      <c r="I1188" t="s">
        <v>58</v>
      </c>
      <c r="J1188" t="s">
        <v>146</v>
      </c>
      <c r="K1188" t="s">
        <v>488</v>
      </c>
      <c r="L1188">
        <v>29.59</v>
      </c>
      <c r="M1188">
        <v>1</v>
      </c>
      <c r="N1188" t="str">
        <f>IF(Walmart[[#This Row],[Quantity]]&gt;=7,"Bulk",IF(Walmart[[#This Row],[Quantity]]&gt;=2,"Multi","Single"))</f>
        <v>Single</v>
      </c>
      <c r="O1188">
        <v>2.59</v>
      </c>
      <c r="P1188" t="str">
        <f>IF(Walmart[[#This Row],[Sales]]&gt;=1000,"High Value", IF(Walmart[[#This Row],[Sales]]&gt;=500,"Medium Value","Low Value"))</f>
        <v>Low Value</v>
      </c>
    </row>
    <row r="1189" spans="1:16" hidden="1" x14ac:dyDescent="0.3">
      <c r="A1189" t="s">
        <v>2850</v>
      </c>
      <c r="B1189" s="1">
        <v>40764</v>
      </c>
      <c r="C1189" s="1" t="str">
        <f>TEXT(Walmart[[#This Row],[Order Date]],"mmmm")</f>
        <v>August</v>
      </c>
      <c r="D1189" s="1">
        <v>40768</v>
      </c>
      <c r="E1189" s="1" t="str">
        <f>IF(DATEDIF(Walmart[[#This Row],[Order Date]],Walmart[[#This Row],[Ship Date]],"D")&lt;7,"On time","Delayed")</f>
        <v>On time</v>
      </c>
      <c r="F1189" t="s">
        <v>2570</v>
      </c>
      <c r="G1189" t="s">
        <v>14</v>
      </c>
      <c r="H1189" t="s">
        <v>84</v>
      </c>
      <c r="I1189" t="s">
        <v>58</v>
      </c>
      <c r="J1189" t="s">
        <v>191</v>
      </c>
      <c r="K1189" t="s">
        <v>2851</v>
      </c>
      <c r="L1189">
        <v>4.46</v>
      </c>
      <c r="M1189">
        <v>3</v>
      </c>
      <c r="N1189" t="str">
        <f>IF(Walmart[[#This Row],[Quantity]]&gt;=7,"Bulk",IF(Walmart[[#This Row],[Quantity]]&gt;=2,"Multi","Single"))</f>
        <v>Multi</v>
      </c>
      <c r="O1189">
        <v>-0.95</v>
      </c>
      <c r="P1189" t="str">
        <f>IF(Walmart[[#This Row],[Sales]]&gt;=1000,"High Value", IF(Walmart[[#This Row],[Sales]]&gt;=500,"Medium Value","Low Value"))</f>
        <v>Low Value</v>
      </c>
    </row>
    <row r="1190" spans="1:16" hidden="1" x14ac:dyDescent="0.3">
      <c r="A1190" t="s">
        <v>2852</v>
      </c>
      <c r="B1190" s="1">
        <v>41116</v>
      </c>
      <c r="C1190" s="1" t="str">
        <f>TEXT(Walmart[[#This Row],[Order Date]],"mmmm")</f>
        <v>July</v>
      </c>
      <c r="D1190" s="1">
        <v>41121</v>
      </c>
      <c r="E1190" s="1" t="str">
        <f>IF(DATEDIF(Walmart[[#This Row],[Order Date]],Walmart[[#This Row],[Ship Date]],"D")&lt;7,"On time","Delayed")</f>
        <v>On time</v>
      </c>
      <c r="F1190" t="s">
        <v>1834</v>
      </c>
      <c r="G1190" t="s">
        <v>14</v>
      </c>
      <c r="H1190" t="s">
        <v>2525</v>
      </c>
      <c r="I1190" t="s">
        <v>16</v>
      </c>
      <c r="J1190" t="s">
        <v>27</v>
      </c>
      <c r="K1190" t="s">
        <v>351</v>
      </c>
      <c r="L1190">
        <v>9.14</v>
      </c>
      <c r="M1190">
        <v>3</v>
      </c>
      <c r="N1190" t="str">
        <f>IF(Walmart[[#This Row],[Quantity]]&gt;=7,"Bulk",IF(Walmart[[#This Row],[Quantity]]&gt;=2,"Multi","Single"))</f>
        <v>Multi</v>
      </c>
      <c r="O1190">
        <v>3.09</v>
      </c>
      <c r="P1190" t="str">
        <f>IF(Walmart[[#This Row],[Sales]]&gt;=1000,"High Value", IF(Walmart[[#This Row],[Sales]]&gt;=500,"Medium Value","Low Value"))</f>
        <v>Low Value</v>
      </c>
    </row>
    <row r="1191" spans="1:16" hidden="1" x14ac:dyDescent="0.3">
      <c r="A1191" t="s">
        <v>2853</v>
      </c>
      <c r="B1191" s="1">
        <v>40590</v>
      </c>
      <c r="C1191" s="1" t="str">
        <f>TEXT(Walmart[[#This Row],[Order Date]],"mmmm")</f>
        <v>February</v>
      </c>
      <c r="D1191" s="1">
        <v>40594</v>
      </c>
      <c r="E1191" s="1" t="str">
        <f>IF(DATEDIF(Walmart[[#This Row],[Order Date]],Walmart[[#This Row],[Ship Date]],"D")&lt;7,"On time","Delayed")</f>
        <v>On time</v>
      </c>
      <c r="F1191" t="s">
        <v>2141</v>
      </c>
      <c r="G1191" t="s">
        <v>14</v>
      </c>
      <c r="H1191" t="s">
        <v>25</v>
      </c>
      <c r="I1191" t="s">
        <v>26</v>
      </c>
      <c r="J1191" t="s">
        <v>27</v>
      </c>
      <c r="K1191" t="s">
        <v>2854</v>
      </c>
      <c r="L1191">
        <v>21.36</v>
      </c>
      <c r="M1191">
        <v>5</v>
      </c>
      <c r="N1191" t="str">
        <f>IF(Walmart[[#This Row],[Quantity]]&gt;=7,"Bulk",IF(Walmart[[#This Row],[Quantity]]&gt;=2,"Multi","Single"))</f>
        <v>Multi</v>
      </c>
      <c r="O1191">
        <v>7.21</v>
      </c>
      <c r="P1191" t="str">
        <f>IF(Walmart[[#This Row],[Sales]]&gt;=1000,"High Value", IF(Walmart[[#This Row],[Sales]]&gt;=500,"Medium Value","Low Value"))</f>
        <v>Low Value</v>
      </c>
    </row>
    <row r="1192" spans="1:16" hidden="1" x14ac:dyDescent="0.3">
      <c r="A1192" t="s">
        <v>2855</v>
      </c>
      <c r="B1192" s="1">
        <v>40992</v>
      </c>
      <c r="C1192" s="1" t="str">
        <f>TEXT(Walmart[[#This Row],[Order Date]],"mmmm")</f>
        <v>March</v>
      </c>
      <c r="D1192" s="1">
        <v>40995</v>
      </c>
      <c r="E1192" s="1" t="str">
        <f>IF(DATEDIF(Walmart[[#This Row],[Order Date]],Walmart[[#This Row],[Ship Date]],"D")&lt;7,"On time","Delayed")</f>
        <v>On time</v>
      </c>
      <c r="F1192" t="s">
        <v>2441</v>
      </c>
      <c r="G1192" t="s">
        <v>14</v>
      </c>
      <c r="H1192" t="s">
        <v>1715</v>
      </c>
      <c r="I1192" t="s">
        <v>26</v>
      </c>
      <c r="J1192" t="s">
        <v>21</v>
      </c>
      <c r="K1192" t="s">
        <v>2856</v>
      </c>
      <c r="L1192">
        <v>46.9</v>
      </c>
      <c r="M1192">
        <v>5</v>
      </c>
      <c r="N1192" t="str">
        <f>IF(Walmart[[#This Row],[Quantity]]&gt;=7,"Bulk",IF(Walmart[[#This Row],[Quantity]]&gt;=2,"Multi","Single"))</f>
        <v>Multi</v>
      </c>
      <c r="O1192">
        <v>13.13</v>
      </c>
      <c r="P1192" t="str">
        <f>IF(Walmart[[#This Row],[Sales]]&gt;=1000,"High Value", IF(Walmart[[#This Row],[Sales]]&gt;=500,"Medium Value","Low Value"))</f>
        <v>Low Value</v>
      </c>
    </row>
    <row r="1193" spans="1:16" x14ac:dyDescent="0.3">
      <c r="A1193" t="s">
        <v>1247</v>
      </c>
      <c r="B1193" s="1">
        <v>41775</v>
      </c>
      <c r="C1193" s="1" t="str">
        <f>TEXT(Walmart[[#This Row],[Order Date]],"mmmm")</f>
        <v>May</v>
      </c>
      <c r="D1193" s="1">
        <v>41780</v>
      </c>
      <c r="E1193" s="1" t="str">
        <f>IF(DATEDIF(Walmart[[#This Row],[Order Date]],Walmart[[#This Row],[Ship Date]],"D")&lt;7,"On time","Delayed")</f>
        <v>On time</v>
      </c>
      <c r="F1193" t="s">
        <v>1248</v>
      </c>
      <c r="G1193" t="s">
        <v>14</v>
      </c>
      <c r="H1193" t="s">
        <v>25</v>
      </c>
      <c r="I1193" t="s">
        <v>26</v>
      </c>
      <c r="J1193" t="s">
        <v>21</v>
      </c>
      <c r="K1193" t="s">
        <v>1249</v>
      </c>
      <c r="L1193">
        <v>39.96</v>
      </c>
      <c r="M1193">
        <v>2</v>
      </c>
      <c r="N1193" t="str">
        <f>IF(Walmart[[#This Row],[Quantity]]&gt;=7,"Bulk",IF(Walmart[[#This Row],[Quantity]]&gt;=2,"Multi","Single"))</f>
        <v>Multi</v>
      </c>
      <c r="O1193">
        <v>17.18</v>
      </c>
      <c r="P1193" t="str">
        <f>IF(Walmart[[#This Row],[Sales]]&gt;=1000,"High Value", IF(Walmart[[#This Row],[Sales]]&gt;=500,"Medium Value","Low Value"))</f>
        <v>Low Value</v>
      </c>
    </row>
    <row r="1194" spans="1:16" hidden="1" x14ac:dyDescent="0.3">
      <c r="A1194" t="s">
        <v>2859</v>
      </c>
      <c r="B1194" s="1">
        <v>41229</v>
      </c>
      <c r="C1194" s="1" t="str">
        <f>TEXT(Walmart[[#This Row],[Order Date]],"mmmm")</f>
        <v>November</v>
      </c>
      <c r="D1194" s="1">
        <v>41231</v>
      </c>
      <c r="E1194" s="1" t="str">
        <f>IF(DATEDIF(Walmart[[#This Row],[Order Date]],Walmart[[#This Row],[Ship Date]],"D")&lt;7,"On time","Delayed")</f>
        <v>On time</v>
      </c>
      <c r="F1194" t="s">
        <v>2190</v>
      </c>
      <c r="G1194" t="s">
        <v>14</v>
      </c>
      <c r="H1194" t="s">
        <v>160</v>
      </c>
      <c r="I1194" t="s">
        <v>16</v>
      </c>
      <c r="J1194" t="s">
        <v>17</v>
      </c>
      <c r="K1194" t="s">
        <v>2860</v>
      </c>
      <c r="L1194">
        <v>18.899999999999999</v>
      </c>
      <c r="M1194">
        <v>3</v>
      </c>
      <c r="N1194" t="str">
        <f>IF(Walmart[[#This Row],[Quantity]]&gt;=7,"Bulk",IF(Walmart[[#This Row],[Quantity]]&gt;=2,"Multi","Single"))</f>
        <v>Multi</v>
      </c>
      <c r="O1194">
        <v>8.69</v>
      </c>
      <c r="P1194" t="str">
        <f>IF(Walmart[[#This Row],[Sales]]&gt;=1000,"High Value", IF(Walmart[[#This Row],[Sales]]&gt;=500,"Medium Value","Low Value"))</f>
        <v>Low Value</v>
      </c>
    </row>
    <row r="1195" spans="1:16" hidden="1" x14ac:dyDescent="0.3">
      <c r="A1195" t="s">
        <v>2861</v>
      </c>
      <c r="B1195" s="1">
        <v>41010</v>
      </c>
      <c r="C1195" s="1" t="str">
        <f>TEXT(Walmart[[#This Row],[Order Date]],"mmmm")</f>
        <v>April</v>
      </c>
      <c r="D1195" s="1">
        <v>41013</v>
      </c>
      <c r="E1195" s="1" t="str">
        <f>IF(DATEDIF(Walmart[[#This Row],[Order Date]],Walmart[[#This Row],[Ship Date]],"D")&lt;7,"On time","Delayed")</f>
        <v>On time</v>
      </c>
      <c r="F1195" t="s">
        <v>2178</v>
      </c>
      <c r="G1195" t="s">
        <v>14</v>
      </c>
      <c r="H1195" t="s">
        <v>15</v>
      </c>
      <c r="I1195" t="s">
        <v>16</v>
      </c>
      <c r="J1195" t="s">
        <v>287</v>
      </c>
      <c r="K1195" t="s">
        <v>2862</v>
      </c>
      <c r="L1195">
        <v>639.97</v>
      </c>
      <c r="M1195">
        <v>4</v>
      </c>
      <c r="N1195" t="str">
        <f>IF(Walmart[[#This Row],[Quantity]]&gt;=7,"Bulk",IF(Walmart[[#This Row],[Quantity]]&gt;=2,"Multi","Single"))</f>
        <v>Multi</v>
      </c>
      <c r="O1195">
        <v>215.99</v>
      </c>
      <c r="P1195" t="str">
        <f>IF(Walmart[[#This Row],[Sales]]&gt;=1000,"High Value", IF(Walmart[[#This Row],[Sales]]&gt;=500,"Medium Value","Low Value"))</f>
        <v>Medium Value</v>
      </c>
    </row>
    <row r="1196" spans="1:16" hidden="1" x14ac:dyDescent="0.3">
      <c r="A1196" t="s">
        <v>2863</v>
      </c>
      <c r="B1196" s="1">
        <v>40966</v>
      </c>
      <c r="C1196" s="1" t="str">
        <f>TEXT(Walmart[[#This Row],[Order Date]],"mmmm")</f>
        <v>February</v>
      </c>
      <c r="D1196" s="1">
        <v>40969</v>
      </c>
      <c r="E1196" s="1" t="str">
        <f>IF(DATEDIF(Walmart[[#This Row],[Order Date]],Walmart[[#This Row],[Ship Date]],"D")&lt;7,"On time","Delayed")</f>
        <v>On time</v>
      </c>
      <c r="F1196" t="s">
        <v>2661</v>
      </c>
      <c r="G1196" t="s">
        <v>14</v>
      </c>
      <c r="H1196" t="s">
        <v>25</v>
      </c>
      <c r="I1196" t="s">
        <v>26</v>
      </c>
      <c r="J1196" t="s">
        <v>53</v>
      </c>
      <c r="K1196" t="s">
        <v>2864</v>
      </c>
      <c r="L1196">
        <v>538.91999999999996</v>
      </c>
      <c r="M1196">
        <v>9</v>
      </c>
      <c r="N1196" t="str">
        <f>IF(Walmart[[#This Row],[Quantity]]&gt;=7,"Bulk",IF(Walmart[[#This Row],[Quantity]]&gt;=2,"Multi","Single"))</f>
        <v>Bulk</v>
      </c>
      <c r="O1196">
        <v>80.84</v>
      </c>
      <c r="P1196" t="str">
        <f>IF(Walmart[[#This Row],[Sales]]&gt;=1000,"High Value", IF(Walmart[[#This Row],[Sales]]&gt;=500,"Medium Value","Low Value"))</f>
        <v>Medium Value</v>
      </c>
    </row>
    <row r="1197" spans="1:16" hidden="1" x14ac:dyDescent="0.3">
      <c r="A1197" t="s">
        <v>2865</v>
      </c>
      <c r="B1197" s="1">
        <v>41526</v>
      </c>
      <c r="C1197" s="1" t="str">
        <f>TEXT(Walmart[[#This Row],[Order Date]],"mmmm")</f>
        <v>September</v>
      </c>
      <c r="D1197" s="1">
        <v>41533</v>
      </c>
      <c r="E1197" s="1" t="str">
        <f>IF(DATEDIF(Walmart[[#This Row],[Order Date]],Walmart[[#This Row],[Ship Date]],"D")&lt;7,"On time","Delayed")</f>
        <v>Delayed</v>
      </c>
      <c r="F1197" t="s">
        <v>1874</v>
      </c>
      <c r="G1197" t="s">
        <v>14</v>
      </c>
      <c r="H1197" t="s">
        <v>1502</v>
      </c>
      <c r="I1197" t="s">
        <v>16</v>
      </c>
      <c r="J1197" t="s">
        <v>38</v>
      </c>
      <c r="K1197" t="s">
        <v>2866</v>
      </c>
      <c r="L1197">
        <v>14.88</v>
      </c>
      <c r="M1197">
        <v>2</v>
      </c>
      <c r="N1197" t="str">
        <f>IF(Walmart[[#This Row],[Quantity]]&gt;=7,"Bulk",IF(Walmart[[#This Row],[Quantity]]&gt;=2,"Multi","Single"))</f>
        <v>Multi</v>
      </c>
      <c r="O1197">
        <v>3.72</v>
      </c>
      <c r="P1197" t="str">
        <f>IF(Walmart[[#This Row],[Sales]]&gt;=1000,"High Value", IF(Walmart[[#This Row],[Sales]]&gt;=500,"Medium Value","Low Value"))</f>
        <v>Low Value</v>
      </c>
    </row>
    <row r="1198" spans="1:16" hidden="1" x14ac:dyDescent="0.3">
      <c r="A1198" t="s">
        <v>2867</v>
      </c>
      <c r="B1198" s="1">
        <v>41414</v>
      </c>
      <c r="C1198" s="1" t="str">
        <f>TEXT(Walmart[[#This Row],[Order Date]],"mmmm")</f>
        <v>May</v>
      </c>
      <c r="D1198" s="1">
        <v>41418</v>
      </c>
      <c r="E1198" s="1" t="str">
        <f>IF(DATEDIF(Walmart[[#This Row],[Order Date]],Walmart[[#This Row],[Ship Date]],"D")&lt;7,"On time","Delayed")</f>
        <v>On time</v>
      </c>
      <c r="F1198" t="s">
        <v>1836</v>
      </c>
      <c r="G1198" t="s">
        <v>14</v>
      </c>
      <c r="H1198" t="s">
        <v>15</v>
      </c>
      <c r="I1198" t="s">
        <v>16</v>
      </c>
      <c r="J1198" t="s">
        <v>105</v>
      </c>
      <c r="K1198" t="s">
        <v>125</v>
      </c>
      <c r="L1198">
        <v>87.84</v>
      </c>
      <c r="M1198">
        <v>8</v>
      </c>
      <c r="N1198" t="str">
        <f>IF(Walmart[[#This Row],[Quantity]]&gt;=7,"Bulk",IF(Walmart[[#This Row],[Quantity]]&gt;=2,"Multi","Single"))</f>
        <v>Bulk</v>
      </c>
      <c r="O1198">
        <v>23.72</v>
      </c>
      <c r="P1198" t="str">
        <f>IF(Walmart[[#This Row],[Sales]]&gt;=1000,"High Value", IF(Walmart[[#This Row],[Sales]]&gt;=500,"Medium Value","Low Value"))</f>
        <v>Low Value</v>
      </c>
    </row>
    <row r="1199" spans="1:16" x14ac:dyDescent="0.3">
      <c r="A1199" t="s">
        <v>436</v>
      </c>
      <c r="B1199" s="1">
        <v>41774</v>
      </c>
      <c r="C1199" s="1" t="str">
        <f>TEXT(Walmart[[#This Row],[Order Date]],"mmmm")</f>
        <v>May</v>
      </c>
      <c r="D1199" s="1">
        <v>41774</v>
      </c>
      <c r="E1199" s="1" t="str">
        <f>IF(DATEDIF(Walmart[[#This Row],[Order Date]],Walmart[[#This Row],[Ship Date]],"D")&lt;7,"On time","Delayed")</f>
        <v>On time</v>
      </c>
      <c r="F1199" t="s">
        <v>437</v>
      </c>
      <c r="G1199" t="s">
        <v>14</v>
      </c>
      <c r="H1199" t="s">
        <v>438</v>
      </c>
      <c r="I1199" t="s">
        <v>16</v>
      </c>
      <c r="J1199" t="s">
        <v>21</v>
      </c>
      <c r="K1199" t="s">
        <v>429</v>
      </c>
      <c r="L1199">
        <v>18.28</v>
      </c>
      <c r="M1199">
        <v>2</v>
      </c>
      <c r="N1199" t="str">
        <f>IF(Walmart[[#This Row],[Quantity]]&gt;=7,"Bulk",IF(Walmart[[#This Row],[Quantity]]&gt;=2,"Multi","Single"))</f>
        <v>Multi</v>
      </c>
      <c r="O1199">
        <v>6.22</v>
      </c>
      <c r="P1199" t="str">
        <f>IF(Walmart[[#This Row],[Sales]]&gt;=1000,"High Value", IF(Walmart[[#This Row],[Sales]]&gt;=500,"Medium Value","Low Value"))</f>
        <v>Low Value</v>
      </c>
    </row>
    <row r="1200" spans="1:16" hidden="1" x14ac:dyDescent="0.3">
      <c r="A1200" t="s">
        <v>2869</v>
      </c>
      <c r="B1200" s="1">
        <v>41457</v>
      </c>
      <c r="C1200" s="1" t="str">
        <f>TEXT(Walmart[[#This Row],[Order Date]],"mmmm")</f>
        <v>July</v>
      </c>
      <c r="D1200" s="1">
        <v>41459</v>
      </c>
      <c r="E1200" s="1" t="str">
        <f>IF(DATEDIF(Walmart[[#This Row],[Order Date]],Walmart[[#This Row],[Ship Date]],"D")&lt;7,"On time","Delayed")</f>
        <v>On time</v>
      </c>
      <c r="F1200" t="s">
        <v>1396</v>
      </c>
      <c r="G1200" t="s">
        <v>14</v>
      </c>
      <c r="H1200" t="s">
        <v>2016</v>
      </c>
      <c r="I1200" t="s">
        <v>32</v>
      </c>
      <c r="J1200" t="s">
        <v>287</v>
      </c>
      <c r="K1200" t="s">
        <v>2870</v>
      </c>
      <c r="L1200">
        <v>1499.95</v>
      </c>
      <c r="M1200">
        <v>5</v>
      </c>
      <c r="N1200" t="str">
        <f>IF(Walmart[[#This Row],[Quantity]]&gt;=7,"Bulk",IF(Walmart[[#This Row],[Quantity]]&gt;=2,"Multi","Single"))</f>
        <v>Multi</v>
      </c>
      <c r="O1200">
        <v>449.99</v>
      </c>
      <c r="P1200" t="str">
        <f>IF(Walmart[[#This Row],[Sales]]&gt;=1000,"High Value", IF(Walmart[[#This Row],[Sales]]&gt;=500,"Medium Value","Low Value"))</f>
        <v>High Value</v>
      </c>
    </row>
    <row r="1201" spans="1:16" hidden="1" x14ac:dyDescent="0.3">
      <c r="A1201" t="s">
        <v>2871</v>
      </c>
      <c r="B1201" s="1">
        <v>41519</v>
      </c>
      <c r="C1201" s="1" t="str">
        <f>TEXT(Walmart[[#This Row],[Order Date]],"mmmm")</f>
        <v>September</v>
      </c>
      <c r="D1201" s="1">
        <v>41521</v>
      </c>
      <c r="E1201" s="1" t="str">
        <f>IF(DATEDIF(Walmart[[#This Row],[Order Date]],Walmart[[#This Row],[Ship Date]],"D")&lt;7,"On time","Delayed")</f>
        <v>On time</v>
      </c>
      <c r="F1201" t="s">
        <v>2872</v>
      </c>
      <c r="G1201" t="s">
        <v>14</v>
      </c>
      <c r="H1201" t="s">
        <v>237</v>
      </c>
      <c r="I1201" t="s">
        <v>16</v>
      </c>
      <c r="J1201" t="s">
        <v>124</v>
      </c>
      <c r="K1201" t="s">
        <v>2873</v>
      </c>
      <c r="L1201">
        <v>12.78</v>
      </c>
      <c r="M1201">
        <v>1</v>
      </c>
      <c r="N1201" t="str">
        <f>IF(Walmart[[#This Row],[Quantity]]&gt;=7,"Bulk",IF(Walmart[[#This Row],[Quantity]]&gt;=2,"Multi","Single"))</f>
        <v>Single</v>
      </c>
      <c r="O1201">
        <v>5.75</v>
      </c>
      <c r="P1201" t="str">
        <f>IF(Walmart[[#This Row],[Sales]]&gt;=1000,"High Value", IF(Walmart[[#This Row],[Sales]]&gt;=500,"Medium Value","Low Value"))</f>
        <v>Low Value</v>
      </c>
    </row>
    <row r="1202" spans="1:16" x14ac:dyDescent="0.3">
      <c r="A1202" t="s">
        <v>1928</v>
      </c>
      <c r="B1202" s="1">
        <v>41774</v>
      </c>
      <c r="C1202" s="1" t="str">
        <f>TEXT(Walmart[[#This Row],[Order Date]],"mmmm")</f>
        <v>May</v>
      </c>
      <c r="D1202" s="1">
        <v>41779</v>
      </c>
      <c r="E1202" s="1" t="str">
        <f>IF(DATEDIF(Walmart[[#This Row],[Order Date]],Walmart[[#This Row],[Ship Date]],"D")&lt;7,"On time","Delayed")</f>
        <v>On time</v>
      </c>
      <c r="F1202" t="s">
        <v>1782</v>
      </c>
      <c r="G1202" t="s">
        <v>14</v>
      </c>
      <c r="H1202" t="s">
        <v>25</v>
      </c>
      <c r="I1202" t="s">
        <v>26</v>
      </c>
      <c r="J1202" t="s">
        <v>93</v>
      </c>
      <c r="K1202" t="s">
        <v>1929</v>
      </c>
      <c r="L1202">
        <v>440.19</v>
      </c>
      <c r="M1202">
        <v>9</v>
      </c>
      <c r="N1202" t="str">
        <f>IF(Walmart[[#This Row],[Quantity]]&gt;=7,"Bulk",IF(Walmart[[#This Row],[Quantity]]&gt;=2,"Multi","Single"))</f>
        <v>Bulk</v>
      </c>
      <c r="O1202">
        <v>206.89</v>
      </c>
      <c r="P1202" t="str">
        <f>IF(Walmart[[#This Row],[Sales]]&gt;=1000,"High Value", IF(Walmart[[#This Row],[Sales]]&gt;=500,"Medium Value","Low Value"))</f>
        <v>Low Value</v>
      </c>
    </row>
    <row r="1203" spans="1:16" hidden="1" x14ac:dyDescent="0.3">
      <c r="A1203" t="s">
        <v>2875</v>
      </c>
      <c r="B1203" s="1">
        <v>41162</v>
      </c>
      <c r="C1203" s="1" t="str">
        <f>TEXT(Walmart[[#This Row],[Order Date]],"mmmm")</f>
        <v>September</v>
      </c>
      <c r="D1203" s="1">
        <v>41168</v>
      </c>
      <c r="E1203" s="1" t="str">
        <f>IF(DATEDIF(Walmart[[#This Row],[Order Date]],Walmart[[#This Row],[Ship Date]],"D")&lt;7,"On time","Delayed")</f>
        <v>On time</v>
      </c>
      <c r="F1203" t="s">
        <v>189</v>
      </c>
      <c r="G1203" t="s">
        <v>14</v>
      </c>
      <c r="H1203" t="s">
        <v>15</v>
      </c>
      <c r="I1203" t="s">
        <v>16</v>
      </c>
      <c r="J1203" t="s">
        <v>21</v>
      </c>
      <c r="K1203" t="s">
        <v>2876</v>
      </c>
      <c r="L1203">
        <v>106.68</v>
      </c>
      <c r="M1203">
        <v>6</v>
      </c>
      <c r="N1203" t="str">
        <f>IF(Walmart[[#This Row],[Quantity]]&gt;=7,"Bulk",IF(Walmart[[#This Row],[Quantity]]&gt;=2,"Multi","Single"))</f>
        <v>Multi</v>
      </c>
      <c r="O1203">
        <v>33.07</v>
      </c>
      <c r="P1203" t="str">
        <f>IF(Walmart[[#This Row],[Sales]]&gt;=1000,"High Value", IF(Walmart[[#This Row],[Sales]]&gt;=500,"Medium Value","Low Value"))</f>
        <v>Low Value</v>
      </c>
    </row>
    <row r="1204" spans="1:16" x14ac:dyDescent="0.3">
      <c r="A1204" t="s">
        <v>1174</v>
      </c>
      <c r="B1204" s="1">
        <v>41773</v>
      </c>
      <c r="C1204" s="1" t="str">
        <f>TEXT(Walmart[[#This Row],[Order Date]],"mmmm")</f>
        <v>May</v>
      </c>
      <c r="D1204" s="1">
        <v>41780</v>
      </c>
      <c r="E1204" s="1" t="str">
        <f>IF(DATEDIF(Walmart[[#This Row],[Order Date]],Walmart[[#This Row],[Ship Date]],"D")&lt;7,"On time","Delayed")</f>
        <v>Delayed</v>
      </c>
      <c r="F1204" t="s">
        <v>1175</v>
      </c>
      <c r="G1204" t="s">
        <v>14</v>
      </c>
      <c r="H1204" t="s">
        <v>37</v>
      </c>
      <c r="I1204" t="s">
        <v>16</v>
      </c>
      <c r="J1204" t="s">
        <v>17</v>
      </c>
      <c r="K1204" t="s">
        <v>18</v>
      </c>
      <c r="L1204">
        <v>58.48</v>
      </c>
      <c r="M1204">
        <v>8</v>
      </c>
      <c r="N1204" t="str">
        <f>IF(Walmart[[#This Row],[Quantity]]&gt;=7,"Bulk",IF(Walmart[[#This Row],[Quantity]]&gt;=2,"Multi","Single"))</f>
        <v>Bulk</v>
      </c>
      <c r="O1204">
        <v>27.49</v>
      </c>
      <c r="P1204" t="str">
        <f>IF(Walmart[[#This Row],[Sales]]&gt;=1000,"High Value", IF(Walmart[[#This Row],[Sales]]&gt;=500,"Medium Value","Low Value"))</f>
        <v>Low Value</v>
      </c>
    </row>
    <row r="1205" spans="1:16" x14ac:dyDescent="0.3">
      <c r="A1205" t="s">
        <v>2356</v>
      </c>
      <c r="B1205" s="1">
        <v>41772</v>
      </c>
      <c r="C1205" s="1" t="str">
        <f>TEXT(Walmart[[#This Row],[Order Date]],"mmmm")</f>
        <v>May</v>
      </c>
      <c r="D1205" s="1">
        <v>41778</v>
      </c>
      <c r="E1205" s="1" t="str">
        <f>IF(DATEDIF(Walmart[[#This Row],[Order Date]],Walmart[[#This Row],[Ship Date]],"D")&lt;7,"On time","Delayed")</f>
        <v>On time</v>
      </c>
      <c r="F1205" t="s">
        <v>2357</v>
      </c>
      <c r="G1205" t="s">
        <v>14</v>
      </c>
      <c r="H1205" t="s">
        <v>37</v>
      </c>
      <c r="I1205" t="s">
        <v>16</v>
      </c>
      <c r="J1205" t="s">
        <v>334</v>
      </c>
      <c r="K1205" t="s">
        <v>2358</v>
      </c>
      <c r="L1205">
        <v>238.62</v>
      </c>
      <c r="M1205">
        <v>2</v>
      </c>
      <c r="N1205" t="str">
        <f>IF(Walmart[[#This Row],[Quantity]]&gt;=7,"Bulk",IF(Walmart[[#This Row],[Quantity]]&gt;=2,"Multi","Single"))</f>
        <v>Multi</v>
      </c>
      <c r="O1205">
        <v>4.7699999999999996</v>
      </c>
      <c r="P1205" t="str">
        <f>IF(Walmart[[#This Row],[Sales]]&gt;=1000,"High Value", IF(Walmart[[#This Row],[Sales]]&gt;=500,"Medium Value","Low Value"))</f>
        <v>Low Value</v>
      </c>
    </row>
    <row r="1206" spans="1:16" hidden="1" x14ac:dyDescent="0.3">
      <c r="A1206" t="s">
        <v>2880</v>
      </c>
      <c r="B1206" s="1">
        <v>40849</v>
      </c>
      <c r="C1206" s="1" t="str">
        <f>TEXT(Walmart[[#This Row],[Order Date]],"mmmm")</f>
        <v>November</v>
      </c>
      <c r="D1206" s="1">
        <v>40853</v>
      </c>
      <c r="E1206" s="1" t="str">
        <f>IF(DATEDIF(Walmart[[#This Row],[Order Date]],Walmart[[#This Row],[Ship Date]],"D")&lt;7,"On time","Delayed")</f>
        <v>On time</v>
      </c>
      <c r="F1206" t="s">
        <v>2881</v>
      </c>
      <c r="G1206" t="s">
        <v>14</v>
      </c>
      <c r="H1206" t="s">
        <v>37</v>
      </c>
      <c r="I1206" t="s">
        <v>16</v>
      </c>
      <c r="J1206" t="s">
        <v>146</v>
      </c>
      <c r="K1206" t="s">
        <v>2882</v>
      </c>
      <c r="L1206">
        <v>46.38</v>
      </c>
      <c r="M1206">
        <v>2</v>
      </c>
      <c r="N1206" t="str">
        <f>IF(Walmart[[#This Row],[Quantity]]&gt;=7,"Bulk",IF(Walmart[[#This Row],[Quantity]]&gt;=2,"Multi","Single"))</f>
        <v>Multi</v>
      </c>
      <c r="O1206">
        <v>5.22</v>
      </c>
      <c r="P1206" t="str">
        <f>IF(Walmart[[#This Row],[Sales]]&gt;=1000,"High Value", IF(Walmart[[#This Row],[Sales]]&gt;=500,"Medium Value","Low Value"))</f>
        <v>Low Value</v>
      </c>
    </row>
    <row r="1207" spans="1:16" hidden="1" x14ac:dyDescent="0.3">
      <c r="A1207" t="s">
        <v>2883</v>
      </c>
      <c r="B1207" s="1">
        <v>40796</v>
      </c>
      <c r="C1207" s="1" t="str">
        <f>TEXT(Walmart[[#This Row],[Order Date]],"mmmm")</f>
        <v>September</v>
      </c>
      <c r="D1207" s="1">
        <v>40802</v>
      </c>
      <c r="E1207" s="1" t="str">
        <f>IF(DATEDIF(Walmart[[#This Row],[Order Date]],Walmart[[#This Row],[Ship Date]],"D")&lt;7,"On time","Delayed")</f>
        <v>On time</v>
      </c>
      <c r="F1207" t="s">
        <v>411</v>
      </c>
      <c r="G1207" t="s">
        <v>14</v>
      </c>
      <c r="H1207" t="s">
        <v>1426</v>
      </c>
      <c r="I1207" t="s">
        <v>69</v>
      </c>
      <c r="J1207" t="s">
        <v>124</v>
      </c>
      <c r="K1207" t="s">
        <v>2884</v>
      </c>
      <c r="L1207">
        <v>21.73</v>
      </c>
      <c r="M1207">
        <v>7</v>
      </c>
      <c r="N1207" t="str">
        <f>IF(Walmart[[#This Row],[Quantity]]&gt;=7,"Bulk",IF(Walmart[[#This Row],[Quantity]]&gt;=2,"Multi","Single"))</f>
        <v>Bulk</v>
      </c>
      <c r="O1207">
        <v>7.6</v>
      </c>
      <c r="P1207" t="str">
        <f>IF(Walmart[[#This Row],[Sales]]&gt;=1000,"High Value", IF(Walmart[[#This Row],[Sales]]&gt;=500,"Medium Value","Low Value"))</f>
        <v>Low Value</v>
      </c>
    </row>
    <row r="1208" spans="1:16" x14ac:dyDescent="0.3">
      <c r="A1208" t="s">
        <v>1740</v>
      </c>
      <c r="B1208" s="1">
        <v>41771</v>
      </c>
      <c r="C1208" s="1" t="str">
        <f>TEXT(Walmart[[#This Row],[Order Date]],"mmmm")</f>
        <v>May</v>
      </c>
      <c r="D1208" s="1">
        <v>41772</v>
      </c>
      <c r="E1208" s="1" t="str">
        <f>IF(DATEDIF(Walmart[[#This Row],[Order Date]],Walmart[[#This Row],[Ship Date]],"D")&lt;7,"On time","Delayed")</f>
        <v>On time</v>
      </c>
      <c r="F1208" t="s">
        <v>315</v>
      </c>
      <c r="G1208" t="s">
        <v>14</v>
      </c>
      <c r="H1208" t="s">
        <v>25</v>
      </c>
      <c r="I1208" t="s">
        <v>26</v>
      </c>
      <c r="J1208" t="s">
        <v>93</v>
      </c>
      <c r="K1208" t="s">
        <v>1010</v>
      </c>
      <c r="L1208">
        <v>37.44</v>
      </c>
      <c r="M1208">
        <v>6</v>
      </c>
      <c r="N1208" t="str">
        <f>IF(Walmart[[#This Row],[Quantity]]&gt;=7,"Bulk",IF(Walmart[[#This Row],[Quantity]]&gt;=2,"Multi","Single"))</f>
        <v>Multi</v>
      </c>
      <c r="O1208">
        <v>16.850000000000001</v>
      </c>
      <c r="P1208" t="str">
        <f>IF(Walmart[[#This Row],[Sales]]&gt;=1000,"High Value", IF(Walmart[[#This Row],[Sales]]&gt;=500,"Medium Value","Low Value"))</f>
        <v>Low Value</v>
      </c>
    </row>
    <row r="1209" spans="1:16" hidden="1" x14ac:dyDescent="0.3">
      <c r="A1209" t="s">
        <v>2886</v>
      </c>
      <c r="B1209" s="1">
        <v>41443</v>
      </c>
      <c r="C1209" s="1" t="str">
        <f>TEXT(Walmart[[#This Row],[Order Date]],"mmmm")</f>
        <v>June</v>
      </c>
      <c r="D1209" s="1">
        <v>41445</v>
      </c>
      <c r="E1209" s="1" t="str">
        <f>IF(DATEDIF(Walmart[[#This Row],[Order Date]],Walmart[[#This Row],[Ship Date]],"D")&lt;7,"On time","Delayed")</f>
        <v>On time</v>
      </c>
      <c r="F1209" t="s">
        <v>91</v>
      </c>
      <c r="G1209" t="s">
        <v>14</v>
      </c>
      <c r="H1209" t="s">
        <v>2887</v>
      </c>
      <c r="I1209" t="s">
        <v>77</v>
      </c>
      <c r="J1209" t="s">
        <v>21</v>
      </c>
      <c r="K1209" t="s">
        <v>1645</v>
      </c>
      <c r="L1209">
        <v>266.35000000000002</v>
      </c>
      <c r="M1209">
        <v>3</v>
      </c>
      <c r="N1209" t="str">
        <f>IF(Walmart[[#This Row],[Quantity]]&gt;=7,"Bulk",IF(Walmart[[#This Row],[Quantity]]&gt;=2,"Multi","Single"))</f>
        <v>Multi</v>
      </c>
      <c r="O1209">
        <v>-13.32</v>
      </c>
      <c r="P1209" t="str">
        <f>IF(Walmart[[#This Row],[Sales]]&gt;=1000,"High Value", IF(Walmart[[#This Row],[Sales]]&gt;=500,"Medium Value","Low Value"))</f>
        <v>Low Value</v>
      </c>
    </row>
    <row r="1210" spans="1:16" x14ac:dyDescent="0.3">
      <c r="A1210" t="s">
        <v>2053</v>
      </c>
      <c r="B1210" s="1">
        <v>41771</v>
      </c>
      <c r="C1210" s="1" t="str">
        <f>TEXT(Walmart[[#This Row],[Order Date]],"mmmm")</f>
        <v>May</v>
      </c>
      <c r="D1210" s="1">
        <v>41773</v>
      </c>
      <c r="E1210" s="1" t="str">
        <f>IF(DATEDIF(Walmart[[#This Row],[Order Date]],Walmart[[#This Row],[Ship Date]],"D")&lt;7,"On time","Delayed")</f>
        <v>On time</v>
      </c>
      <c r="F1210" t="s">
        <v>1656</v>
      </c>
      <c r="G1210" t="s">
        <v>14</v>
      </c>
      <c r="H1210" t="s">
        <v>84</v>
      </c>
      <c r="I1210" t="s">
        <v>58</v>
      </c>
      <c r="J1210" t="s">
        <v>671</v>
      </c>
      <c r="K1210" t="s">
        <v>1253</v>
      </c>
      <c r="L1210">
        <v>209.98</v>
      </c>
      <c r="M1210">
        <v>7</v>
      </c>
      <c r="N1210" t="str">
        <f>IF(Walmart[[#This Row],[Quantity]]&gt;=7,"Bulk",IF(Walmart[[#This Row],[Quantity]]&gt;=2,"Multi","Single"))</f>
        <v>Bulk</v>
      </c>
      <c r="O1210">
        <v>-356.96</v>
      </c>
      <c r="P1210" t="str">
        <f>IF(Walmart[[#This Row],[Sales]]&gt;=1000,"High Value", IF(Walmart[[#This Row],[Sales]]&gt;=500,"Medium Value","Low Value"))</f>
        <v>Low Value</v>
      </c>
    </row>
    <row r="1211" spans="1:16" hidden="1" x14ac:dyDescent="0.3">
      <c r="A1211" t="s">
        <v>2890</v>
      </c>
      <c r="B1211" s="1">
        <v>41324</v>
      </c>
      <c r="C1211" s="1" t="str">
        <f>TEXT(Walmart[[#This Row],[Order Date]],"mmmm")</f>
        <v>February</v>
      </c>
      <c r="D1211" s="1">
        <v>41327</v>
      </c>
      <c r="E1211" s="1" t="str">
        <f>IF(DATEDIF(Walmart[[#This Row],[Order Date]],Walmart[[#This Row],[Ship Date]],"D")&lt;7,"On time","Delayed")</f>
        <v>On time</v>
      </c>
      <c r="F1211" t="s">
        <v>1385</v>
      </c>
      <c r="G1211" t="s">
        <v>14</v>
      </c>
      <c r="H1211" t="s">
        <v>37</v>
      </c>
      <c r="I1211" t="s">
        <v>16</v>
      </c>
      <c r="J1211" t="s">
        <v>93</v>
      </c>
      <c r="K1211" t="s">
        <v>1955</v>
      </c>
      <c r="L1211">
        <v>70.88</v>
      </c>
      <c r="M1211">
        <v>2</v>
      </c>
      <c r="N1211" t="str">
        <f>IF(Walmart[[#This Row],[Quantity]]&gt;=7,"Bulk",IF(Walmart[[#This Row],[Quantity]]&gt;=2,"Multi","Single"))</f>
        <v>Multi</v>
      </c>
      <c r="O1211">
        <v>33.31</v>
      </c>
      <c r="P1211" t="str">
        <f>IF(Walmart[[#This Row],[Sales]]&gt;=1000,"High Value", IF(Walmart[[#This Row],[Sales]]&gt;=500,"Medium Value","Low Value"))</f>
        <v>Low Value</v>
      </c>
    </row>
    <row r="1212" spans="1:16" x14ac:dyDescent="0.3">
      <c r="A1212" t="s">
        <v>3106</v>
      </c>
      <c r="B1212" s="1">
        <v>41769</v>
      </c>
      <c r="C1212" s="1" t="str">
        <f>TEXT(Walmart[[#This Row],[Order Date]],"mmmm")</f>
        <v>May</v>
      </c>
      <c r="D1212" s="1">
        <v>41771</v>
      </c>
      <c r="E1212" s="1" t="str">
        <f>IF(DATEDIF(Walmart[[#This Row],[Order Date]],Walmart[[#This Row],[Ship Date]],"D")&lt;7,"On time","Delayed")</f>
        <v>On time</v>
      </c>
      <c r="F1212" t="s">
        <v>2872</v>
      </c>
      <c r="G1212" t="s">
        <v>14</v>
      </c>
      <c r="H1212" t="s">
        <v>25</v>
      </c>
      <c r="I1212" t="s">
        <v>26</v>
      </c>
      <c r="J1212" t="s">
        <v>27</v>
      </c>
      <c r="K1212" t="s">
        <v>827</v>
      </c>
      <c r="L1212">
        <v>147.91999999999999</v>
      </c>
      <c r="M1212">
        <v>5</v>
      </c>
      <c r="N1212" t="str">
        <f>IF(Walmart[[#This Row],[Quantity]]&gt;=7,"Bulk",IF(Walmart[[#This Row],[Quantity]]&gt;=2,"Multi","Single"))</f>
        <v>Multi</v>
      </c>
      <c r="O1212">
        <v>46.23</v>
      </c>
      <c r="P1212" t="str">
        <f>IF(Walmart[[#This Row],[Sales]]&gt;=1000,"High Value", IF(Walmart[[#This Row],[Sales]]&gt;=500,"Medium Value","Low Value"))</f>
        <v>Low Value</v>
      </c>
    </row>
    <row r="1213" spans="1:16" x14ac:dyDescent="0.3">
      <c r="A1213" t="s">
        <v>1505</v>
      </c>
      <c r="B1213" s="1">
        <v>41768</v>
      </c>
      <c r="C1213" s="1" t="str">
        <f>TEXT(Walmart[[#This Row],[Order Date]],"mmmm")</f>
        <v>May</v>
      </c>
      <c r="D1213" s="1">
        <v>41772</v>
      </c>
      <c r="E1213" s="1" t="str">
        <f>IF(DATEDIF(Walmart[[#This Row],[Order Date]],Walmart[[#This Row],[Ship Date]],"D")&lt;7,"On time","Delayed")</f>
        <v>On time</v>
      </c>
      <c r="F1213" t="s">
        <v>1506</v>
      </c>
      <c r="G1213" t="s">
        <v>14</v>
      </c>
      <c r="H1213" t="s">
        <v>15</v>
      </c>
      <c r="I1213" t="s">
        <v>16</v>
      </c>
      <c r="J1213" t="s">
        <v>287</v>
      </c>
      <c r="K1213" t="s">
        <v>1507</v>
      </c>
      <c r="L1213">
        <v>3359.95</v>
      </c>
      <c r="M1213">
        <v>6</v>
      </c>
      <c r="N1213" t="str">
        <f>IF(Walmart[[#This Row],[Quantity]]&gt;=7,"Bulk",IF(Walmart[[#This Row],[Quantity]]&gt;=2,"Multi","Single"))</f>
        <v>Multi</v>
      </c>
      <c r="O1213">
        <v>1049.99</v>
      </c>
      <c r="P1213" t="str">
        <f>IF(Walmart[[#This Row],[Sales]]&gt;=1000,"High Value", IF(Walmart[[#This Row],[Sales]]&gt;=500,"Medium Value","Low Value"))</f>
        <v>High Value</v>
      </c>
    </row>
    <row r="1214" spans="1:16" hidden="1" x14ac:dyDescent="0.3">
      <c r="A1214" t="s">
        <v>2893</v>
      </c>
      <c r="B1214" s="1">
        <v>41304</v>
      </c>
      <c r="C1214" s="1" t="str">
        <f>TEXT(Walmart[[#This Row],[Order Date]],"mmmm")</f>
        <v>January</v>
      </c>
      <c r="D1214" s="1">
        <v>41306</v>
      </c>
      <c r="E1214" s="1" t="str">
        <f>IF(DATEDIF(Walmart[[#This Row],[Order Date]],Walmart[[#This Row],[Ship Date]],"D")&lt;7,"On time","Delayed")</f>
        <v>On time</v>
      </c>
      <c r="F1214" t="s">
        <v>1559</v>
      </c>
      <c r="G1214" t="s">
        <v>14</v>
      </c>
      <c r="H1214" t="s">
        <v>25</v>
      </c>
      <c r="I1214" t="s">
        <v>26</v>
      </c>
      <c r="J1214" t="s">
        <v>88</v>
      </c>
      <c r="K1214" t="s">
        <v>1192</v>
      </c>
      <c r="L1214">
        <v>435.17</v>
      </c>
      <c r="M1214">
        <v>4</v>
      </c>
      <c r="N1214" t="str">
        <f>IF(Walmart[[#This Row],[Quantity]]&gt;=7,"Bulk",IF(Walmart[[#This Row],[Quantity]]&gt;=2,"Multi","Single"))</f>
        <v>Multi</v>
      </c>
      <c r="O1214">
        <v>-59.84</v>
      </c>
      <c r="P1214" t="str">
        <f>IF(Walmart[[#This Row],[Sales]]&gt;=1000,"High Value", IF(Walmart[[#This Row],[Sales]]&gt;=500,"Medium Value","Low Value"))</f>
        <v>Low Value</v>
      </c>
    </row>
    <row r="1215" spans="1:16" hidden="1" x14ac:dyDescent="0.3">
      <c r="A1215" t="s">
        <v>2894</v>
      </c>
      <c r="B1215" s="1">
        <v>40882</v>
      </c>
      <c r="C1215" s="1" t="str">
        <f>TEXT(Walmart[[#This Row],[Order Date]],"mmmm")</f>
        <v>December</v>
      </c>
      <c r="D1215" s="1">
        <v>40887</v>
      </c>
      <c r="E1215" s="1" t="str">
        <f>IF(DATEDIF(Walmart[[#This Row],[Order Date]],Walmart[[#This Row],[Ship Date]],"D")&lt;7,"On time","Delayed")</f>
        <v>On time</v>
      </c>
      <c r="F1215" t="s">
        <v>2795</v>
      </c>
      <c r="G1215" t="s">
        <v>14</v>
      </c>
      <c r="H1215" t="s">
        <v>15</v>
      </c>
      <c r="I1215" t="s">
        <v>16</v>
      </c>
      <c r="J1215" t="s">
        <v>38</v>
      </c>
      <c r="K1215" t="s">
        <v>1995</v>
      </c>
      <c r="L1215">
        <v>26.46</v>
      </c>
      <c r="M1215">
        <v>9</v>
      </c>
      <c r="N1215" t="str">
        <f>IF(Walmart[[#This Row],[Quantity]]&gt;=7,"Bulk",IF(Walmart[[#This Row],[Quantity]]&gt;=2,"Multi","Single"))</f>
        <v>Bulk</v>
      </c>
      <c r="O1215">
        <v>11.91</v>
      </c>
      <c r="P1215" t="str">
        <f>IF(Walmart[[#This Row],[Sales]]&gt;=1000,"High Value", IF(Walmart[[#This Row],[Sales]]&gt;=500,"Medium Value","Low Value"))</f>
        <v>Low Value</v>
      </c>
    </row>
    <row r="1216" spans="1:16" hidden="1" x14ac:dyDescent="0.3">
      <c r="A1216" t="s">
        <v>2895</v>
      </c>
      <c r="B1216" s="1">
        <v>41251</v>
      </c>
      <c r="C1216" s="1" t="str">
        <f>TEXT(Walmart[[#This Row],[Order Date]],"mmmm")</f>
        <v>December</v>
      </c>
      <c r="D1216" s="1">
        <v>41255</v>
      </c>
      <c r="E1216" s="1" t="str">
        <f>IF(DATEDIF(Walmart[[#This Row],[Order Date]],Walmart[[#This Row],[Ship Date]],"D")&lt;7,"On time","Delayed")</f>
        <v>On time</v>
      </c>
      <c r="F1216" t="s">
        <v>801</v>
      </c>
      <c r="G1216" t="s">
        <v>14</v>
      </c>
      <c r="H1216" t="s">
        <v>15</v>
      </c>
      <c r="I1216" t="s">
        <v>16</v>
      </c>
      <c r="J1216" t="s">
        <v>33</v>
      </c>
      <c r="K1216" t="s">
        <v>2136</v>
      </c>
      <c r="L1216">
        <v>221.96</v>
      </c>
      <c r="M1216">
        <v>2</v>
      </c>
      <c r="N1216" t="str">
        <f>IF(Walmart[[#This Row],[Quantity]]&gt;=7,"Bulk",IF(Walmart[[#This Row],[Quantity]]&gt;=2,"Multi","Single"))</f>
        <v>Multi</v>
      </c>
      <c r="O1216">
        <v>4.4400000000000004</v>
      </c>
      <c r="P1216" t="str">
        <f>IF(Walmart[[#This Row],[Sales]]&gt;=1000,"High Value", IF(Walmart[[#This Row],[Sales]]&gt;=500,"Medium Value","Low Value"))</f>
        <v>Low Value</v>
      </c>
    </row>
    <row r="1217" spans="1:16" hidden="1" x14ac:dyDescent="0.3">
      <c r="A1217" t="s">
        <v>2896</v>
      </c>
      <c r="B1217" s="1">
        <v>40849</v>
      </c>
      <c r="C1217" s="1" t="str">
        <f>TEXT(Walmart[[#This Row],[Order Date]],"mmmm")</f>
        <v>November</v>
      </c>
      <c r="D1217" s="1">
        <v>40854</v>
      </c>
      <c r="E1217" s="1" t="str">
        <f>IF(DATEDIF(Walmart[[#This Row],[Order Date]],Walmart[[#This Row],[Ship Date]],"D")&lt;7,"On time","Delayed")</f>
        <v>On time</v>
      </c>
      <c r="F1217" t="s">
        <v>2897</v>
      </c>
      <c r="G1217" t="s">
        <v>14</v>
      </c>
      <c r="H1217" t="s">
        <v>25</v>
      </c>
      <c r="I1217" t="s">
        <v>26</v>
      </c>
      <c r="J1217" t="s">
        <v>53</v>
      </c>
      <c r="K1217" t="s">
        <v>2898</v>
      </c>
      <c r="L1217">
        <v>41.94</v>
      </c>
      <c r="M1217">
        <v>2</v>
      </c>
      <c r="N1217" t="str">
        <f>IF(Walmart[[#This Row],[Quantity]]&gt;=7,"Bulk",IF(Walmart[[#This Row],[Quantity]]&gt;=2,"Multi","Single"))</f>
        <v>Multi</v>
      </c>
      <c r="O1217">
        <v>15.1</v>
      </c>
      <c r="P1217" t="str">
        <f>IF(Walmart[[#This Row],[Sales]]&gt;=1000,"High Value", IF(Walmart[[#This Row],[Sales]]&gt;=500,"Medium Value","Low Value"))</f>
        <v>Low Value</v>
      </c>
    </row>
    <row r="1218" spans="1:16" x14ac:dyDescent="0.3">
      <c r="A1218" t="s">
        <v>3421</v>
      </c>
      <c r="B1218" s="1">
        <v>41768</v>
      </c>
      <c r="C1218" s="1" t="str">
        <f>TEXT(Walmart[[#This Row],[Order Date]],"mmmm")</f>
        <v>May</v>
      </c>
      <c r="D1218" s="1">
        <v>41772</v>
      </c>
      <c r="E1218" s="1" t="str">
        <f>IF(DATEDIF(Walmart[[#This Row],[Order Date]],Walmart[[#This Row],[Ship Date]],"D")&lt;7,"On time","Delayed")</f>
        <v>On time</v>
      </c>
      <c r="F1218" t="s">
        <v>826</v>
      </c>
      <c r="G1218" t="s">
        <v>14</v>
      </c>
      <c r="H1218" t="s">
        <v>37</v>
      </c>
      <c r="I1218" t="s">
        <v>16</v>
      </c>
      <c r="J1218" t="s">
        <v>105</v>
      </c>
      <c r="K1218" t="s">
        <v>1058</v>
      </c>
      <c r="L1218">
        <v>81.08</v>
      </c>
      <c r="M1218">
        <v>4</v>
      </c>
      <c r="N1218" t="str">
        <f>IF(Walmart[[#This Row],[Quantity]]&gt;=7,"Bulk",IF(Walmart[[#This Row],[Quantity]]&gt;=2,"Multi","Single"))</f>
        <v>Multi</v>
      </c>
      <c r="O1218">
        <v>22.7</v>
      </c>
      <c r="P1218" t="str">
        <f>IF(Walmart[[#This Row],[Sales]]&gt;=1000,"High Value", IF(Walmart[[#This Row],[Sales]]&gt;=500,"Medium Value","Low Value"))</f>
        <v>Low Value</v>
      </c>
    </row>
    <row r="1219" spans="1:16" hidden="1" x14ac:dyDescent="0.3">
      <c r="A1219" t="s">
        <v>2900</v>
      </c>
      <c r="B1219" s="1">
        <v>41075</v>
      </c>
      <c r="C1219" s="1" t="str">
        <f>TEXT(Walmart[[#This Row],[Order Date]],"mmmm")</f>
        <v>June</v>
      </c>
      <c r="D1219" s="1">
        <v>41079</v>
      </c>
      <c r="E1219" s="1" t="str">
        <f>IF(DATEDIF(Walmart[[#This Row],[Order Date]],Walmart[[#This Row],[Ship Date]],"D")&lt;7,"On time","Delayed")</f>
        <v>On time</v>
      </c>
      <c r="F1219" t="s">
        <v>194</v>
      </c>
      <c r="G1219" t="s">
        <v>14</v>
      </c>
      <c r="H1219" t="s">
        <v>15</v>
      </c>
      <c r="I1219" t="s">
        <v>16</v>
      </c>
      <c r="J1219" t="s">
        <v>146</v>
      </c>
      <c r="K1219" t="s">
        <v>1479</v>
      </c>
      <c r="L1219">
        <v>225.58</v>
      </c>
      <c r="M1219">
        <v>3</v>
      </c>
      <c r="N1219" t="str">
        <f>IF(Walmart[[#This Row],[Quantity]]&gt;=7,"Bulk",IF(Walmart[[#This Row],[Quantity]]&gt;=2,"Multi","Single"))</f>
        <v>Multi</v>
      </c>
      <c r="O1219">
        <v>22.56</v>
      </c>
      <c r="P1219" t="str">
        <f>IF(Walmart[[#This Row],[Sales]]&gt;=1000,"High Value", IF(Walmart[[#This Row],[Sales]]&gt;=500,"Medium Value","Low Value"))</f>
        <v>Low Value</v>
      </c>
    </row>
    <row r="1220" spans="1:16" hidden="1" x14ac:dyDescent="0.3">
      <c r="A1220" t="s">
        <v>2901</v>
      </c>
      <c r="B1220" s="1">
        <v>40803</v>
      </c>
      <c r="C1220" s="1" t="str">
        <f>TEXT(Walmart[[#This Row],[Order Date]],"mmmm")</f>
        <v>September</v>
      </c>
      <c r="D1220" s="1">
        <v>40808</v>
      </c>
      <c r="E1220" s="1" t="str">
        <f>IF(DATEDIF(Walmart[[#This Row],[Order Date]],Walmart[[#This Row],[Ship Date]],"D")&lt;7,"On time","Delayed")</f>
        <v>On time</v>
      </c>
      <c r="F1220" t="s">
        <v>487</v>
      </c>
      <c r="G1220" t="s">
        <v>14</v>
      </c>
      <c r="H1220" t="s">
        <v>926</v>
      </c>
      <c r="I1220" t="s">
        <v>69</v>
      </c>
      <c r="J1220" t="s">
        <v>38</v>
      </c>
      <c r="K1220" t="s">
        <v>1977</v>
      </c>
      <c r="L1220">
        <v>5.25</v>
      </c>
      <c r="M1220">
        <v>2</v>
      </c>
      <c r="N1220" t="str">
        <f>IF(Walmart[[#This Row],[Quantity]]&gt;=7,"Bulk",IF(Walmart[[#This Row],[Quantity]]&gt;=2,"Multi","Single"))</f>
        <v>Multi</v>
      </c>
      <c r="O1220">
        <v>0.46</v>
      </c>
      <c r="P1220" t="str">
        <f>IF(Walmart[[#This Row],[Sales]]&gt;=1000,"High Value", IF(Walmart[[#This Row],[Sales]]&gt;=500,"Medium Value","Low Value"))</f>
        <v>Low Value</v>
      </c>
    </row>
    <row r="1221" spans="1:16" x14ac:dyDescent="0.3">
      <c r="A1221" t="s">
        <v>2047</v>
      </c>
      <c r="B1221" s="1">
        <v>41767</v>
      </c>
      <c r="C1221" s="1" t="str">
        <f>TEXT(Walmart[[#This Row],[Order Date]],"mmmm")</f>
        <v>May</v>
      </c>
      <c r="D1221" s="1">
        <v>41772</v>
      </c>
      <c r="E1221" s="1" t="str">
        <f>IF(DATEDIF(Walmart[[#This Row],[Order Date]],Walmart[[#This Row],[Ship Date]],"D")&lt;7,"On time","Delayed")</f>
        <v>On time</v>
      </c>
      <c r="F1221" t="s">
        <v>2048</v>
      </c>
      <c r="G1221" t="s">
        <v>14</v>
      </c>
      <c r="H1221" t="s">
        <v>15</v>
      </c>
      <c r="I1221" t="s">
        <v>16</v>
      </c>
      <c r="J1221" t="s">
        <v>53</v>
      </c>
      <c r="K1221" t="s">
        <v>2049</v>
      </c>
      <c r="L1221">
        <v>79.989999999999995</v>
      </c>
      <c r="M1221">
        <v>1</v>
      </c>
      <c r="N1221" t="str">
        <f>IF(Walmart[[#This Row],[Quantity]]&gt;=7,"Bulk",IF(Walmart[[#This Row],[Quantity]]&gt;=2,"Multi","Single"))</f>
        <v>Single</v>
      </c>
      <c r="O1221">
        <v>28.8</v>
      </c>
      <c r="P1221" t="str">
        <f>IF(Walmart[[#This Row],[Sales]]&gt;=1000,"High Value", IF(Walmart[[#This Row],[Sales]]&gt;=500,"Medium Value","Low Value"))</f>
        <v>Low Value</v>
      </c>
    </row>
    <row r="1222" spans="1:16" hidden="1" x14ac:dyDescent="0.3">
      <c r="A1222" t="s">
        <v>2903</v>
      </c>
      <c r="B1222" s="1">
        <v>40597</v>
      </c>
      <c r="C1222" s="1" t="str">
        <f>TEXT(Walmart[[#This Row],[Order Date]],"mmmm")</f>
        <v>February</v>
      </c>
      <c r="D1222" s="1">
        <v>40599</v>
      </c>
      <c r="E1222" s="1" t="str">
        <f>IF(DATEDIF(Walmart[[#This Row],[Order Date]],Walmart[[#This Row],[Ship Date]],"D")&lt;7,"On time","Delayed")</f>
        <v>On time</v>
      </c>
      <c r="F1222" t="s">
        <v>884</v>
      </c>
      <c r="G1222" t="s">
        <v>14</v>
      </c>
      <c r="H1222" t="s">
        <v>2067</v>
      </c>
      <c r="I1222" t="s">
        <v>16</v>
      </c>
      <c r="J1222" t="s">
        <v>93</v>
      </c>
      <c r="K1222" t="s">
        <v>1453</v>
      </c>
      <c r="L1222">
        <v>19.440000000000001</v>
      </c>
      <c r="M1222">
        <v>3</v>
      </c>
      <c r="N1222" t="str">
        <f>IF(Walmart[[#This Row],[Quantity]]&gt;=7,"Bulk",IF(Walmart[[#This Row],[Quantity]]&gt;=2,"Multi","Single"))</f>
        <v>Multi</v>
      </c>
      <c r="O1222">
        <v>9.33</v>
      </c>
      <c r="P1222" t="str">
        <f>IF(Walmart[[#This Row],[Sales]]&gt;=1000,"High Value", IF(Walmart[[#This Row],[Sales]]&gt;=500,"Medium Value","Low Value"))</f>
        <v>Low Value</v>
      </c>
    </row>
    <row r="1223" spans="1:16" x14ac:dyDescent="0.3">
      <c r="A1223" t="s">
        <v>3382</v>
      </c>
      <c r="B1223" s="1">
        <v>41767</v>
      </c>
      <c r="C1223" s="1" t="str">
        <f>TEXT(Walmart[[#This Row],[Order Date]],"mmmm")</f>
        <v>May</v>
      </c>
      <c r="D1223" s="1">
        <v>41771</v>
      </c>
      <c r="E1223" s="1" t="str">
        <f>IF(DATEDIF(Walmart[[#This Row],[Order Date]],Walmart[[#This Row],[Ship Date]],"D")&lt;7,"On time","Delayed")</f>
        <v>On time</v>
      </c>
      <c r="F1223" t="s">
        <v>1303</v>
      </c>
      <c r="G1223" t="s">
        <v>14</v>
      </c>
      <c r="H1223" t="s">
        <v>100</v>
      </c>
      <c r="I1223" t="s">
        <v>16</v>
      </c>
      <c r="J1223" t="s">
        <v>146</v>
      </c>
      <c r="K1223" t="s">
        <v>3383</v>
      </c>
      <c r="L1223">
        <v>419.94</v>
      </c>
      <c r="M1223">
        <v>7</v>
      </c>
      <c r="N1223" t="str">
        <f>IF(Walmart[[#This Row],[Quantity]]&gt;=7,"Bulk",IF(Walmart[[#This Row],[Quantity]]&gt;=2,"Multi","Single"))</f>
        <v>Bulk</v>
      </c>
      <c r="O1223">
        <v>52.49</v>
      </c>
      <c r="P1223" t="str">
        <f>IF(Walmart[[#This Row],[Sales]]&gt;=1000,"High Value", IF(Walmart[[#This Row],[Sales]]&gt;=500,"Medium Value","Low Value"))</f>
        <v>Low Value</v>
      </c>
    </row>
    <row r="1224" spans="1:16" hidden="1" x14ac:dyDescent="0.3">
      <c r="A1224" t="s">
        <v>2906</v>
      </c>
      <c r="B1224" s="1">
        <v>40872</v>
      </c>
      <c r="C1224" s="1" t="str">
        <f>TEXT(Walmart[[#This Row],[Order Date]],"mmmm")</f>
        <v>November</v>
      </c>
      <c r="D1224" s="1">
        <v>40876</v>
      </c>
      <c r="E1224" s="1" t="str">
        <f>IF(DATEDIF(Walmart[[#This Row],[Order Date]],Walmart[[#This Row],[Ship Date]],"D")&lt;7,"On time","Delayed")</f>
        <v>On time</v>
      </c>
      <c r="F1224" t="s">
        <v>1954</v>
      </c>
      <c r="G1224" t="s">
        <v>14</v>
      </c>
      <c r="H1224" t="s">
        <v>15</v>
      </c>
      <c r="I1224" t="s">
        <v>16</v>
      </c>
      <c r="J1224" t="s">
        <v>146</v>
      </c>
      <c r="K1224" t="s">
        <v>1497</v>
      </c>
      <c r="L1224">
        <v>539.91999999999996</v>
      </c>
      <c r="M1224">
        <v>5</v>
      </c>
      <c r="N1224" t="str">
        <f>IF(Walmart[[#This Row],[Quantity]]&gt;=7,"Bulk",IF(Walmart[[#This Row],[Quantity]]&gt;=2,"Multi","Single"))</f>
        <v>Multi</v>
      </c>
      <c r="O1224">
        <v>47.24</v>
      </c>
      <c r="P1224" t="str">
        <f>IF(Walmart[[#This Row],[Sales]]&gt;=1000,"High Value", IF(Walmart[[#This Row],[Sales]]&gt;=500,"Medium Value","Low Value"))</f>
        <v>Medium Value</v>
      </c>
    </row>
    <row r="1225" spans="1:16" hidden="1" x14ac:dyDescent="0.3">
      <c r="A1225" t="s">
        <v>2907</v>
      </c>
      <c r="B1225" s="1">
        <v>41234</v>
      </c>
      <c r="C1225" s="1" t="str">
        <f>TEXT(Walmart[[#This Row],[Order Date]],"mmmm")</f>
        <v>November</v>
      </c>
      <c r="D1225" s="1">
        <v>41236</v>
      </c>
      <c r="E1225" s="1" t="str">
        <f>IF(DATEDIF(Walmart[[#This Row],[Order Date]],Walmart[[#This Row],[Ship Date]],"D")&lt;7,"On time","Delayed")</f>
        <v>On time</v>
      </c>
      <c r="F1225" t="s">
        <v>443</v>
      </c>
      <c r="G1225" t="s">
        <v>14</v>
      </c>
      <c r="H1225" t="s">
        <v>84</v>
      </c>
      <c r="I1225" t="s">
        <v>58</v>
      </c>
      <c r="J1225" t="s">
        <v>105</v>
      </c>
      <c r="K1225" t="s">
        <v>2908</v>
      </c>
      <c r="L1225">
        <v>325.63</v>
      </c>
      <c r="M1225">
        <v>6</v>
      </c>
      <c r="N1225" t="str">
        <f>IF(Walmart[[#This Row],[Quantity]]&gt;=7,"Bulk",IF(Walmart[[#This Row],[Quantity]]&gt;=2,"Multi","Single"))</f>
        <v>Multi</v>
      </c>
      <c r="O1225">
        <v>28.49</v>
      </c>
      <c r="P1225" t="str">
        <f>IF(Walmart[[#This Row],[Sales]]&gt;=1000,"High Value", IF(Walmart[[#This Row],[Sales]]&gt;=500,"Medium Value","Low Value"))</f>
        <v>Low Value</v>
      </c>
    </row>
    <row r="1226" spans="1:16" hidden="1" x14ac:dyDescent="0.3">
      <c r="A1226" t="s">
        <v>2909</v>
      </c>
      <c r="B1226" s="1">
        <v>41554</v>
      </c>
      <c r="C1226" s="1" t="str">
        <f>TEXT(Walmart[[#This Row],[Order Date]],"mmmm")</f>
        <v>October</v>
      </c>
      <c r="D1226" s="1">
        <v>41555</v>
      </c>
      <c r="E1226" s="1" t="str">
        <f>IF(DATEDIF(Walmart[[#This Row],[Order Date]],Walmart[[#This Row],[Ship Date]],"D")&lt;7,"On time","Delayed")</f>
        <v>On time</v>
      </c>
      <c r="F1226" t="s">
        <v>2872</v>
      </c>
      <c r="G1226" t="s">
        <v>14</v>
      </c>
      <c r="H1226" t="s">
        <v>631</v>
      </c>
      <c r="I1226" t="s">
        <v>77</v>
      </c>
      <c r="J1226" t="s">
        <v>1168</v>
      </c>
      <c r="K1226" t="s">
        <v>2910</v>
      </c>
      <c r="L1226">
        <v>703.71</v>
      </c>
      <c r="M1226">
        <v>6</v>
      </c>
      <c r="N1226" t="str">
        <f>IF(Walmart[[#This Row],[Quantity]]&gt;=7,"Bulk",IF(Walmart[[#This Row],[Quantity]]&gt;=2,"Multi","Single"))</f>
        <v>Multi</v>
      </c>
      <c r="O1226">
        <v>-938.28</v>
      </c>
      <c r="P1226" t="str">
        <f>IF(Walmart[[#This Row],[Sales]]&gt;=1000,"High Value", IF(Walmart[[#This Row],[Sales]]&gt;=500,"Medium Value","Low Value"))</f>
        <v>Medium Value</v>
      </c>
    </row>
    <row r="1227" spans="1:16" hidden="1" x14ac:dyDescent="0.3">
      <c r="A1227" t="s">
        <v>2911</v>
      </c>
      <c r="B1227" s="1">
        <v>41004</v>
      </c>
      <c r="C1227" s="1" t="str">
        <f>TEXT(Walmart[[#This Row],[Order Date]],"mmmm")</f>
        <v>April</v>
      </c>
      <c r="D1227" s="1">
        <v>41010</v>
      </c>
      <c r="E1227" s="1" t="str">
        <f>IF(DATEDIF(Walmart[[#This Row],[Order Date]],Walmart[[#This Row],[Ship Date]],"D")&lt;7,"On time","Delayed")</f>
        <v>On time</v>
      </c>
      <c r="F1227" t="s">
        <v>2912</v>
      </c>
      <c r="G1227" t="s">
        <v>14</v>
      </c>
      <c r="H1227" t="s">
        <v>15</v>
      </c>
      <c r="I1227" t="s">
        <v>16</v>
      </c>
      <c r="J1227" t="s">
        <v>88</v>
      </c>
      <c r="K1227" t="s">
        <v>2913</v>
      </c>
      <c r="L1227">
        <v>892.22</v>
      </c>
      <c r="M1227">
        <v>3</v>
      </c>
      <c r="N1227" t="str">
        <f>IF(Walmart[[#This Row],[Quantity]]&gt;=7,"Bulk",IF(Walmart[[#This Row],[Quantity]]&gt;=2,"Multi","Single"))</f>
        <v>Multi</v>
      </c>
      <c r="O1227">
        <v>89.22</v>
      </c>
      <c r="P1227" t="str">
        <f>IF(Walmart[[#This Row],[Sales]]&gt;=1000,"High Value", IF(Walmart[[#This Row],[Sales]]&gt;=500,"Medium Value","Low Value"))</f>
        <v>Medium Value</v>
      </c>
    </row>
    <row r="1228" spans="1:16" hidden="1" x14ac:dyDescent="0.3">
      <c r="A1228" t="s">
        <v>2914</v>
      </c>
      <c r="B1228" s="1">
        <v>41349</v>
      </c>
      <c r="C1228" s="1" t="str">
        <f>TEXT(Walmart[[#This Row],[Order Date]],"mmmm")</f>
        <v>March</v>
      </c>
      <c r="D1228" s="1">
        <v>41350</v>
      </c>
      <c r="E1228" s="1" t="str">
        <f>IF(DATEDIF(Walmart[[#This Row],[Order Date]],Walmart[[#This Row],[Ship Date]],"D")&lt;7,"On time","Delayed")</f>
        <v>On time</v>
      </c>
      <c r="F1228" t="s">
        <v>2111</v>
      </c>
      <c r="G1228" t="s">
        <v>14</v>
      </c>
      <c r="H1228" t="s">
        <v>37</v>
      </c>
      <c r="I1228" t="s">
        <v>16</v>
      </c>
      <c r="J1228" t="s">
        <v>27</v>
      </c>
      <c r="K1228" t="s">
        <v>2915</v>
      </c>
      <c r="L1228">
        <v>4.54</v>
      </c>
      <c r="M1228">
        <v>2</v>
      </c>
      <c r="N1228" t="str">
        <f>IF(Walmart[[#This Row],[Quantity]]&gt;=7,"Bulk",IF(Walmart[[#This Row],[Quantity]]&gt;=2,"Multi","Single"))</f>
        <v>Multi</v>
      </c>
      <c r="O1228">
        <v>1.65</v>
      </c>
      <c r="P1228" t="str">
        <f>IF(Walmart[[#This Row],[Sales]]&gt;=1000,"High Value", IF(Walmart[[#This Row],[Sales]]&gt;=500,"Medium Value","Low Value"))</f>
        <v>Low Value</v>
      </c>
    </row>
    <row r="1229" spans="1:16" hidden="1" x14ac:dyDescent="0.3">
      <c r="A1229" t="s">
        <v>2916</v>
      </c>
      <c r="B1229" s="1">
        <v>41243</v>
      </c>
      <c r="C1229" s="1" t="str">
        <f>TEXT(Walmart[[#This Row],[Order Date]],"mmmm")</f>
        <v>November</v>
      </c>
      <c r="D1229" s="1">
        <v>41245</v>
      </c>
      <c r="E1229" s="1" t="str">
        <f>IF(DATEDIF(Walmart[[#This Row],[Order Date]],Walmart[[#This Row],[Ship Date]],"D")&lt;7,"On time","Delayed")</f>
        <v>On time</v>
      </c>
      <c r="F1229" t="s">
        <v>1225</v>
      </c>
      <c r="G1229" t="s">
        <v>14</v>
      </c>
      <c r="H1229" t="s">
        <v>226</v>
      </c>
      <c r="I1229" t="s">
        <v>227</v>
      </c>
      <c r="J1229" t="s">
        <v>21</v>
      </c>
      <c r="K1229" t="s">
        <v>2917</v>
      </c>
      <c r="L1229">
        <v>80.959999999999994</v>
      </c>
      <c r="M1229">
        <v>4</v>
      </c>
      <c r="N1229" t="str">
        <f>IF(Walmart[[#This Row],[Quantity]]&gt;=7,"Bulk",IF(Walmart[[#This Row],[Quantity]]&gt;=2,"Multi","Single"))</f>
        <v>Multi</v>
      </c>
      <c r="O1229">
        <v>29.15</v>
      </c>
      <c r="P1229" t="str">
        <f>IF(Walmart[[#This Row],[Sales]]&gt;=1000,"High Value", IF(Walmart[[#This Row],[Sales]]&gt;=500,"Medium Value","Low Value"))</f>
        <v>Low Value</v>
      </c>
    </row>
    <row r="1230" spans="1:16" hidden="1" x14ac:dyDescent="0.3">
      <c r="A1230" t="s">
        <v>2918</v>
      </c>
      <c r="B1230" s="1">
        <v>40648</v>
      </c>
      <c r="C1230" s="1" t="str">
        <f>TEXT(Walmart[[#This Row],[Order Date]],"mmmm")</f>
        <v>April</v>
      </c>
      <c r="D1230" s="1">
        <v>40648</v>
      </c>
      <c r="E1230" s="1" t="str">
        <f>IF(DATEDIF(Walmart[[#This Row],[Order Date]],Walmart[[#This Row],[Ship Date]],"D")&lt;7,"On time","Delayed")</f>
        <v>On time</v>
      </c>
      <c r="F1230" t="s">
        <v>2919</v>
      </c>
      <c r="G1230" t="s">
        <v>14</v>
      </c>
      <c r="H1230" t="s">
        <v>15</v>
      </c>
      <c r="I1230" t="s">
        <v>16</v>
      </c>
      <c r="J1230" t="s">
        <v>105</v>
      </c>
      <c r="K1230" t="s">
        <v>841</v>
      </c>
      <c r="L1230">
        <v>106.96</v>
      </c>
      <c r="M1230">
        <v>2</v>
      </c>
      <c r="N1230" t="str">
        <f>IF(Walmart[[#This Row],[Quantity]]&gt;=7,"Bulk",IF(Walmart[[#This Row],[Quantity]]&gt;=2,"Multi","Single"))</f>
        <v>Multi</v>
      </c>
      <c r="O1230">
        <v>31.02</v>
      </c>
      <c r="P1230" t="str">
        <f>IF(Walmart[[#This Row],[Sales]]&gt;=1000,"High Value", IF(Walmart[[#This Row],[Sales]]&gt;=500,"Medium Value","Low Value"))</f>
        <v>Low Value</v>
      </c>
    </row>
    <row r="1231" spans="1:16" x14ac:dyDescent="0.3">
      <c r="A1231" t="s">
        <v>2922</v>
      </c>
      <c r="B1231" s="1">
        <v>41766</v>
      </c>
      <c r="C1231" s="1" t="str">
        <f>TEXT(Walmart[[#This Row],[Order Date]],"mmmm")</f>
        <v>May</v>
      </c>
      <c r="D1231" s="1">
        <v>41769</v>
      </c>
      <c r="E1231" s="1" t="str">
        <f>IF(DATEDIF(Walmart[[#This Row],[Order Date]],Walmart[[#This Row],[Ship Date]],"D")&lt;7,"On time","Delayed")</f>
        <v>On time</v>
      </c>
      <c r="F1231" t="s">
        <v>2923</v>
      </c>
      <c r="G1231" t="s">
        <v>14</v>
      </c>
      <c r="H1231" t="s">
        <v>1012</v>
      </c>
      <c r="I1231" t="s">
        <v>16</v>
      </c>
      <c r="J1231" t="s">
        <v>105</v>
      </c>
      <c r="K1231" t="s">
        <v>2924</v>
      </c>
      <c r="L1231">
        <v>152.94</v>
      </c>
      <c r="M1231">
        <v>3</v>
      </c>
      <c r="N1231" t="str">
        <f>IF(Walmart[[#This Row],[Quantity]]&gt;=7,"Bulk",IF(Walmart[[#This Row],[Quantity]]&gt;=2,"Multi","Single"))</f>
        <v>Multi</v>
      </c>
      <c r="O1231">
        <v>41.29</v>
      </c>
      <c r="P1231" t="str">
        <f>IF(Walmart[[#This Row],[Sales]]&gt;=1000,"High Value", IF(Walmart[[#This Row],[Sales]]&gt;=500,"Medium Value","Low Value"))</f>
        <v>Low Value</v>
      </c>
    </row>
    <row r="1232" spans="1:16" x14ac:dyDescent="0.3">
      <c r="A1232" t="s">
        <v>3114</v>
      </c>
      <c r="B1232" s="1">
        <v>41766</v>
      </c>
      <c r="C1232" s="1" t="str">
        <f>TEXT(Walmart[[#This Row],[Order Date]],"mmmm")</f>
        <v>May</v>
      </c>
      <c r="D1232" s="1">
        <v>41770</v>
      </c>
      <c r="E1232" s="1" t="str">
        <f>IF(DATEDIF(Walmart[[#This Row],[Order Date]],Walmart[[#This Row],[Ship Date]],"D")&lt;7,"On time","Delayed")</f>
        <v>On time</v>
      </c>
      <c r="F1232" t="s">
        <v>198</v>
      </c>
      <c r="G1232" t="s">
        <v>14</v>
      </c>
      <c r="H1232" t="s">
        <v>215</v>
      </c>
      <c r="I1232" t="s">
        <v>58</v>
      </c>
      <c r="J1232" t="s">
        <v>93</v>
      </c>
      <c r="K1232" t="s">
        <v>2126</v>
      </c>
      <c r="L1232">
        <v>84.42</v>
      </c>
      <c r="M1232">
        <v>4</v>
      </c>
      <c r="N1232" t="str">
        <f>IF(Walmart[[#This Row],[Quantity]]&gt;=7,"Bulk",IF(Walmart[[#This Row],[Quantity]]&gt;=2,"Multi","Single"))</f>
        <v>Multi</v>
      </c>
      <c r="O1232">
        <v>27.44</v>
      </c>
      <c r="P1232" t="str">
        <f>IF(Walmart[[#This Row],[Sales]]&gt;=1000,"High Value", IF(Walmart[[#This Row],[Sales]]&gt;=500,"Medium Value","Low Value"))</f>
        <v>Low Value</v>
      </c>
    </row>
    <row r="1233" spans="1:16" hidden="1" x14ac:dyDescent="0.3">
      <c r="A1233" t="s">
        <v>2925</v>
      </c>
      <c r="B1233" s="1">
        <v>40906</v>
      </c>
      <c r="C1233" s="1" t="str">
        <f>TEXT(Walmart[[#This Row],[Order Date]],"mmmm")</f>
        <v>December</v>
      </c>
      <c r="D1233" s="1">
        <v>40911</v>
      </c>
      <c r="E1233" s="1" t="str">
        <f>IF(DATEDIF(Walmart[[#This Row],[Order Date]],Walmart[[#This Row],[Ship Date]],"D")&lt;7,"On time","Delayed")</f>
        <v>On time</v>
      </c>
      <c r="F1233" t="s">
        <v>2063</v>
      </c>
      <c r="G1233" t="s">
        <v>14</v>
      </c>
      <c r="H1233" t="s">
        <v>164</v>
      </c>
      <c r="I1233" t="s">
        <v>16</v>
      </c>
      <c r="J1233" t="s">
        <v>17</v>
      </c>
      <c r="K1233" t="s">
        <v>269</v>
      </c>
      <c r="L1233">
        <v>88.8</v>
      </c>
      <c r="M1233">
        <v>6</v>
      </c>
      <c r="N1233" t="str">
        <f>IF(Walmart[[#This Row],[Quantity]]&gt;=7,"Bulk",IF(Walmart[[#This Row],[Quantity]]&gt;=2,"Multi","Single"))</f>
        <v>Multi</v>
      </c>
      <c r="O1233">
        <v>44.4</v>
      </c>
      <c r="P1233" t="str">
        <f>IF(Walmart[[#This Row],[Sales]]&gt;=1000,"High Value", IF(Walmart[[#This Row],[Sales]]&gt;=500,"Medium Value","Low Value"))</f>
        <v>Low Value</v>
      </c>
    </row>
    <row r="1234" spans="1:16" hidden="1" x14ac:dyDescent="0.3">
      <c r="A1234" t="s">
        <v>2926</v>
      </c>
      <c r="B1234" s="1">
        <v>41356</v>
      </c>
      <c r="C1234" s="1" t="str">
        <f>TEXT(Walmart[[#This Row],[Order Date]],"mmmm")</f>
        <v>March</v>
      </c>
      <c r="D1234" s="1">
        <v>41356</v>
      </c>
      <c r="E1234" s="1" t="str">
        <f>IF(DATEDIF(Walmart[[#This Row],[Order Date]],Walmart[[#This Row],[Ship Date]],"D")&lt;7,"On time","Delayed")</f>
        <v>On time</v>
      </c>
      <c r="F1234" t="s">
        <v>976</v>
      </c>
      <c r="G1234" t="s">
        <v>14</v>
      </c>
      <c r="H1234" t="s">
        <v>25</v>
      </c>
      <c r="I1234" t="s">
        <v>26</v>
      </c>
      <c r="J1234" t="s">
        <v>88</v>
      </c>
      <c r="K1234" t="s">
        <v>2927</v>
      </c>
      <c r="L1234">
        <v>167.89</v>
      </c>
      <c r="M1234">
        <v>7</v>
      </c>
      <c r="N1234" t="str">
        <f>IF(Walmart[[#This Row],[Quantity]]&gt;=7,"Bulk",IF(Walmart[[#This Row],[Quantity]]&gt;=2,"Multi","Single"))</f>
        <v>Bulk</v>
      </c>
      <c r="O1234">
        <v>14.69</v>
      </c>
      <c r="P1234" t="str">
        <f>IF(Walmart[[#This Row],[Sales]]&gt;=1000,"High Value", IF(Walmart[[#This Row],[Sales]]&gt;=500,"Medium Value","Low Value"))</f>
        <v>Low Value</v>
      </c>
    </row>
    <row r="1235" spans="1:16" x14ac:dyDescent="0.3">
      <c r="A1235" t="s">
        <v>2115</v>
      </c>
      <c r="B1235" s="1">
        <v>41765</v>
      </c>
      <c r="C1235" s="1" t="str">
        <f>TEXT(Walmart[[#This Row],[Order Date]],"mmmm")</f>
        <v>May</v>
      </c>
      <c r="D1235" s="1">
        <v>41769</v>
      </c>
      <c r="E1235" s="1" t="str">
        <f>IF(DATEDIF(Walmart[[#This Row],[Order Date]],Walmart[[#This Row],[Ship Date]],"D")&lt;7,"On time","Delayed")</f>
        <v>On time</v>
      </c>
      <c r="F1235" t="s">
        <v>2116</v>
      </c>
      <c r="G1235" t="s">
        <v>14</v>
      </c>
      <c r="H1235" t="s">
        <v>37</v>
      </c>
      <c r="I1235" t="s">
        <v>16</v>
      </c>
      <c r="J1235" t="s">
        <v>124</v>
      </c>
      <c r="K1235" t="s">
        <v>2117</v>
      </c>
      <c r="L1235">
        <v>23.16</v>
      </c>
      <c r="M1235">
        <v>2</v>
      </c>
      <c r="N1235" t="str">
        <f>IF(Walmart[[#This Row],[Quantity]]&gt;=7,"Bulk",IF(Walmart[[#This Row],[Quantity]]&gt;=2,"Multi","Single"))</f>
        <v>Multi</v>
      </c>
      <c r="O1235">
        <v>11.58</v>
      </c>
      <c r="P1235" t="str">
        <f>IF(Walmart[[#This Row],[Sales]]&gt;=1000,"High Value", IF(Walmart[[#This Row],[Sales]]&gt;=500,"Medium Value","Low Value"))</f>
        <v>Low Value</v>
      </c>
    </row>
    <row r="1236" spans="1:16" hidden="1" x14ac:dyDescent="0.3">
      <c r="A1236" t="s">
        <v>2931</v>
      </c>
      <c r="B1236" s="1">
        <v>41001</v>
      </c>
      <c r="C1236" s="1" t="str">
        <f>TEXT(Walmart[[#This Row],[Order Date]],"mmmm")</f>
        <v>April</v>
      </c>
      <c r="D1236" s="1">
        <v>41006</v>
      </c>
      <c r="E1236" s="1" t="str">
        <f>IF(DATEDIF(Walmart[[#This Row],[Order Date]],Walmart[[#This Row],[Ship Date]],"D")&lt;7,"On time","Delayed")</f>
        <v>On time</v>
      </c>
      <c r="F1236" t="s">
        <v>481</v>
      </c>
      <c r="G1236" t="s">
        <v>14</v>
      </c>
      <c r="H1236" t="s">
        <v>299</v>
      </c>
      <c r="I1236" t="s">
        <v>58</v>
      </c>
      <c r="J1236" t="s">
        <v>146</v>
      </c>
      <c r="K1236" t="s">
        <v>2932</v>
      </c>
      <c r="L1236">
        <v>87.8</v>
      </c>
      <c r="M1236">
        <v>5</v>
      </c>
      <c r="N1236" t="str">
        <f>IF(Walmart[[#This Row],[Quantity]]&gt;=7,"Bulk",IF(Walmart[[#This Row],[Quantity]]&gt;=2,"Multi","Single"))</f>
        <v>Multi</v>
      </c>
      <c r="O1236">
        <v>32.93</v>
      </c>
      <c r="P1236" t="str">
        <f>IF(Walmart[[#This Row],[Sales]]&gt;=1000,"High Value", IF(Walmart[[#This Row],[Sales]]&gt;=500,"Medium Value","Low Value"))</f>
        <v>Low Value</v>
      </c>
    </row>
    <row r="1237" spans="1:16" hidden="1" x14ac:dyDescent="0.3">
      <c r="A1237" t="s">
        <v>2933</v>
      </c>
      <c r="B1237" s="1">
        <v>40882</v>
      </c>
      <c r="C1237" s="1" t="str">
        <f>TEXT(Walmart[[#This Row],[Order Date]],"mmmm")</f>
        <v>December</v>
      </c>
      <c r="D1237" s="1">
        <v>40884</v>
      </c>
      <c r="E1237" s="1" t="str">
        <f>IF(DATEDIF(Walmart[[#This Row],[Order Date]],Walmart[[#This Row],[Ship Date]],"D")&lt;7,"On time","Delayed")</f>
        <v>On time</v>
      </c>
      <c r="F1237" t="s">
        <v>2934</v>
      </c>
      <c r="G1237" t="s">
        <v>14</v>
      </c>
      <c r="H1237" t="s">
        <v>15</v>
      </c>
      <c r="I1237" t="s">
        <v>16</v>
      </c>
      <c r="J1237" t="s">
        <v>105</v>
      </c>
      <c r="K1237" t="s">
        <v>2935</v>
      </c>
      <c r="L1237">
        <v>250.26</v>
      </c>
      <c r="M1237">
        <v>6</v>
      </c>
      <c r="N1237" t="str">
        <f>IF(Walmart[[#This Row],[Quantity]]&gt;=7,"Bulk",IF(Walmart[[#This Row],[Quantity]]&gt;=2,"Multi","Single"))</f>
        <v>Multi</v>
      </c>
      <c r="O1237">
        <v>72.58</v>
      </c>
      <c r="P1237" t="str">
        <f>IF(Walmart[[#This Row],[Sales]]&gt;=1000,"High Value", IF(Walmart[[#This Row],[Sales]]&gt;=500,"Medium Value","Low Value"))</f>
        <v>Low Value</v>
      </c>
    </row>
    <row r="1238" spans="1:16" hidden="1" x14ac:dyDescent="0.3">
      <c r="A1238" t="s">
        <v>2936</v>
      </c>
      <c r="B1238" s="1">
        <v>40914</v>
      </c>
      <c r="C1238" s="1" t="str">
        <f>TEXT(Walmart[[#This Row],[Order Date]],"mmmm")</f>
        <v>January</v>
      </c>
      <c r="D1238" s="1">
        <v>40920</v>
      </c>
      <c r="E1238" s="1" t="str">
        <f>IF(DATEDIF(Walmart[[#This Row],[Order Date]],Walmart[[#This Row],[Ship Date]],"D")&lt;7,"On time","Delayed")</f>
        <v>On time</v>
      </c>
      <c r="F1238" t="s">
        <v>876</v>
      </c>
      <c r="G1238" t="s">
        <v>14</v>
      </c>
      <c r="H1238" t="s">
        <v>182</v>
      </c>
      <c r="I1238" t="s">
        <v>77</v>
      </c>
      <c r="J1238" t="s">
        <v>93</v>
      </c>
      <c r="K1238" t="s">
        <v>2937</v>
      </c>
      <c r="L1238">
        <v>29.6</v>
      </c>
      <c r="M1238">
        <v>5</v>
      </c>
      <c r="N1238" t="str">
        <f>IF(Walmart[[#This Row],[Quantity]]&gt;=7,"Bulk",IF(Walmart[[#This Row],[Quantity]]&gt;=2,"Multi","Single"))</f>
        <v>Multi</v>
      </c>
      <c r="O1238">
        <v>9.25</v>
      </c>
      <c r="P1238" t="str">
        <f>IF(Walmart[[#This Row],[Sales]]&gt;=1000,"High Value", IF(Walmart[[#This Row],[Sales]]&gt;=500,"Medium Value","Low Value"))</f>
        <v>Low Value</v>
      </c>
    </row>
    <row r="1239" spans="1:16" x14ac:dyDescent="0.3">
      <c r="A1239" t="s">
        <v>2158</v>
      </c>
      <c r="B1239" s="1">
        <v>41765</v>
      </c>
      <c r="C1239" s="1" t="str">
        <f>TEXT(Walmart[[#This Row],[Order Date]],"mmmm")</f>
        <v>May</v>
      </c>
      <c r="D1239" s="1">
        <v>41766</v>
      </c>
      <c r="E1239" s="1" t="str">
        <f>IF(DATEDIF(Walmart[[#This Row],[Order Date]],Walmart[[#This Row],[Ship Date]],"D")&lt;7,"On time","Delayed")</f>
        <v>On time</v>
      </c>
      <c r="F1239" t="s">
        <v>1391</v>
      </c>
      <c r="G1239" t="s">
        <v>14</v>
      </c>
      <c r="H1239" t="s">
        <v>247</v>
      </c>
      <c r="I1239" t="s">
        <v>77</v>
      </c>
      <c r="J1239" t="s">
        <v>124</v>
      </c>
      <c r="K1239" t="s">
        <v>515</v>
      </c>
      <c r="L1239">
        <v>21.24</v>
      </c>
      <c r="M1239">
        <v>9</v>
      </c>
      <c r="N1239" t="str">
        <f>IF(Walmart[[#This Row],[Quantity]]&gt;=7,"Bulk",IF(Walmart[[#This Row],[Quantity]]&gt;=2,"Multi","Single"))</f>
        <v>Bulk</v>
      </c>
      <c r="O1239">
        <v>7.43</v>
      </c>
      <c r="P1239" t="str">
        <f>IF(Walmart[[#This Row],[Sales]]&gt;=1000,"High Value", IF(Walmart[[#This Row],[Sales]]&gt;=500,"Medium Value","Low Value"))</f>
        <v>Low Value</v>
      </c>
    </row>
    <row r="1240" spans="1:16" x14ac:dyDescent="0.3">
      <c r="A1240" t="s">
        <v>657</v>
      </c>
      <c r="B1240" s="1">
        <v>41764</v>
      </c>
      <c r="C1240" s="1" t="str">
        <f>TEXT(Walmart[[#This Row],[Order Date]],"mmmm")</f>
        <v>May</v>
      </c>
      <c r="D1240" s="1">
        <v>41769</v>
      </c>
      <c r="E1240" s="1" t="str">
        <f>IF(DATEDIF(Walmart[[#This Row],[Order Date]],Walmart[[#This Row],[Ship Date]],"D")&lt;7,"On time","Delayed")</f>
        <v>On time</v>
      </c>
      <c r="F1240" t="s">
        <v>494</v>
      </c>
      <c r="G1240" t="s">
        <v>14</v>
      </c>
      <c r="H1240" t="s">
        <v>37</v>
      </c>
      <c r="I1240" t="s">
        <v>16</v>
      </c>
      <c r="J1240" t="s">
        <v>146</v>
      </c>
      <c r="K1240" t="s">
        <v>658</v>
      </c>
      <c r="L1240">
        <v>183.96</v>
      </c>
      <c r="M1240">
        <v>5</v>
      </c>
      <c r="N1240" t="str">
        <f>IF(Walmart[[#This Row],[Quantity]]&gt;=7,"Bulk",IF(Walmart[[#This Row],[Quantity]]&gt;=2,"Multi","Single"))</f>
        <v>Multi</v>
      </c>
      <c r="O1240">
        <v>20.7</v>
      </c>
      <c r="P1240" t="str">
        <f>IF(Walmart[[#This Row],[Sales]]&gt;=1000,"High Value", IF(Walmart[[#This Row],[Sales]]&gt;=500,"Medium Value","Low Value"))</f>
        <v>Low Value</v>
      </c>
    </row>
    <row r="1241" spans="1:16" x14ac:dyDescent="0.3">
      <c r="A1241" t="s">
        <v>3551</v>
      </c>
      <c r="B1241" s="1">
        <v>41764</v>
      </c>
      <c r="C1241" s="1" t="str">
        <f>TEXT(Walmart[[#This Row],[Order Date]],"mmmm")</f>
        <v>May</v>
      </c>
      <c r="D1241" s="1">
        <v>41769</v>
      </c>
      <c r="E1241" s="1" t="str">
        <f>IF(DATEDIF(Walmart[[#This Row],[Order Date]],Walmart[[#This Row],[Ship Date]],"D")&lt;7,"On time","Delayed")</f>
        <v>On time</v>
      </c>
      <c r="F1241" t="s">
        <v>1496</v>
      </c>
      <c r="G1241" t="s">
        <v>14</v>
      </c>
      <c r="H1241" t="s">
        <v>717</v>
      </c>
      <c r="I1241" t="s">
        <v>16</v>
      </c>
      <c r="J1241" t="s">
        <v>105</v>
      </c>
      <c r="K1241" t="s">
        <v>3552</v>
      </c>
      <c r="L1241">
        <v>243.16</v>
      </c>
      <c r="M1241">
        <v>2</v>
      </c>
      <c r="N1241" t="str">
        <f>IF(Walmart[[#This Row],[Quantity]]&gt;=7,"Bulk",IF(Walmart[[#This Row],[Quantity]]&gt;=2,"Multi","Single"))</f>
        <v>Multi</v>
      </c>
      <c r="O1241">
        <v>72.95</v>
      </c>
      <c r="P1241" t="str">
        <f>IF(Walmart[[#This Row],[Sales]]&gt;=1000,"High Value", IF(Walmart[[#This Row],[Sales]]&gt;=500,"Medium Value","Low Value"))</f>
        <v>Low Value</v>
      </c>
    </row>
    <row r="1242" spans="1:16" x14ac:dyDescent="0.3">
      <c r="A1242" t="s">
        <v>1604</v>
      </c>
      <c r="B1242" s="1">
        <v>41763</v>
      </c>
      <c r="C1242" s="1" t="str">
        <f>TEXT(Walmart[[#This Row],[Order Date]],"mmmm")</f>
        <v>May</v>
      </c>
      <c r="D1242" s="1">
        <v>41768</v>
      </c>
      <c r="E1242" s="1" t="str">
        <f>IF(DATEDIF(Walmart[[#This Row],[Order Date]],Walmart[[#This Row],[Ship Date]],"D")&lt;7,"On time","Delayed")</f>
        <v>On time</v>
      </c>
      <c r="F1242" t="s">
        <v>1605</v>
      </c>
      <c r="G1242" t="s">
        <v>14</v>
      </c>
      <c r="H1242" t="s">
        <v>15</v>
      </c>
      <c r="I1242" t="s">
        <v>16</v>
      </c>
      <c r="J1242" t="s">
        <v>33</v>
      </c>
      <c r="K1242" t="s">
        <v>1606</v>
      </c>
      <c r="L1242">
        <v>69.52</v>
      </c>
      <c r="M1242">
        <v>2</v>
      </c>
      <c r="N1242" t="str">
        <f>IF(Walmart[[#This Row],[Quantity]]&gt;=7,"Bulk",IF(Walmart[[#This Row],[Quantity]]&gt;=2,"Multi","Single"))</f>
        <v>Multi</v>
      </c>
      <c r="O1242">
        <v>19.47</v>
      </c>
      <c r="P1242" t="str">
        <f>IF(Walmart[[#This Row],[Sales]]&gt;=1000,"High Value", IF(Walmart[[#This Row],[Sales]]&gt;=500,"Medium Value","Low Value"))</f>
        <v>Low Value</v>
      </c>
    </row>
    <row r="1243" spans="1:16" hidden="1" x14ac:dyDescent="0.3">
      <c r="A1243" t="s">
        <v>2945</v>
      </c>
      <c r="B1243" s="1">
        <v>41509</v>
      </c>
      <c r="C1243" s="1" t="str">
        <f>TEXT(Walmart[[#This Row],[Order Date]],"mmmm")</f>
        <v>August</v>
      </c>
      <c r="D1243" s="1">
        <v>41513</v>
      </c>
      <c r="E1243" s="1" t="str">
        <f>IF(DATEDIF(Walmart[[#This Row],[Order Date]],Walmart[[#This Row],[Ship Date]],"D")&lt;7,"On time","Delayed")</f>
        <v>On time</v>
      </c>
      <c r="F1243" t="s">
        <v>2946</v>
      </c>
      <c r="G1243" t="s">
        <v>14</v>
      </c>
      <c r="H1243" t="s">
        <v>25</v>
      </c>
      <c r="I1243" t="s">
        <v>26</v>
      </c>
      <c r="J1243" t="s">
        <v>93</v>
      </c>
      <c r="K1243" t="s">
        <v>2947</v>
      </c>
      <c r="L1243">
        <v>19.440000000000001</v>
      </c>
      <c r="M1243">
        <v>3</v>
      </c>
      <c r="N1243" t="str">
        <f>IF(Walmart[[#This Row],[Quantity]]&gt;=7,"Bulk",IF(Walmart[[#This Row],[Quantity]]&gt;=2,"Multi","Single"))</f>
        <v>Multi</v>
      </c>
      <c r="O1243">
        <v>9.33</v>
      </c>
      <c r="P1243" t="str">
        <f>IF(Walmart[[#This Row],[Sales]]&gt;=1000,"High Value", IF(Walmart[[#This Row],[Sales]]&gt;=500,"Medium Value","Low Value"))</f>
        <v>Low Value</v>
      </c>
    </row>
    <row r="1244" spans="1:16" hidden="1" x14ac:dyDescent="0.3">
      <c r="A1244" t="s">
        <v>2948</v>
      </c>
      <c r="B1244" s="1">
        <v>40868</v>
      </c>
      <c r="C1244" s="1" t="str">
        <f>TEXT(Walmart[[#This Row],[Order Date]],"mmmm")</f>
        <v>November</v>
      </c>
      <c r="D1244" s="1">
        <v>40873</v>
      </c>
      <c r="E1244" s="1" t="str">
        <f>IF(DATEDIF(Walmart[[#This Row],[Order Date]],Walmart[[#This Row],[Ship Date]],"D")&lt;7,"On time","Delayed")</f>
        <v>On time</v>
      </c>
      <c r="F1244" t="s">
        <v>2392</v>
      </c>
      <c r="G1244" t="s">
        <v>14</v>
      </c>
      <c r="H1244" t="s">
        <v>37</v>
      </c>
      <c r="I1244" t="s">
        <v>16</v>
      </c>
      <c r="J1244" t="s">
        <v>93</v>
      </c>
      <c r="K1244" t="s">
        <v>2949</v>
      </c>
      <c r="L1244">
        <v>6.58</v>
      </c>
      <c r="M1244">
        <v>2</v>
      </c>
      <c r="N1244" t="str">
        <f>IF(Walmart[[#This Row],[Quantity]]&gt;=7,"Bulk",IF(Walmart[[#This Row],[Quantity]]&gt;=2,"Multi","Single"))</f>
        <v>Multi</v>
      </c>
      <c r="O1244">
        <v>3.03</v>
      </c>
      <c r="P1244" t="str">
        <f>IF(Walmart[[#This Row],[Sales]]&gt;=1000,"High Value", IF(Walmart[[#This Row],[Sales]]&gt;=500,"Medium Value","Low Value"))</f>
        <v>Low Value</v>
      </c>
    </row>
    <row r="1245" spans="1:16" hidden="1" x14ac:dyDescent="0.3">
      <c r="A1245" t="s">
        <v>2950</v>
      </c>
      <c r="B1245" s="1">
        <v>41176</v>
      </c>
      <c r="C1245" s="1" t="str">
        <f>TEXT(Walmart[[#This Row],[Order Date]],"mmmm")</f>
        <v>September</v>
      </c>
      <c r="D1245" s="1">
        <v>41178</v>
      </c>
      <c r="E1245" s="1" t="str">
        <f>IF(DATEDIF(Walmart[[#This Row],[Order Date]],Walmart[[#This Row],[Ship Date]],"D")&lt;7,"On time","Delayed")</f>
        <v>On time</v>
      </c>
      <c r="F1245" t="s">
        <v>2951</v>
      </c>
      <c r="G1245" t="s">
        <v>14</v>
      </c>
      <c r="H1245" t="s">
        <v>215</v>
      </c>
      <c r="I1245" t="s">
        <v>58</v>
      </c>
      <c r="J1245" t="s">
        <v>146</v>
      </c>
      <c r="K1245" t="s">
        <v>2932</v>
      </c>
      <c r="L1245">
        <v>35.119999999999997</v>
      </c>
      <c r="M1245">
        <v>2</v>
      </c>
      <c r="N1245" t="str">
        <f>IF(Walmart[[#This Row],[Quantity]]&gt;=7,"Bulk",IF(Walmart[[#This Row],[Quantity]]&gt;=2,"Multi","Single"))</f>
        <v>Multi</v>
      </c>
      <c r="O1245">
        <v>13.17</v>
      </c>
      <c r="P1245" t="str">
        <f>IF(Walmart[[#This Row],[Sales]]&gt;=1000,"High Value", IF(Walmart[[#This Row],[Sales]]&gt;=500,"Medium Value","Low Value"))</f>
        <v>Low Value</v>
      </c>
    </row>
    <row r="1246" spans="1:16" x14ac:dyDescent="0.3">
      <c r="A1246" t="s">
        <v>2902</v>
      </c>
      <c r="B1246" s="1">
        <v>41763</v>
      </c>
      <c r="C1246" s="1" t="str">
        <f>TEXT(Walmart[[#This Row],[Order Date]],"mmmm")</f>
        <v>May</v>
      </c>
      <c r="D1246" s="1">
        <v>41767</v>
      </c>
      <c r="E1246" s="1" t="str">
        <f>IF(DATEDIF(Walmart[[#This Row],[Order Date]],Walmart[[#This Row],[Ship Date]],"D")&lt;7,"On time","Delayed")</f>
        <v>On time</v>
      </c>
      <c r="F1246" t="s">
        <v>720</v>
      </c>
      <c r="G1246" t="s">
        <v>14</v>
      </c>
      <c r="H1246" t="s">
        <v>37</v>
      </c>
      <c r="I1246" t="s">
        <v>16</v>
      </c>
      <c r="J1246" t="s">
        <v>93</v>
      </c>
      <c r="K1246" t="s">
        <v>812</v>
      </c>
      <c r="L1246">
        <v>25.92</v>
      </c>
      <c r="M1246">
        <v>4</v>
      </c>
      <c r="N1246" t="str">
        <f>IF(Walmart[[#This Row],[Quantity]]&gt;=7,"Bulk",IF(Walmart[[#This Row],[Quantity]]&gt;=2,"Multi","Single"))</f>
        <v>Multi</v>
      </c>
      <c r="O1246">
        <v>12.44</v>
      </c>
      <c r="P1246" t="str">
        <f>IF(Walmart[[#This Row],[Sales]]&gt;=1000,"High Value", IF(Walmart[[#This Row],[Sales]]&gt;=500,"Medium Value","Low Value"))</f>
        <v>Low Value</v>
      </c>
    </row>
    <row r="1247" spans="1:16" x14ac:dyDescent="0.3">
      <c r="A1247" t="s">
        <v>2683</v>
      </c>
      <c r="B1247" s="1">
        <v>41762</v>
      </c>
      <c r="C1247" s="1" t="str">
        <f>TEXT(Walmart[[#This Row],[Order Date]],"mmmm")</f>
        <v>May</v>
      </c>
      <c r="D1247" s="1">
        <v>41765</v>
      </c>
      <c r="E1247" s="1" t="str">
        <f>IF(DATEDIF(Walmart[[#This Row],[Order Date]],Walmart[[#This Row],[Ship Date]],"D")&lt;7,"On time","Delayed")</f>
        <v>On time</v>
      </c>
      <c r="F1247" t="s">
        <v>2684</v>
      </c>
      <c r="G1247" t="s">
        <v>14</v>
      </c>
      <c r="H1247" t="s">
        <v>15</v>
      </c>
      <c r="I1247" t="s">
        <v>16</v>
      </c>
      <c r="J1247" t="s">
        <v>53</v>
      </c>
      <c r="K1247" t="s">
        <v>2685</v>
      </c>
      <c r="L1247">
        <v>159.56</v>
      </c>
      <c r="M1247">
        <v>4</v>
      </c>
      <c r="N1247" t="str">
        <f>IF(Walmart[[#This Row],[Quantity]]&gt;=7,"Bulk",IF(Walmart[[#This Row],[Quantity]]&gt;=2,"Multi","Single"))</f>
        <v>Multi</v>
      </c>
      <c r="O1247">
        <v>59.04</v>
      </c>
      <c r="P1247" t="str">
        <f>IF(Walmart[[#This Row],[Sales]]&gt;=1000,"High Value", IF(Walmart[[#This Row],[Sales]]&gt;=500,"Medium Value","Low Value"))</f>
        <v>Low Value</v>
      </c>
    </row>
    <row r="1248" spans="1:16" hidden="1" x14ac:dyDescent="0.3">
      <c r="A1248" t="s">
        <v>2956</v>
      </c>
      <c r="B1248" s="1">
        <v>41145</v>
      </c>
      <c r="C1248" s="1" t="str">
        <f>TEXT(Walmart[[#This Row],[Order Date]],"mmmm")</f>
        <v>August</v>
      </c>
      <c r="D1248" s="1">
        <v>41147</v>
      </c>
      <c r="E1248" s="1" t="str">
        <f>IF(DATEDIF(Walmart[[#This Row],[Order Date]],Walmart[[#This Row],[Ship Date]],"D")&lt;7,"On time","Delayed")</f>
        <v>On time</v>
      </c>
      <c r="F1248" t="s">
        <v>1619</v>
      </c>
      <c r="G1248" t="s">
        <v>14</v>
      </c>
      <c r="H1248" t="s">
        <v>68</v>
      </c>
      <c r="I1248" t="s">
        <v>69</v>
      </c>
      <c r="J1248" t="s">
        <v>38</v>
      </c>
      <c r="K1248" t="s">
        <v>62</v>
      </c>
      <c r="L1248">
        <v>7.15</v>
      </c>
      <c r="M1248">
        <v>3</v>
      </c>
      <c r="N1248" t="str">
        <f>IF(Walmart[[#This Row],[Quantity]]&gt;=7,"Bulk",IF(Walmart[[#This Row],[Quantity]]&gt;=2,"Multi","Single"))</f>
        <v>Multi</v>
      </c>
      <c r="O1248">
        <v>0.72</v>
      </c>
      <c r="P1248" t="str">
        <f>IF(Walmart[[#This Row],[Sales]]&gt;=1000,"High Value", IF(Walmart[[#This Row],[Sales]]&gt;=500,"Medium Value","Low Value"))</f>
        <v>Low Value</v>
      </c>
    </row>
    <row r="1249" spans="1:16" hidden="1" x14ac:dyDescent="0.3">
      <c r="A1249" t="s">
        <v>2957</v>
      </c>
      <c r="B1249" s="1">
        <v>41488</v>
      </c>
      <c r="C1249" s="1" t="str">
        <f>TEXT(Walmart[[#This Row],[Order Date]],"mmmm")</f>
        <v>August</v>
      </c>
      <c r="D1249" s="1">
        <v>41488</v>
      </c>
      <c r="E1249" s="1" t="str">
        <f>IF(DATEDIF(Walmart[[#This Row],[Order Date]],Walmart[[#This Row],[Ship Date]],"D")&lt;7,"On time","Delayed")</f>
        <v>On time</v>
      </c>
      <c r="F1249" t="s">
        <v>1499</v>
      </c>
      <c r="G1249" t="s">
        <v>14</v>
      </c>
      <c r="H1249" t="s">
        <v>471</v>
      </c>
      <c r="I1249" t="s">
        <v>16</v>
      </c>
      <c r="J1249" t="s">
        <v>146</v>
      </c>
      <c r="K1249" t="s">
        <v>2958</v>
      </c>
      <c r="L1249">
        <v>1039.73</v>
      </c>
      <c r="M1249">
        <v>2</v>
      </c>
      <c r="N1249" t="str">
        <f>IF(Walmart[[#This Row],[Quantity]]&gt;=7,"Bulk",IF(Walmart[[#This Row],[Quantity]]&gt;=2,"Multi","Single"))</f>
        <v>Multi</v>
      </c>
      <c r="O1249">
        <v>90.98</v>
      </c>
      <c r="P1249" t="str">
        <f>IF(Walmart[[#This Row],[Sales]]&gt;=1000,"High Value", IF(Walmart[[#This Row],[Sales]]&gt;=500,"Medium Value","Low Value"))</f>
        <v>High Value</v>
      </c>
    </row>
    <row r="1250" spans="1:16" hidden="1" x14ac:dyDescent="0.3">
      <c r="A1250" t="s">
        <v>2959</v>
      </c>
      <c r="B1250" s="1">
        <v>41378</v>
      </c>
      <c r="C1250" s="1" t="str">
        <f>TEXT(Walmart[[#This Row],[Order Date]],"mmmm")</f>
        <v>April</v>
      </c>
      <c r="D1250" s="1">
        <v>41380</v>
      </c>
      <c r="E1250" s="1" t="str">
        <f>IF(DATEDIF(Walmart[[#This Row],[Order Date]],Walmart[[#This Row],[Ship Date]],"D")&lt;7,"On time","Delayed")</f>
        <v>On time</v>
      </c>
      <c r="F1250" t="s">
        <v>1694</v>
      </c>
      <c r="G1250" t="s">
        <v>14</v>
      </c>
      <c r="H1250" t="s">
        <v>37</v>
      </c>
      <c r="I1250" t="s">
        <v>16</v>
      </c>
      <c r="J1250" t="s">
        <v>124</v>
      </c>
      <c r="K1250" t="s">
        <v>138</v>
      </c>
      <c r="L1250">
        <v>6.12</v>
      </c>
      <c r="M1250">
        <v>3</v>
      </c>
      <c r="N1250" t="str">
        <f>IF(Walmart[[#This Row],[Quantity]]&gt;=7,"Bulk",IF(Walmart[[#This Row],[Quantity]]&gt;=2,"Multi","Single"))</f>
        <v>Multi</v>
      </c>
      <c r="O1250">
        <v>2.88</v>
      </c>
      <c r="P1250" t="str">
        <f>IF(Walmart[[#This Row],[Sales]]&gt;=1000,"High Value", IF(Walmart[[#This Row],[Sales]]&gt;=500,"Medium Value","Low Value"))</f>
        <v>Low Value</v>
      </c>
    </row>
    <row r="1251" spans="1:16" hidden="1" x14ac:dyDescent="0.3">
      <c r="A1251" t="s">
        <v>2960</v>
      </c>
      <c r="B1251" s="1">
        <v>40904</v>
      </c>
      <c r="C1251" s="1" t="str">
        <f>TEXT(Walmart[[#This Row],[Order Date]],"mmmm")</f>
        <v>December</v>
      </c>
      <c r="D1251" s="1">
        <v>40908</v>
      </c>
      <c r="E1251" s="1" t="str">
        <f>IF(DATEDIF(Walmart[[#This Row],[Order Date]],Walmart[[#This Row],[Ship Date]],"D")&lt;7,"On time","Delayed")</f>
        <v>On time</v>
      </c>
      <c r="F1251" t="s">
        <v>845</v>
      </c>
      <c r="G1251" t="s">
        <v>14</v>
      </c>
      <c r="H1251" t="s">
        <v>2067</v>
      </c>
      <c r="I1251" t="s">
        <v>16</v>
      </c>
      <c r="J1251" t="s">
        <v>105</v>
      </c>
      <c r="K1251" t="s">
        <v>125</v>
      </c>
      <c r="L1251">
        <v>10.98</v>
      </c>
      <c r="M1251">
        <v>1</v>
      </c>
      <c r="N1251" t="str">
        <f>IF(Walmart[[#This Row],[Quantity]]&gt;=7,"Bulk",IF(Walmart[[#This Row],[Quantity]]&gt;=2,"Multi","Single"))</f>
        <v>Single</v>
      </c>
      <c r="O1251">
        <v>2.96</v>
      </c>
      <c r="P1251" t="str">
        <f>IF(Walmart[[#This Row],[Sales]]&gt;=1000,"High Value", IF(Walmart[[#This Row],[Sales]]&gt;=500,"Medium Value","Low Value"))</f>
        <v>Low Value</v>
      </c>
    </row>
    <row r="1252" spans="1:16" hidden="1" x14ac:dyDescent="0.3">
      <c r="A1252" t="s">
        <v>2961</v>
      </c>
      <c r="B1252" s="1">
        <v>41255</v>
      </c>
      <c r="C1252" s="1" t="str">
        <f>TEXT(Walmart[[#This Row],[Order Date]],"mmmm")</f>
        <v>December</v>
      </c>
      <c r="D1252" s="1">
        <v>41258</v>
      </c>
      <c r="E1252" s="1" t="str">
        <f>IF(DATEDIF(Walmart[[#This Row],[Order Date]],Walmart[[#This Row],[Ship Date]],"D")&lt;7,"On time","Delayed")</f>
        <v>On time</v>
      </c>
      <c r="F1252" t="s">
        <v>1647</v>
      </c>
      <c r="G1252" t="s">
        <v>14</v>
      </c>
      <c r="H1252" t="s">
        <v>226</v>
      </c>
      <c r="I1252" t="s">
        <v>227</v>
      </c>
      <c r="J1252" t="s">
        <v>93</v>
      </c>
      <c r="K1252" t="s">
        <v>2962</v>
      </c>
      <c r="L1252">
        <v>32.4</v>
      </c>
      <c r="M1252">
        <v>5</v>
      </c>
      <c r="N1252" t="str">
        <f>IF(Walmart[[#This Row],[Quantity]]&gt;=7,"Bulk",IF(Walmart[[#This Row],[Quantity]]&gt;=2,"Multi","Single"))</f>
        <v>Multi</v>
      </c>
      <c r="O1252">
        <v>15.88</v>
      </c>
      <c r="P1252" t="str">
        <f>IF(Walmart[[#This Row],[Sales]]&gt;=1000,"High Value", IF(Walmart[[#This Row],[Sales]]&gt;=500,"Medium Value","Low Value"))</f>
        <v>Low Value</v>
      </c>
    </row>
    <row r="1253" spans="1:16" hidden="1" x14ac:dyDescent="0.3">
      <c r="A1253" t="s">
        <v>2963</v>
      </c>
      <c r="B1253" s="1">
        <v>40626</v>
      </c>
      <c r="C1253" s="1" t="str">
        <f>TEXT(Walmart[[#This Row],[Order Date]],"mmmm")</f>
        <v>March</v>
      </c>
      <c r="D1253" s="1">
        <v>40631</v>
      </c>
      <c r="E1253" s="1" t="str">
        <f>IF(DATEDIF(Walmart[[#This Row],[Order Date]],Walmart[[#This Row],[Ship Date]],"D")&lt;7,"On time","Delayed")</f>
        <v>On time</v>
      </c>
      <c r="F1253" t="s">
        <v>549</v>
      </c>
      <c r="G1253" t="s">
        <v>14</v>
      </c>
      <c r="H1253" t="s">
        <v>613</v>
      </c>
      <c r="I1253" t="s">
        <v>16</v>
      </c>
      <c r="J1253" t="s">
        <v>21</v>
      </c>
      <c r="K1253" t="s">
        <v>2917</v>
      </c>
      <c r="L1253">
        <v>40.479999999999997</v>
      </c>
      <c r="M1253">
        <v>2</v>
      </c>
      <c r="N1253" t="str">
        <f>IF(Walmart[[#This Row],[Quantity]]&gt;=7,"Bulk",IF(Walmart[[#This Row],[Quantity]]&gt;=2,"Multi","Single"))</f>
        <v>Multi</v>
      </c>
      <c r="O1253">
        <v>14.57</v>
      </c>
      <c r="P1253" t="str">
        <f>IF(Walmart[[#This Row],[Sales]]&gt;=1000,"High Value", IF(Walmart[[#This Row],[Sales]]&gt;=500,"Medium Value","Low Value"))</f>
        <v>Low Value</v>
      </c>
    </row>
    <row r="1254" spans="1:16" x14ac:dyDescent="0.3">
      <c r="A1254" t="s">
        <v>2843</v>
      </c>
      <c r="B1254" s="1">
        <v>41762</v>
      </c>
      <c r="C1254" s="1" t="str">
        <f>TEXT(Walmart[[#This Row],[Order Date]],"mmmm")</f>
        <v>May</v>
      </c>
      <c r="D1254" s="1">
        <v>41766</v>
      </c>
      <c r="E1254" s="1" t="str">
        <f>IF(DATEDIF(Walmart[[#This Row],[Order Date]],Walmart[[#This Row],[Ship Date]],"D")&lt;7,"On time","Delayed")</f>
        <v>On time</v>
      </c>
      <c r="F1254" t="s">
        <v>2844</v>
      </c>
      <c r="G1254" t="s">
        <v>14</v>
      </c>
      <c r="H1254" t="s">
        <v>15</v>
      </c>
      <c r="I1254" t="s">
        <v>16</v>
      </c>
      <c r="J1254" t="s">
        <v>93</v>
      </c>
      <c r="K1254" t="s">
        <v>1275</v>
      </c>
      <c r="L1254">
        <v>15.7</v>
      </c>
      <c r="M1254">
        <v>5</v>
      </c>
      <c r="N1254" t="str">
        <f>IF(Walmart[[#This Row],[Quantity]]&gt;=7,"Bulk",IF(Walmart[[#This Row],[Quantity]]&gt;=2,"Multi","Single"))</f>
        <v>Multi</v>
      </c>
      <c r="O1254">
        <v>7.07</v>
      </c>
      <c r="P1254" t="str">
        <f>IF(Walmart[[#This Row],[Sales]]&gt;=1000,"High Value", IF(Walmart[[#This Row],[Sales]]&gt;=500,"Medium Value","Low Value"))</f>
        <v>Low Value</v>
      </c>
    </row>
    <row r="1255" spans="1:16" hidden="1" x14ac:dyDescent="0.3">
      <c r="A1255" t="s">
        <v>2967</v>
      </c>
      <c r="B1255" s="1">
        <v>41569</v>
      </c>
      <c r="C1255" s="1" t="str">
        <f>TEXT(Walmart[[#This Row],[Order Date]],"mmmm")</f>
        <v>October</v>
      </c>
      <c r="D1255" s="1">
        <v>41574</v>
      </c>
      <c r="E1255" s="1" t="str">
        <f>IF(DATEDIF(Walmart[[#This Row],[Order Date]],Walmart[[#This Row],[Ship Date]],"D")&lt;7,"On time","Delayed")</f>
        <v>On time</v>
      </c>
      <c r="F1255" t="s">
        <v>1562</v>
      </c>
      <c r="G1255" t="s">
        <v>14</v>
      </c>
      <c r="H1255" t="s">
        <v>747</v>
      </c>
      <c r="I1255" t="s">
        <v>227</v>
      </c>
      <c r="J1255" t="s">
        <v>38</v>
      </c>
      <c r="K1255" t="s">
        <v>2968</v>
      </c>
      <c r="L1255">
        <v>113.22</v>
      </c>
      <c r="M1255">
        <v>3</v>
      </c>
      <c r="N1255" t="str">
        <f>IF(Walmart[[#This Row],[Quantity]]&gt;=7,"Bulk",IF(Walmart[[#This Row],[Quantity]]&gt;=2,"Multi","Single"))</f>
        <v>Multi</v>
      </c>
      <c r="O1255">
        <v>29.44</v>
      </c>
      <c r="P1255" t="str">
        <f>IF(Walmart[[#This Row],[Sales]]&gt;=1000,"High Value", IF(Walmart[[#This Row],[Sales]]&gt;=500,"Medium Value","Low Value"))</f>
        <v>Low Value</v>
      </c>
    </row>
    <row r="1256" spans="1:16" x14ac:dyDescent="0.3">
      <c r="A1256" t="s">
        <v>2159</v>
      </c>
      <c r="B1256" s="1">
        <v>41760</v>
      </c>
      <c r="C1256" s="1" t="str">
        <f>TEXT(Walmart[[#This Row],[Order Date]],"mmmm")</f>
        <v>May</v>
      </c>
      <c r="D1256" s="1">
        <v>41765</v>
      </c>
      <c r="E1256" s="1" t="str">
        <f>IF(DATEDIF(Walmart[[#This Row],[Order Date]],Walmart[[#This Row],[Ship Date]],"D")&lt;7,"On time","Delayed")</f>
        <v>On time</v>
      </c>
      <c r="F1256" t="s">
        <v>284</v>
      </c>
      <c r="G1256" t="s">
        <v>14</v>
      </c>
      <c r="H1256" t="s">
        <v>37</v>
      </c>
      <c r="I1256" t="s">
        <v>16</v>
      </c>
      <c r="J1256" t="s">
        <v>93</v>
      </c>
      <c r="K1256" t="s">
        <v>866</v>
      </c>
      <c r="L1256">
        <v>163.96</v>
      </c>
      <c r="M1256">
        <v>4</v>
      </c>
      <c r="N1256" t="str">
        <f>IF(Walmart[[#This Row],[Quantity]]&gt;=7,"Bulk",IF(Walmart[[#This Row],[Quantity]]&gt;=2,"Multi","Single"))</f>
        <v>Multi</v>
      </c>
      <c r="O1256">
        <v>80.34</v>
      </c>
      <c r="P1256" t="str">
        <f>IF(Walmart[[#This Row],[Sales]]&gt;=1000,"High Value", IF(Walmart[[#This Row],[Sales]]&gt;=500,"Medium Value","Low Value"))</f>
        <v>Low Value</v>
      </c>
    </row>
    <row r="1257" spans="1:16" hidden="1" x14ac:dyDescent="0.3">
      <c r="A1257" t="s">
        <v>2970</v>
      </c>
      <c r="B1257" s="1">
        <v>40679</v>
      </c>
      <c r="C1257" s="1" t="str">
        <f>TEXT(Walmart[[#This Row],[Order Date]],"mmmm")</f>
        <v>May</v>
      </c>
      <c r="D1257" s="1">
        <v>40686</v>
      </c>
      <c r="E1257" s="1" t="str">
        <f>IF(DATEDIF(Walmart[[#This Row],[Order Date]],Walmart[[#This Row],[Ship Date]],"D")&lt;7,"On time","Delayed")</f>
        <v>Delayed</v>
      </c>
      <c r="F1257" t="s">
        <v>2971</v>
      </c>
      <c r="G1257" t="s">
        <v>14</v>
      </c>
      <c r="H1257" t="s">
        <v>15</v>
      </c>
      <c r="I1257" t="s">
        <v>16</v>
      </c>
      <c r="J1257" t="s">
        <v>88</v>
      </c>
      <c r="K1257" t="s">
        <v>2176</v>
      </c>
      <c r="L1257">
        <v>232.88</v>
      </c>
      <c r="M1257">
        <v>5</v>
      </c>
      <c r="N1257" t="str">
        <f>IF(Walmart[[#This Row],[Quantity]]&gt;=7,"Bulk",IF(Walmart[[#This Row],[Quantity]]&gt;=2,"Multi","Single"))</f>
        <v>Multi</v>
      </c>
      <c r="O1257">
        <v>17.47</v>
      </c>
      <c r="P1257" t="str">
        <f>IF(Walmart[[#This Row],[Sales]]&gt;=1000,"High Value", IF(Walmart[[#This Row],[Sales]]&gt;=500,"Medium Value","Low Value"))</f>
        <v>Low Value</v>
      </c>
    </row>
    <row r="1258" spans="1:16" hidden="1" x14ac:dyDescent="0.3">
      <c r="A1258" t="s">
        <v>2972</v>
      </c>
      <c r="B1258" s="1">
        <v>41025</v>
      </c>
      <c r="C1258" s="1" t="str">
        <f>TEXT(Walmart[[#This Row],[Order Date]],"mmmm")</f>
        <v>April</v>
      </c>
      <c r="D1258" s="1">
        <v>41030</v>
      </c>
      <c r="E1258" s="1" t="str">
        <f>IF(DATEDIF(Walmart[[#This Row],[Order Date]],Walmart[[#This Row],[Ship Date]],"D")&lt;7,"On time","Delayed")</f>
        <v>On time</v>
      </c>
      <c r="F1258" t="s">
        <v>2548</v>
      </c>
      <c r="G1258" t="s">
        <v>14</v>
      </c>
      <c r="H1258" t="s">
        <v>160</v>
      </c>
      <c r="I1258" t="s">
        <v>16</v>
      </c>
      <c r="J1258" t="s">
        <v>88</v>
      </c>
      <c r="K1258" t="s">
        <v>2973</v>
      </c>
      <c r="L1258">
        <v>63.94</v>
      </c>
      <c r="M1258">
        <v>3</v>
      </c>
      <c r="N1258" t="str">
        <f>IF(Walmart[[#This Row],[Quantity]]&gt;=7,"Bulk",IF(Walmart[[#This Row],[Quantity]]&gt;=2,"Multi","Single"))</f>
        <v>Multi</v>
      </c>
      <c r="O1258">
        <v>6.39</v>
      </c>
      <c r="P1258" t="str">
        <f>IF(Walmart[[#This Row],[Sales]]&gt;=1000,"High Value", IF(Walmart[[#This Row],[Sales]]&gt;=500,"Medium Value","Low Value"))</f>
        <v>Low Value</v>
      </c>
    </row>
    <row r="1259" spans="1:16" hidden="1" x14ac:dyDescent="0.3">
      <c r="A1259" t="s">
        <v>2974</v>
      </c>
      <c r="B1259" s="1">
        <v>41012</v>
      </c>
      <c r="C1259" s="1" t="str">
        <f>TEXT(Walmart[[#This Row],[Order Date]],"mmmm")</f>
        <v>April</v>
      </c>
      <c r="D1259" s="1">
        <v>41016</v>
      </c>
      <c r="E1259" s="1" t="str">
        <f>IF(DATEDIF(Walmart[[#This Row],[Order Date]],Walmart[[#This Row],[Ship Date]],"D")&lt;7,"On time","Delayed")</f>
        <v>On time</v>
      </c>
      <c r="F1259" t="s">
        <v>2135</v>
      </c>
      <c r="G1259" t="s">
        <v>14</v>
      </c>
      <c r="H1259" t="s">
        <v>15</v>
      </c>
      <c r="I1259" t="s">
        <v>16</v>
      </c>
      <c r="J1259" t="s">
        <v>43</v>
      </c>
      <c r="K1259" t="s">
        <v>2975</v>
      </c>
      <c r="L1259">
        <v>241.57</v>
      </c>
      <c r="M1259">
        <v>2</v>
      </c>
      <c r="N1259" t="str">
        <f>IF(Walmart[[#This Row],[Quantity]]&gt;=7,"Bulk",IF(Walmart[[#This Row],[Quantity]]&gt;=2,"Multi","Single"))</f>
        <v>Multi</v>
      </c>
      <c r="O1259">
        <v>-15.1</v>
      </c>
      <c r="P1259" t="str">
        <f>IF(Walmart[[#This Row],[Sales]]&gt;=1000,"High Value", IF(Walmart[[#This Row],[Sales]]&gt;=500,"Medium Value","Low Value"))</f>
        <v>Low Value</v>
      </c>
    </row>
    <row r="1260" spans="1:16" hidden="1" x14ac:dyDescent="0.3">
      <c r="A1260" t="s">
        <v>2976</v>
      </c>
      <c r="B1260" s="1">
        <v>41177</v>
      </c>
      <c r="C1260" s="1" t="str">
        <f>TEXT(Walmart[[#This Row],[Order Date]],"mmmm")</f>
        <v>September</v>
      </c>
      <c r="D1260" s="1">
        <v>41182</v>
      </c>
      <c r="E1260" s="1" t="str">
        <f>IF(DATEDIF(Walmart[[#This Row],[Order Date]],Walmart[[#This Row],[Ship Date]],"D")&lt;7,"On time","Delayed")</f>
        <v>On time</v>
      </c>
      <c r="F1260" t="s">
        <v>96</v>
      </c>
      <c r="G1260" t="s">
        <v>14</v>
      </c>
      <c r="H1260" t="s">
        <v>25</v>
      </c>
      <c r="I1260" t="s">
        <v>26</v>
      </c>
      <c r="J1260" t="s">
        <v>88</v>
      </c>
      <c r="K1260" t="s">
        <v>1365</v>
      </c>
      <c r="L1260">
        <v>307.14</v>
      </c>
      <c r="M1260">
        <v>4</v>
      </c>
      <c r="N1260" t="str">
        <f>IF(Walmart[[#This Row],[Quantity]]&gt;=7,"Bulk",IF(Walmart[[#This Row],[Quantity]]&gt;=2,"Multi","Single"))</f>
        <v>Multi</v>
      </c>
      <c r="O1260">
        <v>-11.52</v>
      </c>
      <c r="P1260" t="str">
        <f>IF(Walmart[[#This Row],[Sales]]&gt;=1000,"High Value", IF(Walmart[[#This Row],[Sales]]&gt;=500,"Medium Value","Low Value"))</f>
        <v>Low Value</v>
      </c>
    </row>
    <row r="1261" spans="1:16" hidden="1" x14ac:dyDescent="0.3">
      <c r="A1261" t="s">
        <v>2977</v>
      </c>
      <c r="B1261" s="1">
        <v>41268</v>
      </c>
      <c r="C1261" s="1" t="str">
        <f>TEXT(Walmart[[#This Row],[Order Date]],"mmmm")</f>
        <v>December</v>
      </c>
      <c r="D1261" s="1">
        <v>41272</v>
      </c>
      <c r="E1261" s="1" t="str">
        <f>IF(DATEDIF(Walmart[[#This Row],[Order Date]],Walmart[[#This Row],[Ship Date]],"D")&lt;7,"On time","Delayed")</f>
        <v>On time</v>
      </c>
      <c r="F1261" t="s">
        <v>2978</v>
      </c>
      <c r="G1261" t="s">
        <v>14</v>
      </c>
      <c r="H1261" t="s">
        <v>15</v>
      </c>
      <c r="I1261" t="s">
        <v>16</v>
      </c>
      <c r="J1261" t="s">
        <v>93</v>
      </c>
      <c r="K1261" t="s">
        <v>2979</v>
      </c>
      <c r="L1261">
        <v>9.9600000000000009</v>
      </c>
      <c r="M1261">
        <v>2</v>
      </c>
      <c r="N1261" t="str">
        <f>IF(Walmart[[#This Row],[Quantity]]&gt;=7,"Bulk",IF(Walmart[[#This Row],[Quantity]]&gt;=2,"Multi","Single"))</f>
        <v>Multi</v>
      </c>
      <c r="O1261">
        <v>4.88</v>
      </c>
      <c r="P1261" t="str">
        <f>IF(Walmart[[#This Row],[Sales]]&gt;=1000,"High Value", IF(Walmart[[#This Row],[Sales]]&gt;=500,"Medium Value","Low Value"))</f>
        <v>Low Value</v>
      </c>
    </row>
    <row r="1262" spans="1:16" hidden="1" x14ac:dyDescent="0.3">
      <c r="A1262" t="s">
        <v>2980</v>
      </c>
      <c r="B1262" s="1">
        <v>41194</v>
      </c>
      <c r="C1262" s="1" t="str">
        <f>TEXT(Walmart[[#This Row],[Order Date]],"mmmm")</f>
        <v>October</v>
      </c>
      <c r="D1262" s="1">
        <v>41199</v>
      </c>
      <c r="E1262" s="1" t="str">
        <f>IF(DATEDIF(Walmart[[#This Row],[Order Date]],Walmart[[#This Row],[Ship Date]],"D")&lt;7,"On time","Delayed")</f>
        <v>On time</v>
      </c>
      <c r="F1262" t="s">
        <v>994</v>
      </c>
      <c r="G1262" t="s">
        <v>14</v>
      </c>
      <c r="H1262" t="s">
        <v>25</v>
      </c>
      <c r="I1262" t="s">
        <v>26</v>
      </c>
      <c r="J1262" t="s">
        <v>53</v>
      </c>
      <c r="K1262" t="s">
        <v>2453</v>
      </c>
      <c r="L1262">
        <v>17.899999999999999</v>
      </c>
      <c r="M1262">
        <v>2</v>
      </c>
      <c r="N1262" t="str">
        <f>IF(Walmart[[#This Row],[Quantity]]&gt;=7,"Bulk",IF(Walmart[[#This Row],[Quantity]]&gt;=2,"Multi","Single"))</f>
        <v>Multi</v>
      </c>
      <c r="O1262">
        <v>3.4</v>
      </c>
      <c r="P1262" t="str">
        <f>IF(Walmart[[#This Row],[Sales]]&gt;=1000,"High Value", IF(Walmart[[#This Row],[Sales]]&gt;=500,"Medium Value","Low Value"))</f>
        <v>Low Value</v>
      </c>
    </row>
    <row r="1263" spans="1:16" hidden="1" x14ac:dyDescent="0.3">
      <c r="A1263" t="s">
        <v>2981</v>
      </c>
      <c r="B1263" s="1">
        <v>41104</v>
      </c>
      <c r="C1263" s="1" t="str">
        <f>TEXT(Walmart[[#This Row],[Order Date]],"mmmm")</f>
        <v>July</v>
      </c>
      <c r="D1263" s="1">
        <v>41109</v>
      </c>
      <c r="E1263" s="1" t="str">
        <f>IF(DATEDIF(Walmart[[#This Row],[Order Date]],Walmart[[#This Row],[Ship Date]],"D")&lt;7,"On time","Delayed")</f>
        <v>On time</v>
      </c>
      <c r="F1263" t="s">
        <v>1081</v>
      </c>
      <c r="G1263" t="s">
        <v>14</v>
      </c>
      <c r="H1263" t="s">
        <v>299</v>
      </c>
      <c r="I1263" t="s">
        <v>58</v>
      </c>
      <c r="J1263" t="s">
        <v>33</v>
      </c>
      <c r="K1263" t="s">
        <v>261</v>
      </c>
      <c r="L1263">
        <v>272.74</v>
      </c>
      <c r="M1263">
        <v>3</v>
      </c>
      <c r="N1263" t="str">
        <f>IF(Walmart[[#This Row],[Quantity]]&gt;=7,"Bulk",IF(Walmart[[#This Row],[Quantity]]&gt;=2,"Multi","Single"))</f>
        <v>Multi</v>
      </c>
      <c r="O1263">
        <v>-64.77</v>
      </c>
      <c r="P1263" t="str">
        <f>IF(Walmart[[#This Row],[Sales]]&gt;=1000,"High Value", IF(Walmart[[#This Row],[Sales]]&gt;=500,"Medium Value","Low Value"))</f>
        <v>Low Value</v>
      </c>
    </row>
    <row r="1264" spans="1:16" hidden="1" x14ac:dyDescent="0.3">
      <c r="A1264" t="s">
        <v>2982</v>
      </c>
      <c r="B1264" s="1">
        <v>40866</v>
      </c>
      <c r="C1264" s="1" t="str">
        <f>TEXT(Walmart[[#This Row],[Order Date]],"mmmm")</f>
        <v>November</v>
      </c>
      <c r="D1264" s="1">
        <v>40871</v>
      </c>
      <c r="E1264" s="1" t="str">
        <f>IF(DATEDIF(Walmart[[#This Row],[Order Date]],Walmart[[#This Row],[Ship Date]],"D")&lt;7,"On time","Delayed")</f>
        <v>On time</v>
      </c>
      <c r="F1264" t="s">
        <v>2983</v>
      </c>
      <c r="G1264" t="s">
        <v>14</v>
      </c>
      <c r="H1264" t="s">
        <v>1051</v>
      </c>
      <c r="I1264" t="s">
        <v>32</v>
      </c>
      <c r="J1264" t="s">
        <v>93</v>
      </c>
      <c r="K1264" t="s">
        <v>1267</v>
      </c>
      <c r="L1264">
        <v>166.44</v>
      </c>
      <c r="M1264">
        <v>3</v>
      </c>
      <c r="N1264" t="str">
        <f>IF(Walmart[[#This Row],[Quantity]]&gt;=7,"Bulk",IF(Walmart[[#This Row],[Quantity]]&gt;=2,"Multi","Single"))</f>
        <v>Multi</v>
      </c>
      <c r="O1264">
        <v>79.89</v>
      </c>
      <c r="P1264" t="str">
        <f>IF(Walmart[[#This Row],[Sales]]&gt;=1000,"High Value", IF(Walmart[[#This Row],[Sales]]&gt;=500,"Medium Value","Low Value"))</f>
        <v>Low Value</v>
      </c>
    </row>
    <row r="1265" spans="1:16" hidden="1" x14ac:dyDescent="0.3">
      <c r="A1265" t="s">
        <v>2984</v>
      </c>
      <c r="B1265" s="1">
        <v>41422</v>
      </c>
      <c r="C1265" s="1" t="str">
        <f>TEXT(Walmart[[#This Row],[Order Date]],"mmmm")</f>
        <v>May</v>
      </c>
      <c r="D1265" s="1">
        <v>41428</v>
      </c>
      <c r="E1265" s="1" t="str">
        <f>IF(DATEDIF(Walmart[[#This Row],[Order Date]],Walmart[[#This Row],[Ship Date]],"D")&lt;7,"On time","Delayed")</f>
        <v>On time</v>
      </c>
      <c r="F1265" t="s">
        <v>2380</v>
      </c>
      <c r="G1265" t="s">
        <v>14</v>
      </c>
      <c r="H1265" t="s">
        <v>15</v>
      </c>
      <c r="I1265" t="s">
        <v>16</v>
      </c>
      <c r="J1265" t="s">
        <v>93</v>
      </c>
      <c r="K1265" t="s">
        <v>2249</v>
      </c>
      <c r="L1265">
        <v>13.38</v>
      </c>
      <c r="M1265">
        <v>2</v>
      </c>
      <c r="N1265" t="str">
        <f>IF(Walmart[[#This Row],[Quantity]]&gt;=7,"Bulk",IF(Walmart[[#This Row],[Quantity]]&gt;=2,"Multi","Single"))</f>
        <v>Multi</v>
      </c>
      <c r="O1265">
        <v>6.15</v>
      </c>
      <c r="P1265" t="str">
        <f>IF(Walmart[[#This Row],[Sales]]&gt;=1000,"High Value", IF(Walmart[[#This Row],[Sales]]&gt;=500,"Medium Value","Low Value"))</f>
        <v>Low Value</v>
      </c>
    </row>
    <row r="1266" spans="1:16" hidden="1" x14ac:dyDescent="0.3">
      <c r="A1266" t="s">
        <v>2985</v>
      </c>
      <c r="B1266" s="1">
        <v>41551</v>
      </c>
      <c r="C1266" s="1" t="str">
        <f>TEXT(Walmart[[#This Row],[Order Date]],"mmmm")</f>
        <v>October</v>
      </c>
      <c r="D1266" s="1">
        <v>41555</v>
      </c>
      <c r="E1266" s="1" t="str">
        <f>IF(DATEDIF(Walmart[[#This Row],[Order Date]],Walmart[[#This Row],[Ship Date]],"D")&lt;7,"On time","Delayed")</f>
        <v>On time</v>
      </c>
      <c r="F1266" t="s">
        <v>2726</v>
      </c>
      <c r="G1266" t="s">
        <v>14</v>
      </c>
      <c r="H1266" t="s">
        <v>2329</v>
      </c>
      <c r="I1266" t="s">
        <v>16</v>
      </c>
      <c r="J1266" t="s">
        <v>17</v>
      </c>
      <c r="K1266" t="s">
        <v>1768</v>
      </c>
      <c r="L1266">
        <v>6.16</v>
      </c>
      <c r="M1266">
        <v>2</v>
      </c>
      <c r="N1266" t="str">
        <f>IF(Walmart[[#This Row],[Quantity]]&gt;=7,"Bulk",IF(Walmart[[#This Row],[Quantity]]&gt;=2,"Multi","Single"))</f>
        <v>Multi</v>
      </c>
      <c r="O1266">
        <v>2.96</v>
      </c>
      <c r="P1266" t="str">
        <f>IF(Walmart[[#This Row],[Sales]]&gt;=1000,"High Value", IF(Walmart[[#This Row],[Sales]]&gt;=500,"Medium Value","Low Value"))</f>
        <v>Low Value</v>
      </c>
    </row>
    <row r="1267" spans="1:16" x14ac:dyDescent="0.3">
      <c r="A1267" t="s">
        <v>2161</v>
      </c>
      <c r="B1267" s="1">
        <v>41760</v>
      </c>
      <c r="C1267" s="1" t="str">
        <f>TEXT(Walmart[[#This Row],[Order Date]],"mmmm")</f>
        <v>May</v>
      </c>
      <c r="D1267" s="1">
        <v>41765</v>
      </c>
      <c r="E1267" s="1" t="str">
        <f>IF(DATEDIF(Walmart[[#This Row],[Order Date]],Walmart[[#This Row],[Ship Date]],"D")&lt;7,"On time","Delayed")</f>
        <v>On time</v>
      </c>
      <c r="F1267" t="s">
        <v>1353</v>
      </c>
      <c r="G1267" t="s">
        <v>14</v>
      </c>
      <c r="H1267" t="s">
        <v>37</v>
      </c>
      <c r="I1267" t="s">
        <v>16</v>
      </c>
      <c r="J1267" t="s">
        <v>21</v>
      </c>
      <c r="K1267" t="s">
        <v>2162</v>
      </c>
      <c r="L1267">
        <v>64.959999999999994</v>
      </c>
      <c r="M1267">
        <v>2</v>
      </c>
      <c r="N1267" t="str">
        <f>IF(Walmart[[#This Row],[Quantity]]&gt;=7,"Bulk",IF(Walmart[[#This Row],[Quantity]]&gt;=2,"Multi","Single"))</f>
        <v>Multi</v>
      </c>
      <c r="O1267">
        <v>21.44</v>
      </c>
      <c r="P1267" t="str">
        <f>IF(Walmart[[#This Row],[Sales]]&gt;=1000,"High Value", IF(Walmart[[#This Row],[Sales]]&gt;=500,"Medium Value","Low Value"))</f>
        <v>Low Value</v>
      </c>
    </row>
    <row r="1268" spans="1:16" x14ac:dyDescent="0.3">
      <c r="A1268" t="s">
        <v>2250</v>
      </c>
      <c r="B1268" s="1">
        <v>41760</v>
      </c>
      <c r="C1268" s="1" t="str">
        <f>TEXT(Walmart[[#This Row],[Order Date]],"mmmm")</f>
        <v>May</v>
      </c>
      <c r="D1268" s="1">
        <v>41765</v>
      </c>
      <c r="E1268" s="1" t="str">
        <f>IF(DATEDIF(Walmart[[#This Row],[Order Date]],Walmart[[#This Row],[Ship Date]],"D")&lt;7,"On time","Delayed")</f>
        <v>On time</v>
      </c>
      <c r="F1268" t="s">
        <v>2251</v>
      </c>
      <c r="G1268" t="s">
        <v>14</v>
      </c>
      <c r="H1268" t="s">
        <v>15</v>
      </c>
      <c r="I1268" t="s">
        <v>16</v>
      </c>
      <c r="J1268" t="s">
        <v>38</v>
      </c>
      <c r="K1268" t="s">
        <v>2252</v>
      </c>
      <c r="L1268">
        <v>9.7799999999999994</v>
      </c>
      <c r="M1268">
        <v>2</v>
      </c>
      <c r="N1268" t="str">
        <f>IF(Walmart[[#This Row],[Quantity]]&gt;=7,"Bulk",IF(Walmart[[#This Row],[Quantity]]&gt;=2,"Multi","Single"))</f>
        <v>Multi</v>
      </c>
      <c r="O1268">
        <v>4.01</v>
      </c>
      <c r="P1268" t="str">
        <f>IF(Walmart[[#This Row],[Sales]]&gt;=1000,"High Value", IF(Walmart[[#This Row],[Sales]]&gt;=500,"Medium Value","Low Value"))</f>
        <v>Low Value</v>
      </c>
    </row>
    <row r="1269" spans="1:16" hidden="1" x14ac:dyDescent="0.3">
      <c r="A1269" t="s">
        <v>2989</v>
      </c>
      <c r="B1269" s="1">
        <v>41503</v>
      </c>
      <c r="C1269" s="1" t="str">
        <f>TEXT(Walmart[[#This Row],[Order Date]],"mmmm")</f>
        <v>August</v>
      </c>
      <c r="D1269" s="1">
        <v>41509</v>
      </c>
      <c r="E1269" s="1" t="str">
        <f>IF(DATEDIF(Walmart[[#This Row],[Order Date]],Walmart[[#This Row],[Ship Date]],"D")&lt;7,"On time","Delayed")</f>
        <v>On time</v>
      </c>
      <c r="F1269" t="s">
        <v>260</v>
      </c>
      <c r="G1269" t="s">
        <v>14</v>
      </c>
      <c r="H1269" t="s">
        <v>2990</v>
      </c>
      <c r="I1269" t="s">
        <v>16</v>
      </c>
      <c r="J1269" t="s">
        <v>93</v>
      </c>
      <c r="K1269" t="s">
        <v>903</v>
      </c>
      <c r="L1269">
        <v>32.4</v>
      </c>
      <c r="M1269">
        <v>5</v>
      </c>
      <c r="N1269" t="str">
        <f>IF(Walmart[[#This Row],[Quantity]]&gt;=7,"Bulk",IF(Walmart[[#This Row],[Quantity]]&gt;=2,"Multi","Single"))</f>
        <v>Multi</v>
      </c>
      <c r="O1269">
        <v>15.55</v>
      </c>
      <c r="P1269" t="str">
        <f>IF(Walmart[[#This Row],[Sales]]&gt;=1000,"High Value", IF(Walmart[[#This Row],[Sales]]&gt;=500,"Medium Value","Low Value"))</f>
        <v>Low Value</v>
      </c>
    </row>
    <row r="1270" spans="1:16" hidden="1" x14ac:dyDescent="0.3">
      <c r="A1270" t="s">
        <v>2991</v>
      </c>
      <c r="B1270" s="1">
        <v>41486</v>
      </c>
      <c r="C1270" s="1" t="str">
        <f>TEXT(Walmart[[#This Row],[Order Date]],"mmmm")</f>
        <v>July</v>
      </c>
      <c r="D1270" s="1">
        <v>41489</v>
      </c>
      <c r="E1270" s="1" t="str">
        <f>IF(DATEDIF(Walmart[[#This Row],[Order Date]],Walmart[[#This Row],[Ship Date]],"D")&lt;7,"On time","Delayed")</f>
        <v>On time</v>
      </c>
      <c r="F1270" t="s">
        <v>477</v>
      </c>
      <c r="G1270" t="s">
        <v>14</v>
      </c>
      <c r="H1270" t="s">
        <v>37</v>
      </c>
      <c r="I1270" t="s">
        <v>16</v>
      </c>
      <c r="J1270" t="s">
        <v>105</v>
      </c>
      <c r="K1270" t="s">
        <v>2992</v>
      </c>
      <c r="L1270">
        <v>715.64</v>
      </c>
      <c r="M1270">
        <v>2</v>
      </c>
      <c r="N1270" t="str">
        <f>IF(Walmart[[#This Row],[Quantity]]&gt;=7,"Bulk",IF(Walmart[[#This Row],[Quantity]]&gt;=2,"Multi","Single"))</f>
        <v>Multi</v>
      </c>
      <c r="O1270">
        <v>178.91</v>
      </c>
      <c r="P1270" t="str">
        <f>IF(Walmart[[#This Row],[Sales]]&gt;=1000,"High Value", IF(Walmart[[#This Row],[Sales]]&gt;=500,"Medium Value","Low Value"))</f>
        <v>Medium Value</v>
      </c>
    </row>
    <row r="1271" spans="1:16" hidden="1" x14ac:dyDescent="0.3">
      <c r="A1271" t="s">
        <v>2993</v>
      </c>
      <c r="B1271" s="1">
        <v>41612</v>
      </c>
      <c r="C1271" s="1" t="str">
        <f>TEXT(Walmart[[#This Row],[Order Date]],"mmmm")</f>
        <v>December</v>
      </c>
      <c r="D1271" s="1">
        <v>41616</v>
      </c>
      <c r="E1271" s="1" t="str">
        <f>IF(DATEDIF(Walmart[[#This Row],[Order Date]],Walmart[[#This Row],[Ship Date]],"D")&lt;7,"On time","Delayed")</f>
        <v>On time</v>
      </c>
      <c r="F1271" t="s">
        <v>2570</v>
      </c>
      <c r="G1271" t="s">
        <v>14</v>
      </c>
      <c r="H1271" t="s">
        <v>2994</v>
      </c>
      <c r="I1271" t="s">
        <v>16</v>
      </c>
      <c r="J1271" t="s">
        <v>43</v>
      </c>
      <c r="K1271" t="s">
        <v>563</v>
      </c>
      <c r="L1271">
        <v>268.7</v>
      </c>
      <c r="M1271">
        <v>3</v>
      </c>
      <c r="N1271" t="str">
        <f>IF(Walmart[[#This Row],[Quantity]]&gt;=7,"Bulk",IF(Walmart[[#This Row],[Quantity]]&gt;=2,"Multi","Single"))</f>
        <v>Multi</v>
      </c>
      <c r="O1271">
        <v>6.72</v>
      </c>
      <c r="P1271" t="str">
        <f>IF(Walmart[[#This Row],[Sales]]&gt;=1000,"High Value", IF(Walmart[[#This Row],[Sales]]&gt;=500,"Medium Value","Low Value"))</f>
        <v>Low Value</v>
      </c>
    </row>
    <row r="1272" spans="1:16" hidden="1" x14ac:dyDescent="0.3">
      <c r="A1272" t="s">
        <v>2995</v>
      </c>
      <c r="B1272" s="1">
        <v>41094</v>
      </c>
      <c r="C1272" s="1" t="str">
        <f>TEXT(Walmart[[#This Row],[Order Date]],"mmmm")</f>
        <v>July</v>
      </c>
      <c r="D1272" s="1">
        <v>41098</v>
      </c>
      <c r="E1272" s="1" t="str">
        <f>IF(DATEDIF(Walmart[[#This Row],[Order Date]],Walmart[[#This Row],[Ship Date]],"D")&lt;7,"On time","Delayed")</f>
        <v>On time</v>
      </c>
      <c r="F1272" t="s">
        <v>2327</v>
      </c>
      <c r="G1272" t="s">
        <v>14</v>
      </c>
      <c r="H1272" t="s">
        <v>160</v>
      </c>
      <c r="I1272" t="s">
        <v>16</v>
      </c>
      <c r="J1272" t="s">
        <v>27</v>
      </c>
      <c r="K1272" t="s">
        <v>1415</v>
      </c>
      <c r="L1272">
        <v>22.85</v>
      </c>
      <c r="M1272">
        <v>2</v>
      </c>
      <c r="N1272" t="str">
        <f>IF(Walmart[[#This Row],[Quantity]]&gt;=7,"Bulk",IF(Walmart[[#This Row],[Quantity]]&gt;=2,"Multi","Single"))</f>
        <v>Multi</v>
      </c>
      <c r="O1272">
        <v>7.43</v>
      </c>
      <c r="P1272" t="str">
        <f>IF(Walmart[[#This Row],[Sales]]&gt;=1000,"High Value", IF(Walmart[[#This Row],[Sales]]&gt;=500,"Medium Value","Low Value"))</f>
        <v>Low Value</v>
      </c>
    </row>
    <row r="1273" spans="1:16" hidden="1" x14ac:dyDescent="0.3">
      <c r="A1273" t="s">
        <v>2996</v>
      </c>
      <c r="B1273" s="1">
        <v>41471</v>
      </c>
      <c r="C1273" s="1" t="str">
        <f>TEXT(Walmart[[#This Row],[Order Date]],"mmmm")</f>
        <v>July</v>
      </c>
      <c r="D1273" s="1">
        <v>41476</v>
      </c>
      <c r="E1273" s="1" t="str">
        <f>IF(DATEDIF(Walmart[[#This Row],[Order Date]],Walmart[[#This Row],[Ship Date]],"D")&lt;7,"On time","Delayed")</f>
        <v>On time</v>
      </c>
      <c r="F1273" t="s">
        <v>2997</v>
      </c>
      <c r="G1273" t="s">
        <v>14</v>
      </c>
      <c r="H1273" t="s">
        <v>68</v>
      </c>
      <c r="I1273" t="s">
        <v>69</v>
      </c>
      <c r="J1273" t="s">
        <v>88</v>
      </c>
      <c r="K1273" t="s">
        <v>241</v>
      </c>
      <c r="L1273">
        <v>230.28</v>
      </c>
      <c r="M1273">
        <v>3</v>
      </c>
      <c r="N1273" t="str">
        <f>IF(Walmart[[#This Row],[Quantity]]&gt;=7,"Bulk",IF(Walmart[[#This Row],[Quantity]]&gt;=2,"Multi","Single"))</f>
        <v>Multi</v>
      </c>
      <c r="O1273">
        <v>23.03</v>
      </c>
      <c r="P1273" t="str">
        <f>IF(Walmart[[#This Row],[Sales]]&gt;=1000,"High Value", IF(Walmart[[#This Row],[Sales]]&gt;=500,"Medium Value","Low Value"))</f>
        <v>Low Value</v>
      </c>
    </row>
    <row r="1274" spans="1:16" x14ac:dyDescent="0.3">
      <c r="A1274" t="s">
        <v>2769</v>
      </c>
      <c r="B1274" s="1">
        <v>41760</v>
      </c>
      <c r="C1274" s="1" t="str">
        <f>TEXT(Walmart[[#This Row],[Order Date]],"mmmm")</f>
        <v>May</v>
      </c>
      <c r="D1274" s="1">
        <v>41764</v>
      </c>
      <c r="E1274" s="1" t="str">
        <f>IF(DATEDIF(Walmart[[#This Row],[Order Date]],Walmart[[#This Row],[Ship Date]],"D")&lt;7,"On time","Delayed")</f>
        <v>On time</v>
      </c>
      <c r="F1274" t="s">
        <v>408</v>
      </c>
      <c r="G1274" t="s">
        <v>14</v>
      </c>
      <c r="H1274" t="s">
        <v>15</v>
      </c>
      <c r="I1274" t="s">
        <v>16</v>
      </c>
      <c r="J1274" t="s">
        <v>27</v>
      </c>
      <c r="K1274" t="s">
        <v>455</v>
      </c>
      <c r="L1274">
        <v>23.24</v>
      </c>
      <c r="M1274">
        <v>5</v>
      </c>
      <c r="N1274" t="str">
        <f>IF(Walmart[[#This Row],[Quantity]]&gt;=7,"Bulk",IF(Walmart[[#This Row],[Quantity]]&gt;=2,"Multi","Single"))</f>
        <v>Multi</v>
      </c>
      <c r="O1274">
        <v>7.55</v>
      </c>
      <c r="P1274" t="str">
        <f>IF(Walmart[[#This Row],[Sales]]&gt;=1000,"High Value", IF(Walmart[[#This Row],[Sales]]&gt;=500,"Medium Value","Low Value"))</f>
        <v>Low Value</v>
      </c>
    </row>
    <row r="1275" spans="1:16" hidden="1" x14ac:dyDescent="0.3">
      <c r="A1275" t="s">
        <v>2999</v>
      </c>
      <c r="B1275" s="1">
        <v>41623</v>
      </c>
      <c r="C1275" s="1" t="str">
        <f>TEXT(Walmart[[#This Row],[Order Date]],"mmmm")</f>
        <v>December</v>
      </c>
      <c r="D1275" s="1">
        <v>41626</v>
      </c>
      <c r="E1275" s="1" t="str">
        <f>IF(DATEDIF(Walmart[[#This Row],[Order Date]],Walmart[[#This Row],[Ship Date]],"D")&lt;7,"On time","Delayed")</f>
        <v>On time</v>
      </c>
      <c r="F1275" t="s">
        <v>1916</v>
      </c>
      <c r="G1275" t="s">
        <v>14</v>
      </c>
      <c r="H1275" t="s">
        <v>160</v>
      </c>
      <c r="I1275" t="s">
        <v>16</v>
      </c>
      <c r="J1275" t="s">
        <v>88</v>
      </c>
      <c r="K1275" t="s">
        <v>89</v>
      </c>
      <c r="L1275">
        <v>81.42</v>
      </c>
      <c r="M1275">
        <v>2</v>
      </c>
      <c r="N1275" t="str">
        <f>IF(Walmart[[#This Row],[Quantity]]&gt;=7,"Bulk",IF(Walmart[[#This Row],[Quantity]]&gt;=2,"Multi","Single"))</f>
        <v>Multi</v>
      </c>
      <c r="O1275">
        <v>-9.16</v>
      </c>
      <c r="P1275" t="str">
        <f>IF(Walmart[[#This Row],[Sales]]&gt;=1000,"High Value", IF(Walmart[[#This Row],[Sales]]&gt;=500,"Medium Value","Low Value"))</f>
        <v>Low Value</v>
      </c>
    </row>
    <row r="1276" spans="1:16" x14ac:dyDescent="0.3">
      <c r="A1276" t="s">
        <v>1920</v>
      </c>
      <c r="B1276" s="1">
        <v>41757</v>
      </c>
      <c r="C1276" s="1" t="str">
        <f>TEXT(Walmart[[#This Row],[Order Date]],"mmmm")</f>
        <v>April</v>
      </c>
      <c r="D1276" s="1">
        <v>41759</v>
      </c>
      <c r="E1276" s="1" t="str">
        <f>IF(DATEDIF(Walmart[[#This Row],[Order Date]],Walmart[[#This Row],[Ship Date]],"D")&lt;7,"On time","Delayed")</f>
        <v>On time</v>
      </c>
      <c r="F1276" t="s">
        <v>580</v>
      </c>
      <c r="G1276" t="s">
        <v>14</v>
      </c>
      <c r="H1276" t="s">
        <v>15</v>
      </c>
      <c r="I1276" t="s">
        <v>16</v>
      </c>
      <c r="J1276" t="s">
        <v>38</v>
      </c>
      <c r="K1276" t="s">
        <v>1921</v>
      </c>
      <c r="L1276">
        <v>123.92</v>
      </c>
      <c r="M1276">
        <v>4</v>
      </c>
      <c r="N1276" t="str">
        <f>IF(Walmart[[#This Row],[Quantity]]&gt;=7,"Bulk",IF(Walmart[[#This Row],[Quantity]]&gt;=2,"Multi","Single"))</f>
        <v>Multi</v>
      </c>
      <c r="O1276">
        <v>33.46</v>
      </c>
      <c r="P1276" t="str">
        <f>IF(Walmart[[#This Row],[Sales]]&gt;=1000,"High Value", IF(Walmart[[#This Row],[Sales]]&gt;=500,"Medium Value","Low Value"))</f>
        <v>Low Value</v>
      </c>
    </row>
    <row r="1277" spans="1:16" hidden="1" x14ac:dyDescent="0.3">
      <c r="A1277" t="s">
        <v>3001</v>
      </c>
      <c r="B1277" s="1">
        <v>40991</v>
      </c>
      <c r="C1277" s="1" t="str">
        <f>TEXT(Walmart[[#This Row],[Order Date]],"mmmm")</f>
        <v>March</v>
      </c>
      <c r="D1277" s="1">
        <v>40998</v>
      </c>
      <c r="E1277" s="1" t="str">
        <f>IF(DATEDIF(Walmart[[#This Row],[Order Date]],Walmart[[#This Row],[Ship Date]],"D")&lt;7,"On time","Delayed")</f>
        <v>Delayed</v>
      </c>
      <c r="F1277" t="s">
        <v>1834</v>
      </c>
      <c r="G1277" t="s">
        <v>14</v>
      </c>
      <c r="H1277" t="s">
        <v>15</v>
      </c>
      <c r="I1277" t="s">
        <v>16</v>
      </c>
      <c r="J1277" t="s">
        <v>93</v>
      </c>
      <c r="K1277" t="s">
        <v>1728</v>
      </c>
      <c r="L1277">
        <v>33.36</v>
      </c>
      <c r="M1277">
        <v>4</v>
      </c>
      <c r="N1277" t="str">
        <f>IF(Walmart[[#This Row],[Quantity]]&gt;=7,"Bulk",IF(Walmart[[#This Row],[Quantity]]&gt;=2,"Multi","Single"))</f>
        <v>Multi</v>
      </c>
      <c r="O1277">
        <v>16.68</v>
      </c>
      <c r="P1277" t="str">
        <f>IF(Walmart[[#This Row],[Sales]]&gt;=1000,"High Value", IF(Walmart[[#This Row],[Sales]]&gt;=500,"Medium Value","Low Value"))</f>
        <v>Low Value</v>
      </c>
    </row>
    <row r="1278" spans="1:16" hidden="1" x14ac:dyDescent="0.3">
      <c r="A1278" t="s">
        <v>3002</v>
      </c>
      <c r="B1278" s="1">
        <v>41558</v>
      </c>
      <c r="C1278" s="1" t="str">
        <f>TEXT(Walmart[[#This Row],[Order Date]],"mmmm")</f>
        <v>October</v>
      </c>
      <c r="D1278" s="1">
        <v>41560</v>
      </c>
      <c r="E1278" s="1" t="str">
        <f>IF(DATEDIF(Walmart[[#This Row],[Order Date]],Walmart[[#This Row],[Ship Date]],"D")&lt;7,"On time","Delayed")</f>
        <v>On time</v>
      </c>
      <c r="F1278" t="s">
        <v>3003</v>
      </c>
      <c r="G1278" t="s">
        <v>14</v>
      </c>
      <c r="H1278" t="s">
        <v>141</v>
      </c>
      <c r="I1278" t="s">
        <v>77</v>
      </c>
      <c r="J1278" t="s">
        <v>671</v>
      </c>
      <c r="K1278" t="s">
        <v>3004</v>
      </c>
      <c r="L1278">
        <v>90.88</v>
      </c>
      <c r="M1278">
        <v>3</v>
      </c>
      <c r="N1278" t="str">
        <f>IF(Walmart[[#This Row],[Quantity]]&gt;=7,"Bulk",IF(Walmart[[#This Row],[Quantity]]&gt;=2,"Multi","Single"))</f>
        <v>Multi</v>
      </c>
      <c r="O1278">
        <v>-190.85</v>
      </c>
      <c r="P1278" t="str">
        <f>IF(Walmart[[#This Row],[Sales]]&gt;=1000,"High Value", IF(Walmart[[#This Row],[Sales]]&gt;=500,"Medium Value","Low Value"))</f>
        <v>Low Value</v>
      </c>
    </row>
    <row r="1279" spans="1:16" hidden="1" x14ac:dyDescent="0.3">
      <c r="A1279" t="s">
        <v>3005</v>
      </c>
      <c r="B1279" s="1">
        <v>41148</v>
      </c>
      <c r="C1279" s="1" t="str">
        <f>TEXT(Walmart[[#This Row],[Order Date]],"mmmm")</f>
        <v>August</v>
      </c>
      <c r="D1279" s="1">
        <v>41152</v>
      </c>
      <c r="E1279" s="1" t="str">
        <f>IF(DATEDIF(Walmart[[#This Row],[Order Date]],Walmart[[#This Row],[Ship Date]],"D")&lt;7,"On time","Delayed")</f>
        <v>On time</v>
      </c>
      <c r="F1279" t="s">
        <v>1458</v>
      </c>
      <c r="G1279" t="s">
        <v>14</v>
      </c>
      <c r="H1279" t="s">
        <v>15</v>
      </c>
      <c r="I1279" t="s">
        <v>16</v>
      </c>
      <c r="J1279" t="s">
        <v>27</v>
      </c>
      <c r="K1279" t="s">
        <v>3006</v>
      </c>
      <c r="L1279">
        <v>5.0999999999999996</v>
      </c>
      <c r="M1279">
        <v>1</v>
      </c>
      <c r="N1279" t="str">
        <f>IF(Walmart[[#This Row],[Quantity]]&gt;=7,"Bulk",IF(Walmart[[#This Row],[Quantity]]&gt;=2,"Multi","Single"))</f>
        <v>Single</v>
      </c>
      <c r="O1279">
        <v>1.66</v>
      </c>
      <c r="P1279" t="str">
        <f>IF(Walmart[[#This Row],[Sales]]&gt;=1000,"High Value", IF(Walmart[[#This Row],[Sales]]&gt;=500,"Medium Value","Low Value"))</f>
        <v>Low Value</v>
      </c>
    </row>
    <row r="1280" spans="1:16" hidden="1" x14ac:dyDescent="0.3">
      <c r="A1280" t="s">
        <v>3007</v>
      </c>
      <c r="B1280" s="1">
        <v>41386</v>
      </c>
      <c r="C1280" s="1" t="str">
        <f>TEXT(Walmart[[#This Row],[Order Date]],"mmmm")</f>
        <v>April</v>
      </c>
      <c r="D1280" s="1">
        <v>41389</v>
      </c>
      <c r="E1280" s="1" t="str">
        <f>IF(DATEDIF(Walmart[[#This Row],[Order Date]],Walmart[[#This Row],[Ship Date]],"D")&lt;7,"On time","Delayed")</f>
        <v>On time</v>
      </c>
      <c r="F1280" t="s">
        <v>61</v>
      </c>
      <c r="G1280" t="s">
        <v>14</v>
      </c>
      <c r="H1280" t="s">
        <v>25</v>
      </c>
      <c r="I1280" t="s">
        <v>26</v>
      </c>
      <c r="J1280" t="s">
        <v>27</v>
      </c>
      <c r="K1280" t="s">
        <v>2638</v>
      </c>
      <c r="L1280">
        <v>8.32</v>
      </c>
      <c r="M1280">
        <v>5</v>
      </c>
      <c r="N1280" t="str">
        <f>IF(Walmart[[#This Row],[Quantity]]&gt;=7,"Bulk",IF(Walmart[[#This Row],[Quantity]]&gt;=2,"Multi","Single"))</f>
        <v>Multi</v>
      </c>
      <c r="O1280">
        <v>2.81</v>
      </c>
      <c r="P1280" t="str">
        <f>IF(Walmart[[#This Row],[Sales]]&gt;=1000,"High Value", IF(Walmart[[#This Row],[Sales]]&gt;=500,"Medium Value","Low Value"))</f>
        <v>Low Value</v>
      </c>
    </row>
    <row r="1281" spans="1:16" hidden="1" x14ac:dyDescent="0.3">
      <c r="A1281" t="s">
        <v>3008</v>
      </c>
      <c r="B1281" s="1">
        <v>41233</v>
      </c>
      <c r="C1281" s="1" t="str">
        <f>TEXT(Walmart[[#This Row],[Order Date]],"mmmm")</f>
        <v>November</v>
      </c>
      <c r="D1281" s="1">
        <v>41236</v>
      </c>
      <c r="E1281" s="1" t="str">
        <f>IF(DATEDIF(Walmart[[#This Row],[Order Date]],Walmart[[#This Row],[Ship Date]],"D")&lt;7,"On time","Delayed")</f>
        <v>On time</v>
      </c>
      <c r="F1281" t="s">
        <v>826</v>
      </c>
      <c r="G1281" t="s">
        <v>14</v>
      </c>
      <c r="H1281" t="s">
        <v>76</v>
      </c>
      <c r="I1281" t="s">
        <v>77</v>
      </c>
      <c r="J1281" t="s">
        <v>27</v>
      </c>
      <c r="K1281" t="s">
        <v>216</v>
      </c>
      <c r="L1281">
        <v>4.9000000000000004</v>
      </c>
      <c r="M1281">
        <v>3</v>
      </c>
      <c r="N1281" t="str">
        <f>IF(Walmart[[#This Row],[Quantity]]&gt;=7,"Bulk",IF(Walmart[[#This Row],[Quantity]]&gt;=2,"Multi","Single"))</f>
        <v>Multi</v>
      </c>
      <c r="O1281">
        <v>-3.43</v>
      </c>
      <c r="P1281" t="str">
        <f>IF(Walmart[[#This Row],[Sales]]&gt;=1000,"High Value", IF(Walmart[[#This Row],[Sales]]&gt;=500,"Medium Value","Low Value"))</f>
        <v>Low Value</v>
      </c>
    </row>
    <row r="1282" spans="1:16" x14ac:dyDescent="0.3">
      <c r="A1282" t="s">
        <v>3179</v>
      </c>
      <c r="B1282" s="1">
        <v>41757</v>
      </c>
      <c r="C1282" s="1" t="str">
        <f>TEXT(Walmart[[#This Row],[Order Date]],"mmmm")</f>
        <v>April</v>
      </c>
      <c r="D1282" s="1">
        <v>41762</v>
      </c>
      <c r="E1282" s="1" t="str">
        <f>IF(DATEDIF(Walmart[[#This Row],[Order Date]],Walmart[[#This Row],[Ship Date]],"D")&lt;7,"On time","Delayed")</f>
        <v>On time</v>
      </c>
      <c r="F1282" t="s">
        <v>2706</v>
      </c>
      <c r="G1282" t="s">
        <v>14</v>
      </c>
      <c r="H1282" t="s">
        <v>25</v>
      </c>
      <c r="I1282" t="s">
        <v>26</v>
      </c>
      <c r="J1282" t="s">
        <v>21</v>
      </c>
      <c r="K1282" t="s">
        <v>3180</v>
      </c>
      <c r="L1282">
        <v>139.58000000000001</v>
      </c>
      <c r="M1282">
        <v>7</v>
      </c>
      <c r="N1282" t="str">
        <f>IF(Walmart[[#This Row],[Quantity]]&gt;=7,"Bulk",IF(Walmart[[#This Row],[Quantity]]&gt;=2,"Multi","Single"))</f>
        <v>Bulk</v>
      </c>
      <c r="O1282">
        <v>39.08</v>
      </c>
      <c r="P1282" t="str">
        <f>IF(Walmart[[#This Row],[Sales]]&gt;=1000,"High Value", IF(Walmart[[#This Row],[Sales]]&gt;=500,"Medium Value","Low Value"))</f>
        <v>Low Value</v>
      </c>
    </row>
    <row r="1283" spans="1:16" hidden="1" x14ac:dyDescent="0.3">
      <c r="A1283" t="s">
        <v>3010</v>
      </c>
      <c r="B1283" s="1">
        <v>40667</v>
      </c>
      <c r="C1283" s="1" t="str">
        <f>TEXT(Walmart[[#This Row],[Order Date]],"mmmm")</f>
        <v>May</v>
      </c>
      <c r="D1283" s="1">
        <v>40670</v>
      </c>
      <c r="E1283" s="1" t="str">
        <f>IF(DATEDIF(Walmart[[#This Row],[Order Date]],Walmart[[#This Row],[Ship Date]],"D")&lt;7,"On time","Delayed")</f>
        <v>On time</v>
      </c>
      <c r="F1283" t="s">
        <v>3011</v>
      </c>
      <c r="G1283" t="s">
        <v>14</v>
      </c>
      <c r="H1283" t="s">
        <v>25</v>
      </c>
      <c r="I1283" t="s">
        <v>26</v>
      </c>
      <c r="J1283" t="s">
        <v>21</v>
      </c>
      <c r="K1283" t="s">
        <v>1367</v>
      </c>
      <c r="L1283">
        <v>12.18</v>
      </c>
      <c r="M1283">
        <v>7</v>
      </c>
      <c r="N1283" t="str">
        <f>IF(Walmart[[#This Row],[Quantity]]&gt;=7,"Bulk",IF(Walmart[[#This Row],[Quantity]]&gt;=2,"Multi","Single"))</f>
        <v>Bulk</v>
      </c>
      <c r="O1283">
        <v>3.9</v>
      </c>
      <c r="P1283" t="str">
        <f>IF(Walmart[[#This Row],[Sales]]&gt;=1000,"High Value", IF(Walmart[[#This Row],[Sales]]&gt;=500,"Medium Value","Low Value"))</f>
        <v>Low Value</v>
      </c>
    </row>
    <row r="1284" spans="1:16" hidden="1" x14ac:dyDescent="0.3">
      <c r="A1284" t="s">
        <v>3012</v>
      </c>
      <c r="B1284" s="1">
        <v>41255</v>
      </c>
      <c r="C1284" s="1" t="str">
        <f>TEXT(Walmart[[#This Row],[Order Date]],"mmmm")</f>
        <v>December</v>
      </c>
      <c r="D1284" s="1">
        <v>41258</v>
      </c>
      <c r="E1284" s="1" t="str">
        <f>IF(DATEDIF(Walmart[[#This Row],[Order Date]],Walmart[[#This Row],[Ship Date]],"D")&lt;7,"On time","Delayed")</f>
        <v>On time</v>
      </c>
      <c r="F1284" t="s">
        <v>3013</v>
      </c>
      <c r="G1284" t="s">
        <v>14</v>
      </c>
      <c r="H1284" t="s">
        <v>15</v>
      </c>
      <c r="I1284" t="s">
        <v>16</v>
      </c>
      <c r="J1284" t="s">
        <v>53</v>
      </c>
      <c r="K1284" t="s">
        <v>3014</v>
      </c>
      <c r="L1284">
        <v>299.94</v>
      </c>
      <c r="M1284">
        <v>6</v>
      </c>
      <c r="N1284" t="str">
        <f>IF(Walmart[[#This Row],[Quantity]]&gt;=7,"Bulk",IF(Walmart[[#This Row],[Quantity]]&gt;=2,"Multi","Single"))</f>
        <v>Multi</v>
      </c>
      <c r="O1284">
        <v>128.97</v>
      </c>
      <c r="P1284" t="str">
        <f>IF(Walmart[[#This Row],[Sales]]&gt;=1000,"High Value", IF(Walmart[[#This Row],[Sales]]&gt;=500,"Medium Value","Low Value"))</f>
        <v>Low Value</v>
      </c>
    </row>
    <row r="1285" spans="1:16" hidden="1" x14ac:dyDescent="0.3">
      <c r="A1285" t="s">
        <v>3015</v>
      </c>
      <c r="B1285" s="1">
        <v>41555</v>
      </c>
      <c r="C1285" s="1" t="str">
        <f>TEXT(Walmart[[#This Row],[Order Date]],"mmmm")</f>
        <v>October</v>
      </c>
      <c r="D1285" s="1">
        <v>41559</v>
      </c>
      <c r="E1285" s="1" t="str">
        <f>IF(DATEDIF(Walmart[[#This Row],[Order Date]],Walmart[[#This Row],[Ship Date]],"D")&lt;7,"On time","Delayed")</f>
        <v>On time</v>
      </c>
      <c r="F1285" t="s">
        <v>1388</v>
      </c>
      <c r="G1285" t="s">
        <v>14</v>
      </c>
      <c r="H1285" t="s">
        <v>328</v>
      </c>
      <c r="I1285" t="s">
        <v>26</v>
      </c>
      <c r="J1285" t="s">
        <v>191</v>
      </c>
      <c r="K1285" t="s">
        <v>2546</v>
      </c>
      <c r="L1285">
        <v>93.36</v>
      </c>
      <c r="M1285">
        <v>12</v>
      </c>
      <c r="N1285" t="str">
        <f>IF(Walmart[[#This Row],[Quantity]]&gt;=7,"Bulk",IF(Walmart[[#This Row],[Quantity]]&gt;=2,"Multi","Single"))</f>
        <v>Bulk</v>
      </c>
      <c r="O1285">
        <v>0.93</v>
      </c>
      <c r="P1285" t="str">
        <f>IF(Walmart[[#This Row],[Sales]]&gt;=1000,"High Value", IF(Walmart[[#This Row],[Sales]]&gt;=500,"Medium Value","Low Value"))</f>
        <v>Low Value</v>
      </c>
    </row>
    <row r="1286" spans="1:16" hidden="1" x14ac:dyDescent="0.3">
      <c r="A1286" t="s">
        <v>3016</v>
      </c>
      <c r="B1286" s="1">
        <v>41080</v>
      </c>
      <c r="C1286" s="1" t="str">
        <f>TEXT(Walmart[[#This Row],[Order Date]],"mmmm")</f>
        <v>June</v>
      </c>
      <c r="D1286" s="1">
        <v>41083</v>
      </c>
      <c r="E1286" s="1" t="str">
        <f>IF(DATEDIF(Walmart[[#This Row],[Order Date]],Walmart[[#This Row],[Ship Date]],"D")&lt;7,"On time","Delayed")</f>
        <v>On time</v>
      </c>
      <c r="F1286" t="s">
        <v>1086</v>
      </c>
      <c r="G1286" t="s">
        <v>14</v>
      </c>
      <c r="H1286" t="s">
        <v>76</v>
      </c>
      <c r="I1286" t="s">
        <v>77</v>
      </c>
      <c r="J1286" t="s">
        <v>146</v>
      </c>
      <c r="K1286" t="s">
        <v>2808</v>
      </c>
      <c r="L1286">
        <v>125.94</v>
      </c>
      <c r="M1286">
        <v>7</v>
      </c>
      <c r="N1286" t="str">
        <f>IF(Walmart[[#This Row],[Quantity]]&gt;=7,"Bulk",IF(Walmart[[#This Row],[Quantity]]&gt;=2,"Multi","Single"))</f>
        <v>Bulk</v>
      </c>
      <c r="O1286">
        <v>15.74</v>
      </c>
      <c r="P1286" t="str">
        <f>IF(Walmart[[#This Row],[Sales]]&gt;=1000,"High Value", IF(Walmart[[#This Row],[Sales]]&gt;=500,"Medium Value","Low Value"))</f>
        <v>Low Value</v>
      </c>
    </row>
    <row r="1287" spans="1:16" x14ac:dyDescent="0.3">
      <c r="A1287" t="s">
        <v>1399</v>
      </c>
      <c r="B1287" s="1">
        <v>41756</v>
      </c>
      <c r="C1287" s="1" t="str">
        <f>TEXT(Walmart[[#This Row],[Order Date]],"mmmm")</f>
        <v>April</v>
      </c>
      <c r="D1287" s="1">
        <v>41761</v>
      </c>
      <c r="E1287" s="1" t="str">
        <f>IF(DATEDIF(Walmart[[#This Row],[Order Date]],Walmart[[#This Row],[Ship Date]],"D")&lt;7,"On time","Delayed")</f>
        <v>On time</v>
      </c>
      <c r="F1287" t="s">
        <v>1400</v>
      </c>
      <c r="G1287" t="s">
        <v>14</v>
      </c>
      <c r="H1287" t="s">
        <v>25</v>
      </c>
      <c r="I1287" t="s">
        <v>26</v>
      </c>
      <c r="J1287" t="s">
        <v>93</v>
      </c>
      <c r="K1287" t="s">
        <v>695</v>
      </c>
      <c r="L1287">
        <v>20.34</v>
      </c>
      <c r="M1287">
        <v>3</v>
      </c>
      <c r="N1287" t="str">
        <f>IF(Walmart[[#This Row],[Quantity]]&gt;=7,"Bulk",IF(Walmart[[#This Row],[Quantity]]&gt;=2,"Multi","Single"))</f>
        <v>Multi</v>
      </c>
      <c r="O1287">
        <v>9.36</v>
      </c>
      <c r="P1287" t="str">
        <f>IF(Walmart[[#This Row],[Sales]]&gt;=1000,"High Value", IF(Walmart[[#This Row],[Sales]]&gt;=500,"Medium Value","Low Value"))</f>
        <v>Low Value</v>
      </c>
    </row>
    <row r="1288" spans="1:16" x14ac:dyDescent="0.3">
      <c r="A1288" t="s">
        <v>2073</v>
      </c>
      <c r="B1288" s="1">
        <v>41755</v>
      </c>
      <c r="C1288" s="1" t="str">
        <f>TEXT(Walmart[[#This Row],[Order Date]],"mmmm")</f>
        <v>April</v>
      </c>
      <c r="D1288" s="1">
        <v>41759</v>
      </c>
      <c r="E1288" s="1" t="str">
        <f>IF(DATEDIF(Walmart[[#This Row],[Order Date]],Walmart[[#This Row],[Ship Date]],"D")&lt;7,"On time","Delayed")</f>
        <v>On time</v>
      </c>
      <c r="F1288" t="s">
        <v>2074</v>
      </c>
      <c r="G1288" t="s">
        <v>14</v>
      </c>
      <c r="H1288" t="s">
        <v>15</v>
      </c>
      <c r="I1288" t="s">
        <v>16</v>
      </c>
      <c r="J1288" t="s">
        <v>27</v>
      </c>
      <c r="K1288" t="s">
        <v>636</v>
      </c>
      <c r="L1288">
        <v>13.9</v>
      </c>
      <c r="M1288">
        <v>2</v>
      </c>
      <c r="N1288" t="str">
        <f>IF(Walmart[[#This Row],[Quantity]]&gt;=7,"Bulk",IF(Walmart[[#This Row],[Quantity]]&gt;=2,"Multi","Single"))</f>
        <v>Multi</v>
      </c>
      <c r="O1288">
        <v>4.5199999999999996</v>
      </c>
      <c r="P1288" t="str">
        <f>IF(Walmart[[#This Row],[Sales]]&gt;=1000,"High Value", IF(Walmart[[#This Row],[Sales]]&gt;=500,"Medium Value","Low Value"))</f>
        <v>Low Value</v>
      </c>
    </row>
    <row r="1289" spans="1:16" x14ac:dyDescent="0.3">
      <c r="A1289" t="s">
        <v>2215</v>
      </c>
      <c r="B1289" s="1">
        <v>41755</v>
      </c>
      <c r="C1289" s="1" t="str">
        <f>TEXT(Walmart[[#This Row],[Order Date]],"mmmm")</f>
        <v>April</v>
      </c>
      <c r="D1289" s="1">
        <v>41759</v>
      </c>
      <c r="E1289" s="1" t="str">
        <f>IF(DATEDIF(Walmart[[#This Row],[Order Date]],Walmart[[#This Row],[Ship Date]],"D")&lt;7,"On time","Delayed")</f>
        <v>On time</v>
      </c>
      <c r="F1289" t="s">
        <v>2216</v>
      </c>
      <c r="G1289" t="s">
        <v>14</v>
      </c>
      <c r="H1289" t="s">
        <v>2099</v>
      </c>
      <c r="I1289" t="s">
        <v>58</v>
      </c>
      <c r="J1289" t="s">
        <v>38</v>
      </c>
      <c r="K1289" t="s">
        <v>2217</v>
      </c>
      <c r="L1289">
        <v>8.9</v>
      </c>
      <c r="M1289">
        <v>4</v>
      </c>
      <c r="N1289" t="str">
        <f>IF(Walmart[[#This Row],[Quantity]]&gt;=7,"Bulk",IF(Walmart[[#This Row],[Quantity]]&gt;=2,"Multi","Single"))</f>
        <v>Multi</v>
      </c>
      <c r="O1289">
        <v>0.67</v>
      </c>
      <c r="P1289" t="str">
        <f>IF(Walmart[[#This Row],[Sales]]&gt;=1000,"High Value", IF(Walmart[[#This Row],[Sales]]&gt;=500,"Medium Value","Low Value"))</f>
        <v>Low Value</v>
      </c>
    </row>
    <row r="1290" spans="1:16" x14ac:dyDescent="0.3">
      <c r="A1290" t="s">
        <v>2672</v>
      </c>
      <c r="B1290" s="1">
        <v>41755</v>
      </c>
      <c r="C1290" s="1" t="str">
        <f>TEXT(Walmart[[#This Row],[Order Date]],"mmmm")</f>
        <v>April</v>
      </c>
      <c r="D1290" s="1">
        <v>41762</v>
      </c>
      <c r="E1290" s="1" t="str">
        <f>IF(DATEDIF(Walmart[[#This Row],[Order Date]],Walmart[[#This Row],[Ship Date]],"D")&lt;7,"On time","Delayed")</f>
        <v>Delayed</v>
      </c>
      <c r="F1290" t="s">
        <v>878</v>
      </c>
      <c r="G1290" t="s">
        <v>14</v>
      </c>
      <c r="H1290" t="s">
        <v>15</v>
      </c>
      <c r="I1290" t="s">
        <v>16</v>
      </c>
      <c r="J1290" t="s">
        <v>93</v>
      </c>
      <c r="K1290" t="s">
        <v>2673</v>
      </c>
      <c r="L1290">
        <v>19.05</v>
      </c>
      <c r="M1290">
        <v>3</v>
      </c>
      <c r="N1290" t="str">
        <f>IF(Walmart[[#This Row],[Quantity]]&gt;=7,"Bulk",IF(Walmart[[#This Row],[Quantity]]&gt;=2,"Multi","Single"))</f>
        <v>Multi</v>
      </c>
      <c r="O1290">
        <v>8.76</v>
      </c>
      <c r="P1290" t="str">
        <f>IF(Walmart[[#This Row],[Sales]]&gt;=1000,"High Value", IF(Walmart[[#This Row],[Sales]]&gt;=500,"Medium Value","Low Value"))</f>
        <v>Low Value</v>
      </c>
    </row>
    <row r="1291" spans="1:16" hidden="1" x14ac:dyDescent="0.3">
      <c r="A1291" t="s">
        <v>3023</v>
      </c>
      <c r="B1291" s="1">
        <v>41149</v>
      </c>
      <c r="C1291" s="1" t="str">
        <f>TEXT(Walmart[[#This Row],[Order Date]],"mmmm")</f>
        <v>August</v>
      </c>
      <c r="D1291" s="1">
        <v>41156</v>
      </c>
      <c r="E1291" s="1" t="str">
        <f>IF(DATEDIF(Walmart[[#This Row],[Order Date]],Walmart[[#This Row],[Ship Date]],"D")&lt;7,"On time","Delayed")</f>
        <v>Delayed</v>
      </c>
      <c r="F1291" t="s">
        <v>2153</v>
      </c>
      <c r="G1291" t="s">
        <v>14</v>
      </c>
      <c r="H1291" t="s">
        <v>15</v>
      </c>
      <c r="I1291" t="s">
        <v>16</v>
      </c>
      <c r="J1291" t="s">
        <v>33</v>
      </c>
      <c r="K1291" t="s">
        <v>3024</v>
      </c>
      <c r="L1291">
        <v>892.35</v>
      </c>
      <c r="M1291">
        <v>5</v>
      </c>
      <c r="N1291" t="str">
        <f>IF(Walmart[[#This Row],[Quantity]]&gt;=7,"Bulk",IF(Walmart[[#This Row],[Quantity]]&gt;=2,"Multi","Single"))</f>
        <v>Multi</v>
      </c>
      <c r="O1291">
        <v>267.70999999999998</v>
      </c>
      <c r="P1291" t="str">
        <f>IF(Walmart[[#This Row],[Sales]]&gt;=1000,"High Value", IF(Walmart[[#This Row],[Sales]]&gt;=500,"Medium Value","Low Value"))</f>
        <v>Medium Value</v>
      </c>
    </row>
    <row r="1292" spans="1:16" hidden="1" x14ac:dyDescent="0.3">
      <c r="A1292" t="s">
        <v>3025</v>
      </c>
      <c r="B1292" s="1">
        <v>41202</v>
      </c>
      <c r="C1292" s="1" t="str">
        <f>TEXT(Walmart[[#This Row],[Order Date]],"mmmm")</f>
        <v>October</v>
      </c>
      <c r="D1292" s="1">
        <v>41206</v>
      </c>
      <c r="E1292" s="1" t="str">
        <f>IF(DATEDIF(Walmart[[#This Row],[Order Date]],Walmart[[#This Row],[Ship Date]],"D")&lt;7,"On time","Delayed")</f>
        <v>On time</v>
      </c>
      <c r="F1292" t="s">
        <v>562</v>
      </c>
      <c r="G1292" t="s">
        <v>14</v>
      </c>
      <c r="H1292" t="s">
        <v>37</v>
      </c>
      <c r="I1292" t="s">
        <v>16</v>
      </c>
      <c r="J1292" t="s">
        <v>53</v>
      </c>
      <c r="K1292" t="s">
        <v>3026</v>
      </c>
      <c r="L1292">
        <v>239.97</v>
      </c>
      <c r="M1292">
        <v>3</v>
      </c>
      <c r="N1292" t="str">
        <f>IF(Walmart[[#This Row],[Quantity]]&gt;=7,"Bulk",IF(Walmart[[#This Row],[Quantity]]&gt;=2,"Multi","Single"))</f>
        <v>Multi</v>
      </c>
      <c r="O1292">
        <v>86.39</v>
      </c>
      <c r="P1292" t="str">
        <f>IF(Walmart[[#This Row],[Sales]]&gt;=1000,"High Value", IF(Walmart[[#This Row],[Sales]]&gt;=500,"Medium Value","Low Value"))</f>
        <v>Low Value</v>
      </c>
    </row>
    <row r="1293" spans="1:16" hidden="1" x14ac:dyDescent="0.3">
      <c r="A1293" t="s">
        <v>3027</v>
      </c>
      <c r="B1293" s="1">
        <v>41208</v>
      </c>
      <c r="C1293" s="1" t="str">
        <f>TEXT(Walmart[[#This Row],[Order Date]],"mmmm")</f>
        <v>October</v>
      </c>
      <c r="D1293" s="1">
        <v>41214</v>
      </c>
      <c r="E1293" s="1" t="str">
        <f>IF(DATEDIF(Walmart[[#This Row],[Order Date]],Walmart[[#This Row],[Ship Date]],"D")&lt;7,"On time","Delayed")</f>
        <v>On time</v>
      </c>
      <c r="F1293" t="s">
        <v>167</v>
      </c>
      <c r="G1293" t="s">
        <v>14</v>
      </c>
      <c r="H1293" t="s">
        <v>926</v>
      </c>
      <c r="I1293" t="s">
        <v>69</v>
      </c>
      <c r="J1293" t="s">
        <v>17</v>
      </c>
      <c r="K1293" t="s">
        <v>3028</v>
      </c>
      <c r="L1293">
        <v>146.54</v>
      </c>
      <c r="M1293">
        <v>6</v>
      </c>
      <c r="N1293" t="str">
        <f>IF(Walmart[[#This Row],[Quantity]]&gt;=7,"Bulk",IF(Walmart[[#This Row],[Quantity]]&gt;=2,"Multi","Single"))</f>
        <v>Multi</v>
      </c>
      <c r="O1293">
        <v>47.63</v>
      </c>
      <c r="P1293" t="str">
        <f>IF(Walmart[[#This Row],[Sales]]&gt;=1000,"High Value", IF(Walmart[[#This Row],[Sales]]&gt;=500,"Medium Value","Low Value"))</f>
        <v>Low Value</v>
      </c>
    </row>
    <row r="1294" spans="1:16" hidden="1" x14ac:dyDescent="0.3">
      <c r="A1294" t="s">
        <v>3029</v>
      </c>
      <c r="B1294" s="1">
        <v>41547</v>
      </c>
      <c r="C1294" s="1" t="str">
        <f>TEXT(Walmart[[#This Row],[Order Date]],"mmmm")</f>
        <v>September</v>
      </c>
      <c r="D1294" s="1">
        <v>41549</v>
      </c>
      <c r="E1294" s="1" t="str">
        <f>IF(DATEDIF(Walmart[[#This Row],[Order Date]],Walmart[[#This Row],[Ship Date]],"D")&lt;7,"On time","Delayed")</f>
        <v>On time</v>
      </c>
      <c r="F1294" t="s">
        <v>1575</v>
      </c>
      <c r="G1294" t="s">
        <v>14</v>
      </c>
      <c r="H1294" t="s">
        <v>1984</v>
      </c>
      <c r="I1294" t="s">
        <v>58</v>
      </c>
      <c r="J1294" t="s">
        <v>38</v>
      </c>
      <c r="K1294" t="s">
        <v>1113</v>
      </c>
      <c r="L1294">
        <v>10.5</v>
      </c>
      <c r="M1294">
        <v>4</v>
      </c>
      <c r="N1294" t="str">
        <f>IF(Walmart[[#This Row],[Quantity]]&gt;=7,"Bulk",IF(Walmart[[#This Row],[Quantity]]&gt;=2,"Multi","Single"))</f>
        <v>Multi</v>
      </c>
      <c r="O1294">
        <v>1.18</v>
      </c>
      <c r="P1294" t="str">
        <f>IF(Walmart[[#This Row],[Sales]]&gt;=1000,"High Value", IF(Walmart[[#This Row],[Sales]]&gt;=500,"Medium Value","Low Value"))</f>
        <v>Low Value</v>
      </c>
    </row>
    <row r="1295" spans="1:16" hidden="1" x14ac:dyDescent="0.3">
      <c r="A1295" t="s">
        <v>3030</v>
      </c>
      <c r="B1295" s="1">
        <v>41100</v>
      </c>
      <c r="C1295" s="1" t="str">
        <f>TEXT(Walmart[[#This Row],[Order Date]],"mmmm")</f>
        <v>July</v>
      </c>
      <c r="D1295" s="1">
        <v>41104</v>
      </c>
      <c r="E1295" s="1" t="str">
        <f>IF(DATEDIF(Walmart[[#This Row],[Order Date]],Walmart[[#This Row],[Ship Date]],"D")&lt;7,"On time","Delayed")</f>
        <v>On time</v>
      </c>
      <c r="F1295" t="s">
        <v>2589</v>
      </c>
      <c r="G1295" t="s">
        <v>14</v>
      </c>
      <c r="H1295" t="s">
        <v>970</v>
      </c>
      <c r="I1295" t="s">
        <v>16</v>
      </c>
      <c r="J1295" t="s">
        <v>27</v>
      </c>
      <c r="K1295" t="s">
        <v>3031</v>
      </c>
      <c r="L1295">
        <v>39.92</v>
      </c>
      <c r="M1295">
        <v>2</v>
      </c>
      <c r="N1295" t="str">
        <f>IF(Walmart[[#This Row],[Quantity]]&gt;=7,"Bulk",IF(Walmart[[#This Row],[Quantity]]&gt;=2,"Multi","Single"))</f>
        <v>Multi</v>
      </c>
      <c r="O1295">
        <v>12.97</v>
      </c>
      <c r="P1295" t="str">
        <f>IF(Walmart[[#This Row],[Sales]]&gt;=1000,"High Value", IF(Walmart[[#This Row],[Sales]]&gt;=500,"Medium Value","Low Value"))</f>
        <v>Low Value</v>
      </c>
    </row>
    <row r="1296" spans="1:16" hidden="1" x14ac:dyDescent="0.3">
      <c r="A1296" t="s">
        <v>3032</v>
      </c>
      <c r="B1296" s="1">
        <v>40884</v>
      </c>
      <c r="C1296" s="1" t="str">
        <f>TEXT(Walmart[[#This Row],[Order Date]],"mmmm")</f>
        <v>December</v>
      </c>
      <c r="D1296" s="1">
        <v>40890</v>
      </c>
      <c r="E1296" s="1" t="str">
        <f>IF(DATEDIF(Walmart[[#This Row],[Order Date]],Walmart[[#This Row],[Ship Date]],"D")&lt;7,"On time","Delayed")</f>
        <v>On time</v>
      </c>
      <c r="F1296" t="s">
        <v>1851</v>
      </c>
      <c r="G1296" t="s">
        <v>14</v>
      </c>
      <c r="H1296" t="s">
        <v>25</v>
      </c>
      <c r="I1296" t="s">
        <v>26</v>
      </c>
      <c r="J1296" t="s">
        <v>33</v>
      </c>
      <c r="K1296" t="s">
        <v>1307</v>
      </c>
      <c r="L1296">
        <v>269.36</v>
      </c>
      <c r="M1296">
        <v>7</v>
      </c>
      <c r="N1296" t="str">
        <f>IF(Walmart[[#This Row],[Quantity]]&gt;=7,"Bulk",IF(Walmart[[#This Row],[Quantity]]&gt;=2,"Multi","Single"))</f>
        <v>Bulk</v>
      </c>
      <c r="O1296">
        <v>70.03</v>
      </c>
      <c r="P1296" t="str">
        <f>IF(Walmart[[#This Row],[Sales]]&gt;=1000,"High Value", IF(Walmart[[#This Row],[Sales]]&gt;=500,"Medium Value","Low Value"))</f>
        <v>Low Value</v>
      </c>
    </row>
    <row r="1297" spans="1:16" hidden="1" x14ac:dyDescent="0.3">
      <c r="A1297" t="s">
        <v>3033</v>
      </c>
      <c r="B1297" s="1">
        <v>41253</v>
      </c>
      <c r="C1297" s="1" t="str">
        <f>TEXT(Walmart[[#This Row],[Order Date]],"mmmm")</f>
        <v>December</v>
      </c>
      <c r="D1297" s="1">
        <v>41257</v>
      </c>
      <c r="E1297" s="1" t="str">
        <f>IF(DATEDIF(Walmart[[#This Row],[Order Date]],Walmart[[#This Row],[Ship Date]],"D")&lt;7,"On time","Delayed")</f>
        <v>On time</v>
      </c>
      <c r="F1297" t="s">
        <v>514</v>
      </c>
      <c r="G1297" t="s">
        <v>14</v>
      </c>
      <c r="H1297" t="s">
        <v>37</v>
      </c>
      <c r="I1297" t="s">
        <v>16</v>
      </c>
      <c r="J1297" t="s">
        <v>17</v>
      </c>
      <c r="K1297" t="s">
        <v>1148</v>
      </c>
      <c r="L1297">
        <v>5.76</v>
      </c>
      <c r="M1297">
        <v>2</v>
      </c>
      <c r="N1297" t="str">
        <f>IF(Walmart[[#This Row],[Quantity]]&gt;=7,"Bulk",IF(Walmart[[#This Row],[Quantity]]&gt;=2,"Multi","Single"))</f>
        <v>Multi</v>
      </c>
      <c r="O1297">
        <v>2.82</v>
      </c>
      <c r="P1297" t="str">
        <f>IF(Walmart[[#This Row],[Sales]]&gt;=1000,"High Value", IF(Walmart[[#This Row],[Sales]]&gt;=500,"Medium Value","Low Value"))</f>
        <v>Low Value</v>
      </c>
    </row>
    <row r="1298" spans="1:16" x14ac:dyDescent="0.3">
      <c r="A1298" t="s">
        <v>2767</v>
      </c>
      <c r="B1298" s="1">
        <v>41755</v>
      </c>
      <c r="C1298" s="1" t="str">
        <f>TEXT(Walmart[[#This Row],[Order Date]],"mmmm")</f>
        <v>April</v>
      </c>
      <c r="D1298" s="1">
        <v>41757</v>
      </c>
      <c r="E1298" s="1" t="str">
        <f>IF(DATEDIF(Walmart[[#This Row],[Order Date]],Walmart[[#This Row],[Ship Date]],"D")&lt;7,"On time","Delayed")</f>
        <v>On time</v>
      </c>
      <c r="F1298" t="s">
        <v>2768</v>
      </c>
      <c r="G1298" t="s">
        <v>14</v>
      </c>
      <c r="H1298" t="s">
        <v>37</v>
      </c>
      <c r="I1298" t="s">
        <v>16</v>
      </c>
      <c r="J1298" t="s">
        <v>53</v>
      </c>
      <c r="K1298" t="s">
        <v>231</v>
      </c>
      <c r="L1298">
        <v>107.97</v>
      </c>
      <c r="M1298">
        <v>3</v>
      </c>
      <c r="N1298" t="str">
        <f>IF(Walmart[[#This Row],[Quantity]]&gt;=7,"Bulk",IF(Walmart[[#This Row],[Quantity]]&gt;=2,"Multi","Single"))</f>
        <v>Multi</v>
      </c>
      <c r="O1298">
        <v>22.67</v>
      </c>
      <c r="P1298" t="str">
        <f>IF(Walmart[[#This Row],[Sales]]&gt;=1000,"High Value", IF(Walmart[[#This Row],[Sales]]&gt;=500,"Medium Value","Low Value"))</f>
        <v>Low Value</v>
      </c>
    </row>
    <row r="1299" spans="1:16" x14ac:dyDescent="0.3">
      <c r="A1299" t="s">
        <v>3265</v>
      </c>
      <c r="B1299" s="1">
        <v>41755</v>
      </c>
      <c r="C1299" s="1" t="str">
        <f>TEXT(Walmart[[#This Row],[Order Date]],"mmmm")</f>
        <v>April</v>
      </c>
      <c r="D1299" s="1">
        <v>41757</v>
      </c>
      <c r="E1299" s="1" t="str">
        <f>IF(DATEDIF(Walmart[[#This Row],[Order Date]],Walmart[[#This Row],[Ship Date]],"D")&lt;7,"On time","Delayed")</f>
        <v>On time</v>
      </c>
      <c r="F1299" t="s">
        <v>2795</v>
      </c>
      <c r="G1299" t="s">
        <v>14</v>
      </c>
      <c r="H1299" t="s">
        <v>15</v>
      </c>
      <c r="I1299" t="s">
        <v>16</v>
      </c>
      <c r="J1299" t="s">
        <v>671</v>
      </c>
      <c r="K1299" t="s">
        <v>2680</v>
      </c>
      <c r="L1299">
        <v>344.98</v>
      </c>
      <c r="M1299">
        <v>7</v>
      </c>
      <c r="N1299" t="str">
        <f>IF(Walmart[[#This Row],[Quantity]]&gt;=7,"Bulk",IF(Walmart[[#This Row],[Quantity]]&gt;=2,"Multi","Single"))</f>
        <v>Bulk</v>
      </c>
      <c r="O1299">
        <v>28.41</v>
      </c>
      <c r="P1299" t="str">
        <f>IF(Walmart[[#This Row],[Sales]]&gt;=1000,"High Value", IF(Walmart[[#This Row],[Sales]]&gt;=500,"Medium Value","Low Value"))</f>
        <v>Low Value</v>
      </c>
    </row>
    <row r="1300" spans="1:16" hidden="1" x14ac:dyDescent="0.3">
      <c r="A1300" t="s">
        <v>3037</v>
      </c>
      <c r="B1300" s="1">
        <v>41344</v>
      </c>
      <c r="C1300" s="1" t="str">
        <f>TEXT(Walmart[[#This Row],[Order Date]],"mmmm")</f>
        <v>March</v>
      </c>
      <c r="D1300" s="1">
        <v>41347</v>
      </c>
      <c r="E1300" s="1" t="str">
        <f>IF(DATEDIF(Walmart[[#This Row],[Order Date]],Walmart[[#This Row],[Ship Date]],"D")&lt;7,"On time","Delayed")</f>
        <v>On time</v>
      </c>
      <c r="F1300" t="s">
        <v>1078</v>
      </c>
      <c r="G1300" t="s">
        <v>14</v>
      </c>
      <c r="H1300" t="s">
        <v>15</v>
      </c>
      <c r="I1300" t="s">
        <v>16</v>
      </c>
      <c r="J1300" t="s">
        <v>53</v>
      </c>
      <c r="K1300" t="s">
        <v>2453</v>
      </c>
      <c r="L1300">
        <v>26.85</v>
      </c>
      <c r="M1300">
        <v>3</v>
      </c>
      <c r="N1300" t="str">
        <f>IF(Walmart[[#This Row],[Quantity]]&gt;=7,"Bulk",IF(Walmart[[#This Row],[Quantity]]&gt;=2,"Multi","Single"))</f>
        <v>Multi</v>
      </c>
      <c r="O1300">
        <v>5.0999999999999996</v>
      </c>
      <c r="P1300" t="str">
        <f>IF(Walmart[[#This Row],[Sales]]&gt;=1000,"High Value", IF(Walmart[[#This Row],[Sales]]&gt;=500,"Medium Value","Low Value"))</f>
        <v>Low Value</v>
      </c>
    </row>
    <row r="1301" spans="1:16" hidden="1" x14ac:dyDescent="0.3">
      <c r="A1301" t="s">
        <v>3038</v>
      </c>
      <c r="B1301" s="1">
        <v>41051</v>
      </c>
      <c r="C1301" s="1" t="str">
        <f>TEXT(Walmart[[#This Row],[Order Date]],"mmmm")</f>
        <v>May</v>
      </c>
      <c r="D1301" s="1">
        <v>41055</v>
      </c>
      <c r="E1301" s="1" t="str">
        <f>IF(DATEDIF(Walmart[[#This Row],[Order Date]],Walmart[[#This Row],[Ship Date]],"D")&lt;7,"On time","Delayed")</f>
        <v>On time</v>
      </c>
      <c r="F1301" t="s">
        <v>3039</v>
      </c>
      <c r="G1301" t="s">
        <v>14</v>
      </c>
      <c r="H1301" t="s">
        <v>15</v>
      </c>
      <c r="I1301" t="s">
        <v>16</v>
      </c>
      <c r="J1301" t="s">
        <v>17</v>
      </c>
      <c r="K1301" t="s">
        <v>3040</v>
      </c>
      <c r="L1301">
        <v>8.26</v>
      </c>
      <c r="M1301">
        <v>2</v>
      </c>
      <c r="N1301" t="str">
        <f>IF(Walmart[[#This Row],[Quantity]]&gt;=7,"Bulk",IF(Walmart[[#This Row],[Quantity]]&gt;=2,"Multi","Single"))</f>
        <v>Multi</v>
      </c>
      <c r="O1301">
        <v>3.8</v>
      </c>
      <c r="P1301" t="str">
        <f>IF(Walmart[[#This Row],[Sales]]&gt;=1000,"High Value", IF(Walmart[[#This Row],[Sales]]&gt;=500,"Medium Value","Low Value"))</f>
        <v>Low Value</v>
      </c>
    </row>
    <row r="1302" spans="1:16" x14ac:dyDescent="0.3">
      <c r="A1302" t="s">
        <v>2253</v>
      </c>
      <c r="B1302" s="1">
        <v>41754</v>
      </c>
      <c r="C1302" s="1" t="str">
        <f>TEXT(Walmart[[#This Row],[Order Date]],"mmmm")</f>
        <v>April</v>
      </c>
      <c r="D1302" s="1">
        <v>41758</v>
      </c>
      <c r="E1302" s="1" t="str">
        <f>IF(DATEDIF(Walmart[[#This Row],[Order Date]],Walmart[[#This Row],[Ship Date]],"D")&lt;7,"On time","Delayed")</f>
        <v>On time</v>
      </c>
      <c r="F1302" t="s">
        <v>1235</v>
      </c>
      <c r="G1302" t="s">
        <v>14</v>
      </c>
      <c r="H1302" t="s">
        <v>2254</v>
      </c>
      <c r="I1302" t="s">
        <v>16</v>
      </c>
      <c r="J1302" t="s">
        <v>191</v>
      </c>
      <c r="K1302" t="s">
        <v>2255</v>
      </c>
      <c r="L1302">
        <v>1.81</v>
      </c>
      <c r="M1302">
        <v>1</v>
      </c>
      <c r="N1302" t="str">
        <f>IF(Walmart[[#This Row],[Quantity]]&gt;=7,"Bulk",IF(Walmart[[#This Row],[Quantity]]&gt;=2,"Multi","Single"))</f>
        <v>Single</v>
      </c>
      <c r="O1302">
        <v>0.65</v>
      </c>
      <c r="P1302" t="str">
        <f>IF(Walmart[[#This Row],[Sales]]&gt;=1000,"High Value", IF(Walmart[[#This Row],[Sales]]&gt;=500,"Medium Value","Low Value"))</f>
        <v>Low Value</v>
      </c>
    </row>
    <row r="1303" spans="1:16" x14ac:dyDescent="0.3">
      <c r="A1303" t="s">
        <v>2413</v>
      </c>
      <c r="B1303" s="1">
        <v>41754</v>
      </c>
      <c r="C1303" s="1" t="str">
        <f>TEXT(Walmart[[#This Row],[Order Date]],"mmmm")</f>
        <v>April</v>
      </c>
      <c r="D1303" s="1">
        <v>41755</v>
      </c>
      <c r="E1303" s="1" t="str">
        <f>IF(DATEDIF(Walmart[[#This Row],[Order Date]],Walmart[[#This Row],[Ship Date]],"D")&lt;7,"On time","Delayed")</f>
        <v>On time</v>
      </c>
      <c r="F1303" t="s">
        <v>2414</v>
      </c>
      <c r="G1303" t="s">
        <v>14</v>
      </c>
      <c r="H1303" t="s">
        <v>299</v>
      </c>
      <c r="I1303" t="s">
        <v>58</v>
      </c>
      <c r="J1303" t="s">
        <v>146</v>
      </c>
      <c r="K1303" t="s">
        <v>2415</v>
      </c>
      <c r="L1303">
        <v>552</v>
      </c>
      <c r="M1303">
        <v>10</v>
      </c>
      <c r="N1303" t="str">
        <f>IF(Walmart[[#This Row],[Quantity]]&gt;=7,"Bulk",IF(Walmart[[#This Row],[Quantity]]&gt;=2,"Multi","Single"))</f>
        <v>Bulk</v>
      </c>
      <c r="O1303">
        <v>34.5</v>
      </c>
      <c r="P1303" t="str">
        <f>IF(Walmart[[#This Row],[Sales]]&gt;=1000,"High Value", IF(Walmart[[#This Row],[Sales]]&gt;=500,"Medium Value","Low Value"))</f>
        <v>Medium Value</v>
      </c>
    </row>
    <row r="1304" spans="1:16" hidden="1" x14ac:dyDescent="0.3">
      <c r="A1304" t="s">
        <v>3044</v>
      </c>
      <c r="B1304" s="1">
        <v>41590</v>
      </c>
      <c r="C1304" s="1" t="str">
        <f>TEXT(Walmart[[#This Row],[Order Date]],"mmmm")</f>
        <v>November</v>
      </c>
      <c r="D1304" s="1">
        <v>41595</v>
      </c>
      <c r="E1304" s="1" t="str">
        <f>IF(DATEDIF(Walmart[[#This Row],[Order Date]],Walmart[[#This Row],[Ship Date]],"D")&lt;7,"On time","Delayed")</f>
        <v>On time</v>
      </c>
      <c r="F1304" t="s">
        <v>315</v>
      </c>
      <c r="G1304" t="s">
        <v>14</v>
      </c>
      <c r="H1304" t="s">
        <v>37</v>
      </c>
      <c r="I1304" t="s">
        <v>16</v>
      </c>
      <c r="J1304" t="s">
        <v>21</v>
      </c>
      <c r="K1304" t="s">
        <v>3045</v>
      </c>
      <c r="L1304">
        <v>41.96</v>
      </c>
      <c r="M1304">
        <v>2</v>
      </c>
      <c r="N1304" t="str">
        <f>IF(Walmart[[#This Row],[Quantity]]&gt;=7,"Bulk",IF(Walmart[[#This Row],[Quantity]]&gt;=2,"Multi","Single"))</f>
        <v>Multi</v>
      </c>
      <c r="O1304">
        <v>10.91</v>
      </c>
      <c r="P1304" t="str">
        <f>IF(Walmart[[#This Row],[Sales]]&gt;=1000,"High Value", IF(Walmart[[#This Row],[Sales]]&gt;=500,"Medium Value","Low Value"))</f>
        <v>Low Value</v>
      </c>
    </row>
    <row r="1305" spans="1:16" x14ac:dyDescent="0.3">
      <c r="A1305" t="s">
        <v>2792</v>
      </c>
      <c r="B1305" s="1">
        <v>41753</v>
      </c>
      <c r="C1305" s="1" t="str">
        <f>TEXT(Walmart[[#This Row],[Order Date]],"mmmm")</f>
        <v>April</v>
      </c>
      <c r="D1305" s="1">
        <v>41755</v>
      </c>
      <c r="E1305" s="1" t="str">
        <f>IF(DATEDIF(Walmart[[#This Row],[Order Date]],Walmart[[#This Row],[Ship Date]],"D")&lt;7,"On time","Delayed")</f>
        <v>On time</v>
      </c>
      <c r="F1305" t="s">
        <v>1667</v>
      </c>
      <c r="G1305" t="s">
        <v>14</v>
      </c>
      <c r="H1305" t="s">
        <v>100</v>
      </c>
      <c r="I1305" t="s">
        <v>16</v>
      </c>
      <c r="J1305" t="s">
        <v>21</v>
      </c>
      <c r="K1305" t="s">
        <v>2793</v>
      </c>
      <c r="L1305">
        <v>66.36</v>
      </c>
      <c r="M1305">
        <v>7</v>
      </c>
      <c r="N1305" t="str">
        <f>IF(Walmart[[#This Row],[Quantity]]&gt;=7,"Bulk",IF(Walmart[[#This Row],[Quantity]]&gt;=2,"Multi","Single"))</f>
        <v>Bulk</v>
      </c>
      <c r="O1305">
        <v>26.54</v>
      </c>
      <c r="P1305" t="str">
        <f>IF(Walmart[[#This Row],[Sales]]&gt;=1000,"High Value", IF(Walmart[[#This Row],[Sales]]&gt;=500,"Medium Value","Low Value"))</f>
        <v>Low Value</v>
      </c>
    </row>
    <row r="1306" spans="1:16" hidden="1" x14ac:dyDescent="0.3">
      <c r="A1306" t="s">
        <v>3048</v>
      </c>
      <c r="B1306" s="1">
        <v>40744</v>
      </c>
      <c r="C1306" s="1" t="str">
        <f>TEXT(Walmart[[#This Row],[Order Date]],"mmmm")</f>
        <v>July</v>
      </c>
      <c r="D1306" s="1">
        <v>40747</v>
      </c>
      <c r="E1306" s="1" t="str">
        <f>IF(DATEDIF(Walmart[[#This Row],[Order Date]],Walmart[[#This Row],[Ship Date]],"D")&lt;7,"On time","Delayed")</f>
        <v>On time</v>
      </c>
      <c r="F1306" t="s">
        <v>1647</v>
      </c>
      <c r="G1306" t="s">
        <v>14</v>
      </c>
      <c r="H1306" t="s">
        <v>471</v>
      </c>
      <c r="I1306" t="s">
        <v>16</v>
      </c>
      <c r="J1306" t="s">
        <v>53</v>
      </c>
      <c r="K1306" t="s">
        <v>2898</v>
      </c>
      <c r="L1306">
        <v>41.94</v>
      </c>
      <c r="M1306">
        <v>2</v>
      </c>
      <c r="N1306" t="str">
        <f>IF(Walmart[[#This Row],[Quantity]]&gt;=7,"Bulk",IF(Walmart[[#This Row],[Quantity]]&gt;=2,"Multi","Single"))</f>
        <v>Multi</v>
      </c>
      <c r="O1306">
        <v>15.1</v>
      </c>
      <c r="P1306" t="str">
        <f>IF(Walmart[[#This Row],[Sales]]&gt;=1000,"High Value", IF(Walmart[[#This Row],[Sales]]&gt;=500,"Medium Value","Low Value"))</f>
        <v>Low Value</v>
      </c>
    </row>
    <row r="1307" spans="1:16" hidden="1" x14ac:dyDescent="0.3">
      <c r="A1307" t="s">
        <v>3049</v>
      </c>
      <c r="B1307" s="1">
        <v>40955</v>
      </c>
      <c r="C1307" s="1" t="str">
        <f>TEXT(Walmart[[#This Row],[Order Date]],"mmmm")</f>
        <v>February</v>
      </c>
      <c r="D1307" s="1">
        <v>40960</v>
      </c>
      <c r="E1307" s="1" t="str">
        <f>IF(DATEDIF(Walmart[[#This Row],[Order Date]],Walmart[[#This Row],[Ship Date]],"D")&lt;7,"On time","Delayed")</f>
        <v>On time</v>
      </c>
      <c r="F1307" t="s">
        <v>1509</v>
      </c>
      <c r="G1307" t="s">
        <v>14</v>
      </c>
      <c r="H1307" t="s">
        <v>15</v>
      </c>
      <c r="I1307" t="s">
        <v>16</v>
      </c>
      <c r="J1307" t="s">
        <v>93</v>
      </c>
      <c r="K1307" t="s">
        <v>547</v>
      </c>
      <c r="L1307">
        <v>36.840000000000003</v>
      </c>
      <c r="M1307">
        <v>3</v>
      </c>
      <c r="N1307" t="str">
        <f>IF(Walmart[[#This Row],[Quantity]]&gt;=7,"Bulk",IF(Walmart[[#This Row],[Quantity]]&gt;=2,"Multi","Single"))</f>
        <v>Multi</v>
      </c>
      <c r="O1307">
        <v>17.309999999999999</v>
      </c>
      <c r="P1307" t="str">
        <f>IF(Walmart[[#This Row],[Sales]]&gt;=1000,"High Value", IF(Walmart[[#This Row],[Sales]]&gt;=500,"Medium Value","Low Value"))</f>
        <v>Low Value</v>
      </c>
    </row>
    <row r="1308" spans="1:16" hidden="1" x14ac:dyDescent="0.3">
      <c r="A1308" t="s">
        <v>3050</v>
      </c>
      <c r="B1308" s="1">
        <v>41310</v>
      </c>
      <c r="C1308" s="1" t="str">
        <f>TEXT(Walmart[[#This Row],[Order Date]],"mmmm")</f>
        <v>February</v>
      </c>
      <c r="D1308" s="1">
        <v>41315</v>
      </c>
      <c r="E1308" s="1" t="str">
        <f>IF(DATEDIF(Walmart[[#This Row],[Order Date]],Walmart[[#This Row],[Ship Date]],"D")&lt;7,"On time","Delayed")</f>
        <v>On time</v>
      </c>
      <c r="F1308" t="s">
        <v>2514</v>
      </c>
      <c r="G1308" t="s">
        <v>14</v>
      </c>
      <c r="H1308" t="s">
        <v>160</v>
      </c>
      <c r="I1308" t="s">
        <v>16</v>
      </c>
      <c r="J1308" t="s">
        <v>17</v>
      </c>
      <c r="K1308" t="s">
        <v>3051</v>
      </c>
      <c r="L1308">
        <v>14.73</v>
      </c>
      <c r="M1308">
        <v>3</v>
      </c>
      <c r="N1308" t="str">
        <f>IF(Walmart[[#This Row],[Quantity]]&gt;=7,"Bulk",IF(Walmart[[#This Row],[Quantity]]&gt;=2,"Multi","Single"))</f>
        <v>Multi</v>
      </c>
      <c r="O1308">
        <v>7.22</v>
      </c>
      <c r="P1308" t="str">
        <f>IF(Walmart[[#This Row],[Sales]]&gt;=1000,"High Value", IF(Walmart[[#This Row],[Sales]]&gt;=500,"Medium Value","Low Value"))</f>
        <v>Low Value</v>
      </c>
    </row>
    <row r="1309" spans="1:16" hidden="1" x14ac:dyDescent="0.3">
      <c r="A1309" t="s">
        <v>3052</v>
      </c>
      <c r="B1309" s="1">
        <v>41636</v>
      </c>
      <c r="C1309" s="1" t="str">
        <f>TEXT(Walmart[[#This Row],[Order Date]],"mmmm")</f>
        <v>December</v>
      </c>
      <c r="D1309" s="1">
        <v>41640</v>
      </c>
      <c r="E1309" s="1" t="str">
        <f>IF(DATEDIF(Walmart[[#This Row],[Order Date]],Walmart[[#This Row],[Ship Date]],"D")&lt;7,"On time","Delayed")</f>
        <v>On time</v>
      </c>
      <c r="F1309" t="s">
        <v>1396</v>
      </c>
      <c r="G1309" t="s">
        <v>14</v>
      </c>
      <c r="H1309" t="s">
        <v>438</v>
      </c>
      <c r="I1309" t="s">
        <v>16</v>
      </c>
      <c r="J1309" t="s">
        <v>17</v>
      </c>
      <c r="K1309" t="s">
        <v>1148</v>
      </c>
      <c r="L1309">
        <v>20.16</v>
      </c>
      <c r="M1309">
        <v>7</v>
      </c>
      <c r="N1309" t="str">
        <f>IF(Walmart[[#This Row],[Quantity]]&gt;=7,"Bulk",IF(Walmart[[#This Row],[Quantity]]&gt;=2,"Multi","Single"))</f>
        <v>Bulk</v>
      </c>
      <c r="O1309">
        <v>9.8800000000000008</v>
      </c>
      <c r="P1309" t="str">
        <f>IF(Walmart[[#This Row],[Sales]]&gt;=1000,"High Value", IF(Walmart[[#This Row],[Sales]]&gt;=500,"Medium Value","Low Value"))</f>
        <v>Low Value</v>
      </c>
    </row>
    <row r="1310" spans="1:16" x14ac:dyDescent="0.3">
      <c r="A1310" t="s">
        <v>3158</v>
      </c>
      <c r="B1310" s="1">
        <v>41753</v>
      </c>
      <c r="C1310" s="1" t="str">
        <f>TEXT(Walmart[[#This Row],[Order Date]],"mmmm")</f>
        <v>April</v>
      </c>
      <c r="D1310" s="1">
        <v>41756</v>
      </c>
      <c r="E1310" s="1" t="str">
        <f>IF(DATEDIF(Walmart[[#This Row],[Order Date]],Walmart[[#This Row],[Ship Date]],"D")&lt;7,"On time","Delayed")</f>
        <v>On time</v>
      </c>
      <c r="F1310" t="s">
        <v>2718</v>
      </c>
      <c r="G1310" t="s">
        <v>14</v>
      </c>
      <c r="H1310" t="s">
        <v>3159</v>
      </c>
      <c r="I1310" t="s">
        <v>77</v>
      </c>
      <c r="J1310" t="s">
        <v>124</v>
      </c>
      <c r="K1310" t="s">
        <v>125</v>
      </c>
      <c r="L1310">
        <v>18.690000000000001</v>
      </c>
      <c r="M1310">
        <v>2</v>
      </c>
      <c r="N1310" t="str">
        <f>IF(Walmart[[#This Row],[Quantity]]&gt;=7,"Bulk",IF(Walmart[[#This Row],[Quantity]]&gt;=2,"Multi","Single"))</f>
        <v>Multi</v>
      </c>
      <c r="O1310">
        <v>7.01</v>
      </c>
      <c r="P1310" t="str">
        <f>IF(Walmart[[#This Row],[Sales]]&gt;=1000,"High Value", IF(Walmart[[#This Row],[Sales]]&gt;=500,"Medium Value","Low Value"))</f>
        <v>Low Value</v>
      </c>
    </row>
    <row r="1311" spans="1:16" hidden="1" x14ac:dyDescent="0.3">
      <c r="A1311" t="s">
        <v>3055</v>
      </c>
      <c r="B1311" s="1">
        <v>41597</v>
      </c>
      <c r="C1311" s="1" t="str">
        <f>TEXT(Walmart[[#This Row],[Order Date]],"mmmm")</f>
        <v>November</v>
      </c>
      <c r="D1311" s="1">
        <v>41601</v>
      </c>
      <c r="E1311" s="1" t="str">
        <f>IF(DATEDIF(Walmart[[#This Row],[Order Date]],Walmart[[#This Row],[Ship Date]],"D")&lt;7,"On time","Delayed")</f>
        <v>On time</v>
      </c>
      <c r="F1311" t="s">
        <v>440</v>
      </c>
      <c r="G1311" t="s">
        <v>14</v>
      </c>
      <c r="H1311" t="s">
        <v>160</v>
      </c>
      <c r="I1311" t="s">
        <v>16</v>
      </c>
      <c r="J1311" t="s">
        <v>53</v>
      </c>
      <c r="K1311" t="s">
        <v>1164</v>
      </c>
      <c r="L1311">
        <v>595</v>
      </c>
      <c r="M1311">
        <v>5</v>
      </c>
      <c r="N1311" t="str">
        <f>IF(Walmart[[#This Row],[Quantity]]&gt;=7,"Bulk",IF(Walmart[[#This Row],[Quantity]]&gt;=2,"Multi","Single"))</f>
        <v>Multi</v>
      </c>
      <c r="O1311">
        <v>95.2</v>
      </c>
      <c r="P1311" t="str">
        <f>IF(Walmart[[#This Row],[Sales]]&gt;=1000,"High Value", IF(Walmart[[#This Row],[Sales]]&gt;=500,"Medium Value","Low Value"))</f>
        <v>Medium Value</v>
      </c>
    </row>
    <row r="1312" spans="1:16" hidden="1" x14ac:dyDescent="0.3">
      <c r="A1312" t="s">
        <v>3056</v>
      </c>
      <c r="B1312" s="1">
        <v>41215</v>
      </c>
      <c r="C1312" s="1" t="str">
        <f>TEXT(Walmart[[#This Row],[Order Date]],"mmmm")</f>
        <v>November</v>
      </c>
      <c r="D1312" s="1">
        <v>41219</v>
      </c>
      <c r="E1312" s="1" t="str">
        <f>IF(DATEDIF(Walmart[[#This Row],[Order Date]],Walmart[[#This Row],[Ship Date]],"D")&lt;7,"On time","Delayed")</f>
        <v>On time</v>
      </c>
      <c r="F1312" t="s">
        <v>415</v>
      </c>
      <c r="G1312" t="s">
        <v>14</v>
      </c>
      <c r="H1312" t="s">
        <v>160</v>
      </c>
      <c r="I1312" t="s">
        <v>16</v>
      </c>
      <c r="J1312" t="s">
        <v>21</v>
      </c>
      <c r="K1312" t="s">
        <v>3057</v>
      </c>
      <c r="L1312">
        <v>96.96</v>
      </c>
      <c r="M1312">
        <v>6</v>
      </c>
      <c r="N1312" t="str">
        <f>IF(Walmart[[#This Row],[Quantity]]&gt;=7,"Bulk",IF(Walmart[[#This Row],[Quantity]]&gt;=2,"Multi","Single"))</f>
        <v>Multi</v>
      </c>
      <c r="O1312">
        <v>33.94</v>
      </c>
      <c r="P1312" t="str">
        <f>IF(Walmart[[#This Row],[Sales]]&gt;=1000,"High Value", IF(Walmart[[#This Row],[Sales]]&gt;=500,"Medium Value","Low Value"))</f>
        <v>Low Value</v>
      </c>
    </row>
    <row r="1313" spans="1:16" hidden="1" x14ac:dyDescent="0.3">
      <c r="A1313" t="s">
        <v>3058</v>
      </c>
      <c r="B1313" s="1">
        <v>41487</v>
      </c>
      <c r="C1313" s="1" t="str">
        <f>TEXT(Walmart[[#This Row],[Order Date]],"mmmm")</f>
        <v>August</v>
      </c>
      <c r="D1313" s="1">
        <v>41492</v>
      </c>
      <c r="E1313" s="1" t="str">
        <f>IF(DATEDIF(Walmart[[#This Row],[Order Date]],Walmart[[#This Row],[Ship Date]],"D")&lt;7,"On time","Delayed")</f>
        <v>On time</v>
      </c>
      <c r="F1313" t="s">
        <v>1836</v>
      </c>
      <c r="G1313" t="s">
        <v>14</v>
      </c>
      <c r="H1313" t="s">
        <v>37</v>
      </c>
      <c r="I1313" t="s">
        <v>16</v>
      </c>
      <c r="J1313" t="s">
        <v>43</v>
      </c>
      <c r="K1313" t="s">
        <v>379</v>
      </c>
      <c r="L1313">
        <v>863.13</v>
      </c>
      <c r="M1313">
        <v>7</v>
      </c>
      <c r="N1313" t="str">
        <f>IF(Walmart[[#This Row],[Quantity]]&gt;=7,"Bulk",IF(Walmart[[#This Row],[Quantity]]&gt;=2,"Multi","Single"))</f>
        <v>Bulk</v>
      </c>
      <c r="O1313">
        <v>-32.369999999999997</v>
      </c>
      <c r="P1313" t="str">
        <f>IF(Walmart[[#This Row],[Sales]]&gt;=1000,"High Value", IF(Walmart[[#This Row],[Sales]]&gt;=500,"Medium Value","Low Value"))</f>
        <v>Medium Value</v>
      </c>
    </row>
    <row r="1314" spans="1:16" x14ac:dyDescent="0.3">
      <c r="A1314" t="s">
        <v>427</v>
      </c>
      <c r="B1314" s="1">
        <v>41752</v>
      </c>
      <c r="C1314" s="1" t="str">
        <f>TEXT(Walmart[[#This Row],[Order Date]],"mmmm")</f>
        <v>April</v>
      </c>
      <c r="D1314" s="1">
        <v>41754</v>
      </c>
      <c r="E1314" s="1" t="str">
        <f>IF(DATEDIF(Walmart[[#This Row],[Order Date]],Walmart[[#This Row],[Ship Date]],"D")&lt;7,"On time","Delayed")</f>
        <v>On time</v>
      </c>
      <c r="F1314" t="s">
        <v>428</v>
      </c>
      <c r="G1314" t="s">
        <v>14</v>
      </c>
      <c r="H1314" t="s">
        <v>37</v>
      </c>
      <c r="I1314" t="s">
        <v>16</v>
      </c>
      <c r="J1314" t="s">
        <v>21</v>
      </c>
      <c r="K1314" t="s">
        <v>429</v>
      </c>
      <c r="L1314">
        <v>18.28</v>
      </c>
      <c r="M1314">
        <v>2</v>
      </c>
      <c r="N1314" t="str">
        <f>IF(Walmart[[#This Row],[Quantity]]&gt;=7,"Bulk",IF(Walmart[[#This Row],[Quantity]]&gt;=2,"Multi","Single"))</f>
        <v>Multi</v>
      </c>
      <c r="O1314">
        <v>6.22</v>
      </c>
      <c r="P1314" t="str">
        <f>IF(Walmart[[#This Row],[Sales]]&gt;=1000,"High Value", IF(Walmart[[#This Row],[Sales]]&gt;=500,"Medium Value","Low Value"))</f>
        <v>Low Value</v>
      </c>
    </row>
    <row r="1315" spans="1:16" hidden="1" x14ac:dyDescent="0.3">
      <c r="A1315" t="s">
        <v>3060</v>
      </c>
      <c r="B1315" s="1">
        <v>40733</v>
      </c>
      <c r="C1315" s="1" t="str">
        <f>TEXT(Walmart[[#This Row],[Order Date]],"mmmm")</f>
        <v>July</v>
      </c>
      <c r="D1315" s="1">
        <v>40737</v>
      </c>
      <c r="E1315" s="1" t="str">
        <f>IF(DATEDIF(Walmart[[#This Row],[Order Date]],Walmart[[#This Row],[Ship Date]],"D")&lt;7,"On time","Delayed")</f>
        <v>On time</v>
      </c>
      <c r="F1315" t="s">
        <v>1467</v>
      </c>
      <c r="G1315" t="s">
        <v>14</v>
      </c>
      <c r="H1315" t="s">
        <v>15</v>
      </c>
      <c r="I1315" t="s">
        <v>16</v>
      </c>
      <c r="J1315" t="s">
        <v>17</v>
      </c>
      <c r="K1315" t="s">
        <v>3061</v>
      </c>
      <c r="L1315">
        <v>2.88</v>
      </c>
      <c r="M1315">
        <v>1</v>
      </c>
      <c r="N1315" t="str">
        <f>IF(Walmart[[#This Row],[Quantity]]&gt;=7,"Bulk",IF(Walmart[[#This Row],[Quantity]]&gt;=2,"Multi","Single"))</f>
        <v>Single</v>
      </c>
      <c r="O1315">
        <v>1.41</v>
      </c>
      <c r="P1315" t="str">
        <f>IF(Walmart[[#This Row],[Sales]]&gt;=1000,"High Value", IF(Walmart[[#This Row],[Sales]]&gt;=500,"Medium Value","Low Value"))</f>
        <v>Low Value</v>
      </c>
    </row>
    <row r="1316" spans="1:16" x14ac:dyDescent="0.3">
      <c r="A1316" t="s">
        <v>1629</v>
      </c>
      <c r="B1316" s="1">
        <v>41751</v>
      </c>
      <c r="C1316" s="1" t="str">
        <f>TEXT(Walmart[[#This Row],[Order Date]],"mmmm")</f>
        <v>April</v>
      </c>
      <c r="D1316" s="1">
        <v>41754</v>
      </c>
      <c r="E1316" s="1" t="str">
        <f>IF(DATEDIF(Walmart[[#This Row],[Order Date]],Walmart[[#This Row],[Ship Date]],"D")&lt;7,"On time","Delayed")</f>
        <v>On time</v>
      </c>
      <c r="F1316" t="s">
        <v>859</v>
      </c>
      <c r="G1316" t="s">
        <v>14</v>
      </c>
      <c r="H1316" t="s">
        <v>25</v>
      </c>
      <c r="I1316" t="s">
        <v>26</v>
      </c>
      <c r="J1316" t="s">
        <v>53</v>
      </c>
      <c r="K1316" t="s">
        <v>1630</v>
      </c>
      <c r="L1316">
        <v>11.54</v>
      </c>
      <c r="M1316">
        <v>1</v>
      </c>
      <c r="N1316" t="str">
        <f>IF(Walmart[[#This Row],[Quantity]]&gt;=7,"Bulk",IF(Walmart[[#This Row],[Quantity]]&gt;=2,"Multi","Single"))</f>
        <v>Single</v>
      </c>
      <c r="O1316">
        <v>3.46</v>
      </c>
      <c r="P1316" t="str">
        <f>IF(Walmart[[#This Row],[Sales]]&gt;=1000,"High Value", IF(Walmart[[#This Row],[Sales]]&gt;=500,"Medium Value","Low Value"))</f>
        <v>Low Value</v>
      </c>
    </row>
    <row r="1317" spans="1:16" hidden="1" x14ac:dyDescent="0.3">
      <c r="A1317" t="s">
        <v>3064</v>
      </c>
      <c r="B1317" s="1">
        <v>41520</v>
      </c>
      <c r="C1317" s="1" t="str">
        <f>TEXT(Walmart[[#This Row],[Order Date]],"mmmm")</f>
        <v>September</v>
      </c>
      <c r="D1317" s="1">
        <v>41526</v>
      </c>
      <c r="E1317" s="1" t="str">
        <f>IF(DATEDIF(Walmart[[#This Row],[Order Date]],Walmart[[#This Row],[Ship Date]],"D")&lt;7,"On time","Delayed")</f>
        <v>On time</v>
      </c>
      <c r="F1317" t="s">
        <v>1081</v>
      </c>
      <c r="G1317" t="s">
        <v>14</v>
      </c>
      <c r="H1317" t="s">
        <v>222</v>
      </c>
      <c r="I1317" t="s">
        <v>26</v>
      </c>
      <c r="J1317" t="s">
        <v>287</v>
      </c>
      <c r="K1317" t="s">
        <v>400</v>
      </c>
      <c r="L1317">
        <v>999.98</v>
      </c>
      <c r="M1317">
        <v>2</v>
      </c>
      <c r="N1317" t="str">
        <f>IF(Walmart[[#This Row],[Quantity]]&gt;=7,"Bulk",IF(Walmart[[#This Row],[Quantity]]&gt;=2,"Multi","Single"))</f>
        <v>Multi</v>
      </c>
      <c r="O1317">
        <v>449.99</v>
      </c>
      <c r="P1317" t="str">
        <f>IF(Walmart[[#This Row],[Sales]]&gt;=1000,"High Value", IF(Walmart[[#This Row],[Sales]]&gt;=500,"Medium Value","Low Value"))</f>
        <v>Medium Value</v>
      </c>
    </row>
    <row r="1318" spans="1:16" hidden="1" x14ac:dyDescent="0.3">
      <c r="A1318" t="s">
        <v>3065</v>
      </c>
      <c r="B1318" s="1">
        <v>41123</v>
      </c>
      <c r="C1318" s="1" t="str">
        <f>TEXT(Walmart[[#This Row],[Order Date]],"mmmm")</f>
        <v>August</v>
      </c>
      <c r="D1318" s="1">
        <v>41127</v>
      </c>
      <c r="E1318" s="1" t="str">
        <f>IF(DATEDIF(Walmart[[#This Row],[Order Date]],Walmart[[#This Row],[Ship Date]],"D")&lt;7,"On time","Delayed")</f>
        <v>On time</v>
      </c>
      <c r="F1318" t="s">
        <v>2116</v>
      </c>
      <c r="G1318" t="s">
        <v>14</v>
      </c>
      <c r="H1318" t="s">
        <v>926</v>
      </c>
      <c r="I1318" t="s">
        <v>69</v>
      </c>
      <c r="J1318" t="s">
        <v>43</v>
      </c>
      <c r="K1318" t="s">
        <v>3066</v>
      </c>
      <c r="L1318">
        <v>277.5</v>
      </c>
      <c r="M1318">
        <v>4</v>
      </c>
      <c r="N1318" t="str">
        <f>IF(Walmart[[#This Row],[Quantity]]&gt;=7,"Bulk",IF(Walmart[[#This Row],[Quantity]]&gt;=2,"Multi","Single"))</f>
        <v>Multi</v>
      </c>
      <c r="O1318">
        <v>-188.7</v>
      </c>
      <c r="P1318" t="str">
        <f>IF(Walmart[[#This Row],[Sales]]&gt;=1000,"High Value", IF(Walmart[[#This Row],[Sales]]&gt;=500,"Medium Value","Low Value"))</f>
        <v>Low Value</v>
      </c>
    </row>
    <row r="1319" spans="1:16" hidden="1" x14ac:dyDescent="0.3">
      <c r="A1319" t="s">
        <v>3067</v>
      </c>
      <c r="B1319" s="1">
        <v>41249</v>
      </c>
      <c r="C1319" s="1" t="str">
        <f>TEXT(Walmart[[#This Row],[Order Date]],"mmmm")</f>
        <v>December</v>
      </c>
      <c r="D1319" s="1">
        <v>41254</v>
      </c>
      <c r="E1319" s="1" t="str">
        <f>IF(DATEDIF(Walmart[[#This Row],[Order Date]],Walmart[[#This Row],[Ship Date]],"D")&lt;7,"On time","Delayed")</f>
        <v>On time</v>
      </c>
      <c r="F1319" t="s">
        <v>152</v>
      </c>
      <c r="G1319" t="s">
        <v>14</v>
      </c>
      <c r="H1319" t="s">
        <v>2254</v>
      </c>
      <c r="I1319" t="s">
        <v>16</v>
      </c>
      <c r="J1319" t="s">
        <v>93</v>
      </c>
      <c r="K1319" t="s">
        <v>794</v>
      </c>
      <c r="L1319">
        <v>8.9600000000000009</v>
      </c>
      <c r="M1319">
        <v>2</v>
      </c>
      <c r="N1319" t="str">
        <f>IF(Walmart[[#This Row],[Quantity]]&gt;=7,"Bulk",IF(Walmart[[#This Row],[Quantity]]&gt;=2,"Multi","Single"))</f>
        <v>Multi</v>
      </c>
      <c r="O1319">
        <v>4.3899999999999997</v>
      </c>
      <c r="P1319" t="str">
        <f>IF(Walmart[[#This Row],[Sales]]&gt;=1000,"High Value", IF(Walmart[[#This Row],[Sales]]&gt;=500,"Medium Value","Low Value"))</f>
        <v>Low Value</v>
      </c>
    </row>
    <row r="1320" spans="1:16" hidden="1" x14ac:dyDescent="0.3">
      <c r="A1320" t="s">
        <v>3068</v>
      </c>
      <c r="B1320" s="1">
        <v>41438</v>
      </c>
      <c r="C1320" s="1" t="str">
        <f>TEXT(Walmart[[#This Row],[Order Date]],"mmmm")</f>
        <v>June</v>
      </c>
      <c r="D1320" s="1">
        <v>41442</v>
      </c>
      <c r="E1320" s="1" t="str">
        <f>IF(DATEDIF(Walmart[[#This Row],[Order Date]],Walmart[[#This Row],[Ship Date]],"D")&lt;7,"On time","Delayed")</f>
        <v>On time</v>
      </c>
      <c r="F1320" t="s">
        <v>2251</v>
      </c>
      <c r="G1320" t="s">
        <v>14</v>
      </c>
      <c r="H1320" t="s">
        <v>100</v>
      </c>
      <c r="I1320" t="s">
        <v>16</v>
      </c>
      <c r="J1320" t="s">
        <v>93</v>
      </c>
      <c r="K1320" t="s">
        <v>921</v>
      </c>
      <c r="L1320">
        <v>185.88</v>
      </c>
      <c r="M1320">
        <v>6</v>
      </c>
      <c r="N1320" t="str">
        <f>IF(Walmart[[#This Row],[Quantity]]&gt;=7,"Bulk",IF(Walmart[[#This Row],[Quantity]]&gt;=2,"Multi","Single"))</f>
        <v>Multi</v>
      </c>
      <c r="O1320">
        <v>83.65</v>
      </c>
      <c r="P1320" t="str">
        <f>IF(Walmart[[#This Row],[Sales]]&gt;=1000,"High Value", IF(Walmart[[#This Row],[Sales]]&gt;=500,"Medium Value","Low Value"))</f>
        <v>Low Value</v>
      </c>
    </row>
    <row r="1321" spans="1:16" hidden="1" x14ac:dyDescent="0.3">
      <c r="A1321" t="s">
        <v>3069</v>
      </c>
      <c r="B1321" s="1">
        <v>40808</v>
      </c>
      <c r="C1321" s="1" t="str">
        <f>TEXT(Walmart[[#This Row],[Order Date]],"mmmm")</f>
        <v>September</v>
      </c>
      <c r="D1321" s="1">
        <v>40814</v>
      </c>
      <c r="E1321" s="1" t="str">
        <f>IF(DATEDIF(Walmart[[#This Row],[Order Date]],Walmart[[#This Row],[Ship Date]],"D")&lt;7,"On time","Delayed")</f>
        <v>On time</v>
      </c>
      <c r="F1321" t="s">
        <v>1290</v>
      </c>
      <c r="G1321" t="s">
        <v>14</v>
      </c>
      <c r="H1321" t="s">
        <v>109</v>
      </c>
      <c r="I1321" t="s">
        <v>16</v>
      </c>
      <c r="J1321" t="s">
        <v>33</v>
      </c>
      <c r="K1321" t="s">
        <v>1389</v>
      </c>
      <c r="L1321">
        <v>169.45</v>
      </c>
      <c r="M1321">
        <v>5</v>
      </c>
      <c r="N1321" t="str">
        <f>IF(Walmart[[#This Row],[Quantity]]&gt;=7,"Bulk",IF(Walmart[[#This Row],[Quantity]]&gt;=2,"Multi","Single"))</f>
        <v>Multi</v>
      </c>
      <c r="O1321">
        <v>42.36</v>
      </c>
      <c r="P1321" t="str">
        <f>IF(Walmart[[#This Row],[Sales]]&gt;=1000,"High Value", IF(Walmart[[#This Row],[Sales]]&gt;=500,"Medium Value","Low Value"))</f>
        <v>Low Value</v>
      </c>
    </row>
    <row r="1322" spans="1:16" hidden="1" x14ac:dyDescent="0.3">
      <c r="A1322" t="s">
        <v>3070</v>
      </c>
      <c r="B1322" s="1">
        <v>40767</v>
      </c>
      <c r="C1322" s="1" t="str">
        <f>TEXT(Walmart[[#This Row],[Order Date]],"mmmm")</f>
        <v>August</v>
      </c>
      <c r="D1322" s="1">
        <v>40771</v>
      </c>
      <c r="E1322" s="1" t="str">
        <f>IF(DATEDIF(Walmart[[#This Row],[Order Date]],Walmart[[#This Row],[Ship Date]],"D")&lt;7,"On time","Delayed")</f>
        <v>On time</v>
      </c>
      <c r="F1322" t="s">
        <v>1112</v>
      </c>
      <c r="G1322" t="s">
        <v>14</v>
      </c>
      <c r="H1322" t="s">
        <v>37</v>
      </c>
      <c r="I1322" t="s">
        <v>16</v>
      </c>
      <c r="J1322" t="s">
        <v>146</v>
      </c>
      <c r="K1322" t="s">
        <v>1427</v>
      </c>
      <c r="L1322">
        <v>806.34</v>
      </c>
      <c r="M1322">
        <v>8</v>
      </c>
      <c r="N1322" t="str">
        <f>IF(Walmart[[#This Row],[Quantity]]&gt;=7,"Bulk",IF(Walmart[[#This Row],[Quantity]]&gt;=2,"Multi","Single"))</f>
        <v>Bulk</v>
      </c>
      <c r="O1322">
        <v>50.4</v>
      </c>
      <c r="P1322" t="str">
        <f>IF(Walmart[[#This Row],[Sales]]&gt;=1000,"High Value", IF(Walmart[[#This Row],[Sales]]&gt;=500,"Medium Value","Low Value"))</f>
        <v>Medium Value</v>
      </c>
    </row>
    <row r="1323" spans="1:16" x14ac:dyDescent="0.3">
      <c r="A1323" t="s">
        <v>1416</v>
      </c>
      <c r="B1323" s="1">
        <v>41747</v>
      </c>
      <c r="C1323" s="1" t="str">
        <f>TEXT(Walmart[[#This Row],[Order Date]],"mmmm")</f>
        <v>April</v>
      </c>
      <c r="D1323" s="1">
        <v>41753</v>
      </c>
      <c r="E1323" s="1" t="str">
        <f>IF(DATEDIF(Walmart[[#This Row],[Order Date]],Walmart[[#This Row],[Ship Date]],"D")&lt;7,"On time","Delayed")</f>
        <v>On time</v>
      </c>
      <c r="F1323" t="s">
        <v>1417</v>
      </c>
      <c r="G1323" t="s">
        <v>14</v>
      </c>
      <c r="H1323" t="s">
        <v>247</v>
      </c>
      <c r="I1323" t="s">
        <v>77</v>
      </c>
      <c r="J1323" t="s">
        <v>27</v>
      </c>
      <c r="K1323" t="s">
        <v>1418</v>
      </c>
      <c r="L1323">
        <v>12.03</v>
      </c>
      <c r="M1323">
        <v>5</v>
      </c>
      <c r="N1323" t="str">
        <f>IF(Walmart[[#This Row],[Quantity]]&gt;=7,"Bulk",IF(Walmart[[#This Row],[Quantity]]&gt;=2,"Multi","Single"))</f>
        <v>Multi</v>
      </c>
      <c r="O1323">
        <v>-9.2200000000000006</v>
      </c>
      <c r="P1323" t="str">
        <f>IF(Walmart[[#This Row],[Sales]]&gt;=1000,"High Value", IF(Walmart[[#This Row],[Sales]]&gt;=500,"Medium Value","Low Value"))</f>
        <v>Low Value</v>
      </c>
    </row>
    <row r="1324" spans="1:16" hidden="1" x14ac:dyDescent="0.3">
      <c r="A1324" t="s">
        <v>3073</v>
      </c>
      <c r="B1324" s="1">
        <v>41568</v>
      </c>
      <c r="C1324" s="1" t="str">
        <f>TEXT(Walmart[[#This Row],[Order Date]],"mmmm")</f>
        <v>October</v>
      </c>
      <c r="D1324" s="1">
        <v>41573</v>
      </c>
      <c r="E1324" s="1" t="str">
        <f>IF(DATEDIF(Walmart[[#This Row],[Order Date]],Walmart[[#This Row],[Ship Date]],"D")&lt;7,"On time","Delayed")</f>
        <v>On time</v>
      </c>
      <c r="F1324" t="s">
        <v>3074</v>
      </c>
      <c r="G1324" t="s">
        <v>14</v>
      </c>
      <c r="H1324" t="s">
        <v>2656</v>
      </c>
      <c r="I1324" t="s">
        <v>16</v>
      </c>
      <c r="J1324" t="s">
        <v>88</v>
      </c>
      <c r="K1324" t="s">
        <v>3075</v>
      </c>
      <c r="L1324">
        <v>387.14</v>
      </c>
      <c r="M1324">
        <v>4</v>
      </c>
      <c r="N1324" t="str">
        <f>IF(Walmart[[#This Row],[Quantity]]&gt;=7,"Bulk",IF(Walmart[[#This Row],[Quantity]]&gt;=2,"Multi","Single"))</f>
        <v>Multi</v>
      </c>
      <c r="O1324">
        <v>4.84</v>
      </c>
      <c r="P1324" t="str">
        <f>IF(Walmart[[#This Row],[Sales]]&gt;=1000,"High Value", IF(Walmart[[#This Row],[Sales]]&gt;=500,"Medium Value","Low Value"))</f>
        <v>Low Value</v>
      </c>
    </row>
    <row r="1325" spans="1:16" x14ac:dyDescent="0.3">
      <c r="A1325" t="s">
        <v>2664</v>
      </c>
      <c r="B1325" s="1">
        <v>41747</v>
      </c>
      <c r="C1325" s="1" t="str">
        <f>TEXT(Walmart[[#This Row],[Order Date]],"mmmm")</f>
        <v>April</v>
      </c>
      <c r="D1325" s="1">
        <v>41752</v>
      </c>
      <c r="E1325" s="1" t="str">
        <f>IF(DATEDIF(Walmart[[#This Row],[Order Date]],Walmart[[#This Row],[Ship Date]],"D")&lt;7,"On time","Delayed")</f>
        <v>On time</v>
      </c>
      <c r="F1325" t="s">
        <v>835</v>
      </c>
      <c r="G1325" t="s">
        <v>14</v>
      </c>
      <c r="H1325" t="s">
        <v>15</v>
      </c>
      <c r="I1325" t="s">
        <v>16</v>
      </c>
      <c r="J1325" t="s">
        <v>93</v>
      </c>
      <c r="K1325" t="s">
        <v>2665</v>
      </c>
      <c r="L1325">
        <v>28.14</v>
      </c>
      <c r="M1325">
        <v>3</v>
      </c>
      <c r="N1325" t="str">
        <f>IF(Walmart[[#This Row],[Quantity]]&gt;=7,"Bulk",IF(Walmart[[#This Row],[Quantity]]&gt;=2,"Multi","Single"))</f>
        <v>Multi</v>
      </c>
      <c r="O1325">
        <v>13.51</v>
      </c>
      <c r="P1325" t="str">
        <f>IF(Walmart[[#This Row],[Sales]]&gt;=1000,"High Value", IF(Walmart[[#This Row],[Sales]]&gt;=500,"Medium Value","Low Value"))</f>
        <v>Low Value</v>
      </c>
    </row>
    <row r="1326" spans="1:16" hidden="1" x14ac:dyDescent="0.3">
      <c r="A1326" t="s">
        <v>3078</v>
      </c>
      <c r="B1326" s="1">
        <v>40613</v>
      </c>
      <c r="C1326" s="1" t="str">
        <f>TEXT(Walmart[[#This Row],[Order Date]],"mmmm")</f>
        <v>March</v>
      </c>
      <c r="D1326" s="1">
        <v>40617</v>
      </c>
      <c r="E1326" s="1" t="str">
        <f>IF(DATEDIF(Walmart[[#This Row],[Order Date]],Walmart[[#This Row],[Ship Date]],"D")&lt;7,"On time","Delayed")</f>
        <v>On time</v>
      </c>
      <c r="F1326" t="s">
        <v>1954</v>
      </c>
      <c r="G1326" t="s">
        <v>14</v>
      </c>
      <c r="H1326" t="s">
        <v>92</v>
      </c>
      <c r="I1326" t="s">
        <v>16</v>
      </c>
      <c r="J1326" t="s">
        <v>38</v>
      </c>
      <c r="K1326" t="s">
        <v>1664</v>
      </c>
      <c r="L1326">
        <v>7.98</v>
      </c>
      <c r="M1326">
        <v>3</v>
      </c>
      <c r="N1326" t="str">
        <f>IF(Walmart[[#This Row],[Quantity]]&gt;=7,"Bulk",IF(Walmart[[#This Row],[Quantity]]&gt;=2,"Multi","Single"))</f>
        <v>Multi</v>
      </c>
      <c r="O1326">
        <v>2.0699999999999998</v>
      </c>
      <c r="P1326" t="str">
        <f>IF(Walmart[[#This Row],[Sales]]&gt;=1000,"High Value", IF(Walmart[[#This Row],[Sales]]&gt;=500,"Medium Value","Low Value"))</f>
        <v>Low Value</v>
      </c>
    </row>
    <row r="1327" spans="1:16" x14ac:dyDescent="0.3">
      <c r="A1327" t="s">
        <v>1222</v>
      </c>
      <c r="B1327" s="1">
        <v>41746</v>
      </c>
      <c r="C1327" s="1" t="str">
        <f>TEXT(Walmart[[#This Row],[Order Date]],"mmmm")</f>
        <v>April</v>
      </c>
      <c r="D1327" s="1">
        <v>41750</v>
      </c>
      <c r="E1327" s="1" t="str">
        <f>IF(DATEDIF(Walmart[[#This Row],[Order Date]],Walmart[[#This Row],[Ship Date]],"D")&lt;7,"On time","Delayed")</f>
        <v>On time</v>
      </c>
      <c r="F1327" t="s">
        <v>246</v>
      </c>
      <c r="G1327" t="s">
        <v>14</v>
      </c>
      <c r="H1327" t="s">
        <v>109</v>
      </c>
      <c r="I1327" t="s">
        <v>16</v>
      </c>
      <c r="J1327" t="s">
        <v>33</v>
      </c>
      <c r="K1327" t="s">
        <v>1223</v>
      </c>
      <c r="L1327">
        <v>205.92</v>
      </c>
      <c r="M1327">
        <v>4</v>
      </c>
      <c r="N1327" t="str">
        <f>IF(Walmart[[#This Row],[Quantity]]&gt;=7,"Bulk",IF(Walmart[[#This Row],[Quantity]]&gt;=2,"Multi","Single"))</f>
        <v>Multi</v>
      </c>
      <c r="O1327">
        <v>2.06</v>
      </c>
      <c r="P1327" t="str">
        <f>IF(Walmart[[#This Row],[Sales]]&gt;=1000,"High Value", IF(Walmart[[#This Row],[Sales]]&gt;=500,"Medium Value","Low Value"))</f>
        <v>Low Value</v>
      </c>
    </row>
    <row r="1328" spans="1:16" hidden="1" x14ac:dyDescent="0.3">
      <c r="A1328" t="s">
        <v>3080</v>
      </c>
      <c r="B1328" s="1">
        <v>40847</v>
      </c>
      <c r="C1328" s="1" t="str">
        <f>TEXT(Walmart[[#This Row],[Order Date]],"mmmm")</f>
        <v>October</v>
      </c>
      <c r="D1328" s="1">
        <v>40849</v>
      </c>
      <c r="E1328" s="1" t="str">
        <f>IF(DATEDIF(Walmart[[#This Row],[Order Date]],Walmart[[#This Row],[Ship Date]],"D")&lt;7,"On time","Delayed")</f>
        <v>On time</v>
      </c>
      <c r="F1328" t="s">
        <v>1263</v>
      </c>
      <c r="G1328" t="s">
        <v>14</v>
      </c>
      <c r="H1328" t="s">
        <v>37</v>
      </c>
      <c r="I1328" t="s">
        <v>16</v>
      </c>
      <c r="J1328" t="s">
        <v>146</v>
      </c>
      <c r="K1328" t="s">
        <v>658</v>
      </c>
      <c r="L1328">
        <v>73.58</v>
      </c>
      <c r="M1328">
        <v>2</v>
      </c>
      <c r="N1328" t="str">
        <f>IF(Walmart[[#This Row],[Quantity]]&gt;=7,"Bulk",IF(Walmart[[#This Row],[Quantity]]&gt;=2,"Multi","Single"))</f>
        <v>Multi</v>
      </c>
      <c r="O1328">
        <v>8.2799999999999994</v>
      </c>
      <c r="P1328" t="str">
        <f>IF(Walmart[[#This Row],[Sales]]&gt;=1000,"High Value", IF(Walmart[[#This Row],[Sales]]&gt;=500,"Medium Value","Low Value"))</f>
        <v>Low Value</v>
      </c>
    </row>
    <row r="1329" spans="1:16" x14ac:dyDescent="0.3">
      <c r="A1329" t="s">
        <v>2940</v>
      </c>
      <c r="B1329" s="1">
        <v>41746</v>
      </c>
      <c r="C1329" s="1" t="str">
        <f>TEXT(Walmart[[#This Row],[Order Date]],"mmmm")</f>
        <v>April</v>
      </c>
      <c r="D1329" s="1">
        <v>41750</v>
      </c>
      <c r="E1329" s="1" t="str">
        <f>IF(DATEDIF(Walmart[[#This Row],[Order Date]],Walmart[[#This Row],[Ship Date]],"D")&lt;7,"On time","Delayed")</f>
        <v>On time</v>
      </c>
      <c r="F1329" t="s">
        <v>784</v>
      </c>
      <c r="G1329" t="s">
        <v>14</v>
      </c>
      <c r="H1329" t="s">
        <v>37</v>
      </c>
      <c r="I1329" t="s">
        <v>16</v>
      </c>
      <c r="J1329" t="s">
        <v>105</v>
      </c>
      <c r="K1329" t="s">
        <v>2941</v>
      </c>
      <c r="L1329">
        <v>40.74</v>
      </c>
      <c r="M1329">
        <v>3</v>
      </c>
      <c r="N1329" t="str">
        <f>IF(Walmart[[#This Row],[Quantity]]&gt;=7,"Bulk",IF(Walmart[[#This Row],[Quantity]]&gt;=2,"Multi","Single"))</f>
        <v>Multi</v>
      </c>
      <c r="O1329">
        <v>12.22</v>
      </c>
      <c r="P1329" t="str">
        <f>IF(Walmart[[#This Row],[Sales]]&gt;=1000,"High Value", IF(Walmart[[#This Row],[Sales]]&gt;=500,"Medium Value","Low Value"))</f>
        <v>Low Value</v>
      </c>
    </row>
    <row r="1330" spans="1:16" hidden="1" x14ac:dyDescent="0.3">
      <c r="A1330" t="s">
        <v>3082</v>
      </c>
      <c r="B1330" s="1">
        <v>41481</v>
      </c>
      <c r="C1330" s="1" t="str">
        <f>TEXT(Walmart[[#This Row],[Order Date]],"mmmm")</f>
        <v>July</v>
      </c>
      <c r="D1330" s="1">
        <v>41481</v>
      </c>
      <c r="E1330" s="1" t="str">
        <f>IF(DATEDIF(Walmart[[#This Row],[Order Date]],Walmart[[#This Row],[Ship Date]],"D")&lt;7,"On time","Delayed")</f>
        <v>On time</v>
      </c>
      <c r="F1330" t="s">
        <v>1118</v>
      </c>
      <c r="G1330" t="s">
        <v>14</v>
      </c>
      <c r="H1330" t="s">
        <v>37</v>
      </c>
      <c r="I1330" t="s">
        <v>16</v>
      </c>
      <c r="J1330" t="s">
        <v>38</v>
      </c>
      <c r="K1330" t="s">
        <v>3083</v>
      </c>
      <c r="L1330">
        <v>37.17</v>
      </c>
      <c r="M1330">
        <v>9</v>
      </c>
      <c r="N1330" t="str">
        <f>IF(Walmart[[#This Row],[Quantity]]&gt;=7,"Bulk",IF(Walmart[[#This Row],[Quantity]]&gt;=2,"Multi","Single"))</f>
        <v>Bulk</v>
      </c>
      <c r="O1330">
        <v>11.15</v>
      </c>
      <c r="P1330" t="str">
        <f>IF(Walmart[[#This Row],[Sales]]&gt;=1000,"High Value", IF(Walmart[[#This Row],[Sales]]&gt;=500,"Medium Value","Low Value"))</f>
        <v>Low Value</v>
      </c>
    </row>
    <row r="1331" spans="1:16" x14ac:dyDescent="0.3">
      <c r="A1331" t="s">
        <v>898</v>
      </c>
      <c r="B1331" s="1">
        <v>41745</v>
      </c>
      <c r="C1331" s="1" t="str">
        <f>TEXT(Walmart[[#This Row],[Order Date]],"mmmm")</f>
        <v>April</v>
      </c>
      <c r="D1331" s="1">
        <v>41748</v>
      </c>
      <c r="E1331" s="1" t="str">
        <f>IF(DATEDIF(Walmart[[#This Row],[Order Date]],Walmart[[#This Row],[Ship Date]],"D")&lt;7,"On time","Delayed")</f>
        <v>On time</v>
      </c>
      <c r="F1331" t="s">
        <v>899</v>
      </c>
      <c r="G1331" t="s">
        <v>14</v>
      </c>
      <c r="H1331" t="s">
        <v>900</v>
      </c>
      <c r="I1331" t="s">
        <v>227</v>
      </c>
      <c r="J1331" t="s">
        <v>21</v>
      </c>
      <c r="K1331" t="s">
        <v>901</v>
      </c>
      <c r="L1331">
        <v>196.45</v>
      </c>
      <c r="M1331">
        <v>5</v>
      </c>
      <c r="N1331" t="str">
        <f>IF(Walmart[[#This Row],[Quantity]]&gt;=7,"Bulk",IF(Walmart[[#This Row],[Quantity]]&gt;=2,"Multi","Single"))</f>
        <v>Multi</v>
      </c>
      <c r="O1331">
        <v>70.72</v>
      </c>
      <c r="P1331" t="str">
        <f>IF(Walmart[[#This Row],[Sales]]&gt;=1000,"High Value", IF(Walmart[[#This Row],[Sales]]&gt;=500,"Medium Value","Low Value"))</f>
        <v>Low Value</v>
      </c>
    </row>
    <row r="1332" spans="1:16" x14ac:dyDescent="0.3">
      <c r="A1332" t="s">
        <v>2125</v>
      </c>
      <c r="B1332" s="1">
        <v>41745</v>
      </c>
      <c r="C1332" s="1" t="str">
        <f>TEXT(Walmart[[#This Row],[Order Date]],"mmmm")</f>
        <v>April</v>
      </c>
      <c r="D1332" s="1">
        <v>41747</v>
      </c>
      <c r="E1332" s="1" t="str">
        <f>IF(DATEDIF(Walmart[[#This Row],[Order Date]],Walmart[[#This Row],[Ship Date]],"D")&lt;7,"On time","Delayed")</f>
        <v>On time</v>
      </c>
      <c r="F1332" t="s">
        <v>562</v>
      </c>
      <c r="G1332" t="s">
        <v>14</v>
      </c>
      <c r="H1332" t="s">
        <v>15</v>
      </c>
      <c r="I1332" t="s">
        <v>16</v>
      </c>
      <c r="J1332" t="s">
        <v>93</v>
      </c>
      <c r="K1332" t="s">
        <v>2126</v>
      </c>
      <c r="L1332">
        <v>79.14</v>
      </c>
      <c r="M1332">
        <v>3</v>
      </c>
      <c r="N1332" t="str">
        <f>IF(Walmart[[#This Row],[Quantity]]&gt;=7,"Bulk",IF(Walmart[[#This Row],[Quantity]]&gt;=2,"Multi","Single"))</f>
        <v>Multi</v>
      </c>
      <c r="O1332">
        <v>36.4</v>
      </c>
      <c r="P1332" t="str">
        <f>IF(Walmart[[#This Row],[Sales]]&gt;=1000,"High Value", IF(Walmart[[#This Row],[Sales]]&gt;=500,"Medium Value","Low Value"))</f>
        <v>Low Value</v>
      </c>
    </row>
    <row r="1333" spans="1:16" hidden="1" x14ac:dyDescent="0.3">
      <c r="A1333" t="s">
        <v>3086</v>
      </c>
      <c r="B1333" s="1">
        <v>40644</v>
      </c>
      <c r="C1333" s="1" t="str">
        <f>TEXT(Walmart[[#This Row],[Order Date]],"mmmm")</f>
        <v>April</v>
      </c>
      <c r="D1333" s="1">
        <v>40651</v>
      </c>
      <c r="E1333" s="1" t="str">
        <f>IF(DATEDIF(Walmart[[#This Row],[Order Date]],Walmart[[#This Row],[Ship Date]],"D")&lt;7,"On time","Delayed")</f>
        <v>Delayed</v>
      </c>
      <c r="F1333" t="s">
        <v>826</v>
      </c>
      <c r="G1333" t="s">
        <v>14</v>
      </c>
      <c r="H1333" t="s">
        <v>285</v>
      </c>
      <c r="I1333" t="s">
        <v>286</v>
      </c>
      <c r="J1333" t="s">
        <v>33</v>
      </c>
      <c r="K1333" t="s">
        <v>3087</v>
      </c>
      <c r="L1333">
        <v>87.08</v>
      </c>
      <c r="M1333">
        <v>7</v>
      </c>
      <c r="N1333" t="str">
        <f>IF(Walmart[[#This Row],[Quantity]]&gt;=7,"Bulk",IF(Walmart[[#This Row],[Quantity]]&gt;=2,"Multi","Single"))</f>
        <v>Bulk</v>
      </c>
      <c r="O1333">
        <v>24.38</v>
      </c>
      <c r="P1333" t="str">
        <f>IF(Walmart[[#This Row],[Sales]]&gt;=1000,"High Value", IF(Walmart[[#This Row],[Sales]]&gt;=500,"Medium Value","Low Value"))</f>
        <v>Low Value</v>
      </c>
    </row>
    <row r="1334" spans="1:16" x14ac:dyDescent="0.3">
      <c r="A1334" t="s">
        <v>1030</v>
      </c>
      <c r="B1334" s="1">
        <v>41743</v>
      </c>
      <c r="C1334" s="1" t="str">
        <f>TEXT(Walmart[[#This Row],[Order Date]],"mmmm")</f>
        <v>April</v>
      </c>
      <c r="D1334" s="1">
        <v>41745</v>
      </c>
      <c r="E1334" s="1" t="str">
        <f>IF(DATEDIF(Walmart[[#This Row],[Order Date]],Walmart[[#This Row],[Ship Date]],"D")&lt;7,"On time","Delayed")</f>
        <v>On time</v>
      </c>
      <c r="F1334" t="s">
        <v>477</v>
      </c>
      <c r="G1334" t="s">
        <v>14</v>
      </c>
      <c r="H1334" t="s">
        <v>25</v>
      </c>
      <c r="I1334" t="s">
        <v>26</v>
      </c>
      <c r="J1334" t="s">
        <v>93</v>
      </c>
      <c r="K1334" t="s">
        <v>154</v>
      </c>
      <c r="L1334">
        <v>5.28</v>
      </c>
      <c r="M1334">
        <v>1</v>
      </c>
      <c r="N1334" t="str">
        <f>IF(Walmart[[#This Row],[Quantity]]&gt;=7,"Bulk",IF(Walmart[[#This Row],[Quantity]]&gt;=2,"Multi","Single"))</f>
        <v>Single</v>
      </c>
      <c r="O1334">
        <v>2.38</v>
      </c>
      <c r="P1334" t="str">
        <f>IF(Walmart[[#This Row],[Sales]]&gt;=1000,"High Value", IF(Walmart[[#This Row],[Sales]]&gt;=500,"Medium Value","Low Value"))</f>
        <v>Low Value</v>
      </c>
    </row>
    <row r="1335" spans="1:16" hidden="1" x14ac:dyDescent="0.3">
      <c r="A1335" t="s">
        <v>3089</v>
      </c>
      <c r="B1335" s="1">
        <v>40793</v>
      </c>
      <c r="C1335" s="1" t="str">
        <f>TEXT(Walmart[[#This Row],[Order Date]],"mmmm")</f>
        <v>September</v>
      </c>
      <c r="D1335" s="1">
        <v>40798</v>
      </c>
      <c r="E1335" s="1" t="str">
        <f>IF(DATEDIF(Walmart[[#This Row],[Order Date]],Walmart[[#This Row],[Ship Date]],"D")&lt;7,"On time","Delayed")</f>
        <v>On time</v>
      </c>
      <c r="F1335" t="s">
        <v>2409</v>
      </c>
      <c r="G1335" t="s">
        <v>14</v>
      </c>
      <c r="H1335" t="s">
        <v>153</v>
      </c>
      <c r="I1335" t="s">
        <v>16</v>
      </c>
      <c r="J1335" t="s">
        <v>334</v>
      </c>
      <c r="K1335" t="s">
        <v>3090</v>
      </c>
      <c r="L1335">
        <v>27.36</v>
      </c>
      <c r="M1335">
        <v>4</v>
      </c>
      <c r="N1335" t="str">
        <f>IF(Walmart[[#This Row],[Quantity]]&gt;=7,"Bulk",IF(Walmart[[#This Row],[Quantity]]&gt;=2,"Multi","Single"))</f>
        <v>Multi</v>
      </c>
      <c r="O1335">
        <v>7.39</v>
      </c>
      <c r="P1335" t="str">
        <f>IF(Walmart[[#This Row],[Sales]]&gt;=1000,"High Value", IF(Walmart[[#This Row],[Sales]]&gt;=500,"Medium Value","Low Value"))</f>
        <v>Low Value</v>
      </c>
    </row>
    <row r="1336" spans="1:16" hidden="1" x14ac:dyDescent="0.3">
      <c r="A1336" t="s">
        <v>3091</v>
      </c>
      <c r="B1336" s="1">
        <v>41437</v>
      </c>
      <c r="C1336" s="1" t="str">
        <f>TEXT(Walmart[[#This Row],[Order Date]],"mmmm")</f>
        <v>June</v>
      </c>
      <c r="D1336" s="1">
        <v>41442</v>
      </c>
      <c r="E1336" s="1" t="str">
        <f>IF(DATEDIF(Walmart[[#This Row],[Order Date]],Walmart[[#This Row],[Ship Date]],"D")&lt;7,"On time","Delayed")</f>
        <v>On time</v>
      </c>
      <c r="F1336" t="s">
        <v>3092</v>
      </c>
      <c r="G1336" t="s">
        <v>14</v>
      </c>
      <c r="H1336" t="s">
        <v>15</v>
      </c>
      <c r="I1336" t="s">
        <v>16</v>
      </c>
      <c r="J1336" t="s">
        <v>43</v>
      </c>
      <c r="K1336" t="s">
        <v>2601</v>
      </c>
      <c r="L1336">
        <v>902.71</v>
      </c>
      <c r="M1336">
        <v>3</v>
      </c>
      <c r="N1336" t="str">
        <f>IF(Walmart[[#This Row],[Quantity]]&gt;=7,"Bulk",IF(Walmart[[#This Row],[Quantity]]&gt;=2,"Multi","Single"))</f>
        <v>Multi</v>
      </c>
      <c r="O1336">
        <v>33.85</v>
      </c>
      <c r="P1336" t="str">
        <f>IF(Walmart[[#This Row],[Sales]]&gt;=1000,"High Value", IF(Walmart[[#This Row],[Sales]]&gt;=500,"Medium Value","Low Value"))</f>
        <v>Medium Value</v>
      </c>
    </row>
    <row r="1337" spans="1:16" hidden="1" x14ac:dyDescent="0.3">
      <c r="A1337" t="s">
        <v>3093</v>
      </c>
      <c r="B1337" s="1">
        <v>41565</v>
      </c>
      <c r="C1337" s="1" t="str">
        <f>TEXT(Walmart[[#This Row],[Order Date]],"mmmm")</f>
        <v>October</v>
      </c>
      <c r="D1337" s="1">
        <v>41569</v>
      </c>
      <c r="E1337" s="1" t="str">
        <f>IF(DATEDIF(Walmart[[#This Row],[Order Date]],Walmart[[#This Row],[Ship Date]],"D")&lt;7,"On time","Delayed")</f>
        <v>On time</v>
      </c>
      <c r="F1337" t="s">
        <v>1235</v>
      </c>
      <c r="G1337" t="s">
        <v>14</v>
      </c>
      <c r="H1337" t="s">
        <v>613</v>
      </c>
      <c r="I1337" t="s">
        <v>16</v>
      </c>
      <c r="J1337" t="s">
        <v>671</v>
      </c>
      <c r="K1337" t="s">
        <v>1771</v>
      </c>
      <c r="L1337">
        <v>120.67</v>
      </c>
      <c r="M1337">
        <v>2</v>
      </c>
      <c r="N1337" t="str">
        <f>IF(Walmart[[#This Row],[Quantity]]&gt;=7,"Bulk",IF(Walmart[[#This Row],[Quantity]]&gt;=2,"Multi","Single"))</f>
        <v>Multi</v>
      </c>
      <c r="O1337">
        <v>21.29</v>
      </c>
      <c r="P1337" t="str">
        <f>IF(Walmart[[#This Row],[Sales]]&gt;=1000,"High Value", IF(Walmart[[#This Row],[Sales]]&gt;=500,"Medium Value","Low Value"))</f>
        <v>Low Value</v>
      </c>
    </row>
    <row r="1338" spans="1:16" hidden="1" x14ac:dyDescent="0.3">
      <c r="A1338" t="s">
        <v>3094</v>
      </c>
      <c r="B1338" s="1">
        <v>41603</v>
      </c>
      <c r="C1338" s="1" t="str">
        <f>TEXT(Walmart[[#This Row],[Order Date]],"mmmm")</f>
        <v>November</v>
      </c>
      <c r="D1338" s="1">
        <v>41610</v>
      </c>
      <c r="E1338" s="1" t="str">
        <f>IF(DATEDIF(Walmart[[#This Row],[Order Date]],Walmart[[#This Row],[Ship Date]],"D")&lt;7,"On time","Delayed")</f>
        <v>Delayed</v>
      </c>
      <c r="F1338" t="s">
        <v>2392</v>
      </c>
      <c r="G1338" t="s">
        <v>14</v>
      </c>
      <c r="H1338" t="s">
        <v>25</v>
      </c>
      <c r="I1338" t="s">
        <v>26</v>
      </c>
      <c r="J1338" t="s">
        <v>21</v>
      </c>
      <c r="K1338" t="s">
        <v>3095</v>
      </c>
      <c r="L1338">
        <v>82.26</v>
      </c>
      <c r="M1338">
        <v>3</v>
      </c>
      <c r="N1338" t="str">
        <f>IF(Walmart[[#This Row],[Quantity]]&gt;=7,"Bulk",IF(Walmart[[#This Row],[Quantity]]&gt;=2,"Multi","Single"))</f>
        <v>Multi</v>
      </c>
      <c r="O1338">
        <v>33.729999999999997</v>
      </c>
      <c r="P1338" t="str">
        <f>IF(Walmart[[#This Row],[Sales]]&gt;=1000,"High Value", IF(Walmart[[#This Row],[Sales]]&gt;=500,"Medium Value","Low Value"))</f>
        <v>Low Value</v>
      </c>
    </row>
    <row r="1339" spans="1:16" hidden="1" x14ac:dyDescent="0.3">
      <c r="A1339" t="s">
        <v>3096</v>
      </c>
      <c r="B1339" s="1">
        <v>41589</v>
      </c>
      <c r="C1339" s="1" t="str">
        <f>TEXT(Walmart[[#This Row],[Order Date]],"mmmm")</f>
        <v>November</v>
      </c>
      <c r="D1339" s="1">
        <v>41592</v>
      </c>
      <c r="E1339" s="1" t="str">
        <f>IF(DATEDIF(Walmart[[#This Row],[Order Date]],Walmart[[#This Row],[Ship Date]],"D")&lt;7,"On time","Delayed")</f>
        <v>On time</v>
      </c>
      <c r="F1339" t="s">
        <v>2503</v>
      </c>
      <c r="G1339" t="s">
        <v>14</v>
      </c>
      <c r="H1339" t="s">
        <v>37</v>
      </c>
      <c r="I1339" t="s">
        <v>16</v>
      </c>
      <c r="J1339" t="s">
        <v>33</v>
      </c>
      <c r="K1339" t="s">
        <v>3097</v>
      </c>
      <c r="L1339">
        <v>29.74</v>
      </c>
      <c r="M1339">
        <v>1</v>
      </c>
      <c r="N1339" t="str">
        <f>IF(Walmart[[#This Row],[Quantity]]&gt;=7,"Bulk",IF(Walmart[[#This Row],[Quantity]]&gt;=2,"Multi","Single"))</f>
        <v>Single</v>
      </c>
      <c r="O1339">
        <v>4.46</v>
      </c>
      <c r="P1339" t="str">
        <f>IF(Walmart[[#This Row],[Sales]]&gt;=1000,"High Value", IF(Walmart[[#This Row],[Sales]]&gt;=500,"Medium Value","Low Value"))</f>
        <v>Low Value</v>
      </c>
    </row>
    <row r="1340" spans="1:16" hidden="1" x14ac:dyDescent="0.3">
      <c r="A1340" t="s">
        <v>3098</v>
      </c>
      <c r="B1340" s="1">
        <v>40913</v>
      </c>
      <c r="C1340" s="1" t="str">
        <f>TEXT(Walmart[[#This Row],[Order Date]],"mmmm")</f>
        <v>January</v>
      </c>
      <c r="D1340" s="1">
        <v>40918</v>
      </c>
      <c r="E1340" s="1" t="str">
        <f>IF(DATEDIF(Walmart[[#This Row],[Order Date]],Walmart[[#This Row],[Ship Date]],"D")&lt;7,"On time","Delayed")</f>
        <v>On time</v>
      </c>
      <c r="F1340" t="s">
        <v>2098</v>
      </c>
      <c r="G1340" t="s">
        <v>14</v>
      </c>
      <c r="H1340" t="s">
        <v>37</v>
      </c>
      <c r="I1340" t="s">
        <v>16</v>
      </c>
      <c r="J1340" t="s">
        <v>105</v>
      </c>
      <c r="K1340" t="s">
        <v>2262</v>
      </c>
      <c r="L1340">
        <v>87.36</v>
      </c>
      <c r="M1340">
        <v>6</v>
      </c>
      <c r="N1340" t="str">
        <f>IF(Walmart[[#This Row],[Quantity]]&gt;=7,"Bulk",IF(Walmart[[#This Row],[Quantity]]&gt;=2,"Multi","Single"))</f>
        <v>Multi</v>
      </c>
      <c r="O1340">
        <v>23.59</v>
      </c>
      <c r="P1340" t="str">
        <f>IF(Walmart[[#This Row],[Sales]]&gt;=1000,"High Value", IF(Walmart[[#This Row],[Sales]]&gt;=500,"Medium Value","Low Value"))</f>
        <v>Low Value</v>
      </c>
    </row>
    <row r="1341" spans="1:16" hidden="1" x14ac:dyDescent="0.3">
      <c r="A1341" t="s">
        <v>3099</v>
      </c>
      <c r="B1341" s="1">
        <v>41351</v>
      </c>
      <c r="C1341" s="1" t="str">
        <f>TEXT(Walmart[[#This Row],[Order Date]],"mmmm")</f>
        <v>March</v>
      </c>
      <c r="D1341" s="1">
        <v>41353</v>
      </c>
      <c r="E1341" s="1" t="str">
        <f>IF(DATEDIF(Walmart[[#This Row],[Order Date]],Walmart[[#This Row],[Ship Date]],"D")&lt;7,"On time","Delayed")</f>
        <v>On time</v>
      </c>
      <c r="F1341" t="s">
        <v>2468</v>
      </c>
      <c r="G1341" t="s">
        <v>14</v>
      </c>
      <c r="H1341" t="s">
        <v>37</v>
      </c>
      <c r="I1341" t="s">
        <v>16</v>
      </c>
      <c r="J1341" t="s">
        <v>146</v>
      </c>
      <c r="K1341" t="s">
        <v>342</v>
      </c>
      <c r="L1341">
        <v>84.78</v>
      </c>
      <c r="M1341">
        <v>2</v>
      </c>
      <c r="N1341" t="str">
        <f>IF(Walmart[[#This Row],[Quantity]]&gt;=7,"Bulk",IF(Walmart[[#This Row],[Quantity]]&gt;=2,"Multi","Single"))</f>
        <v>Multi</v>
      </c>
      <c r="O1341">
        <v>-20.14</v>
      </c>
      <c r="P1341" t="str">
        <f>IF(Walmart[[#This Row],[Sales]]&gt;=1000,"High Value", IF(Walmart[[#This Row],[Sales]]&gt;=500,"Medium Value","Low Value"))</f>
        <v>Low Value</v>
      </c>
    </row>
    <row r="1342" spans="1:16" x14ac:dyDescent="0.3">
      <c r="A1342" t="s">
        <v>3084</v>
      </c>
      <c r="B1342" s="1">
        <v>41743</v>
      </c>
      <c r="C1342" s="1" t="str">
        <f>TEXT(Walmart[[#This Row],[Order Date]],"mmmm")</f>
        <v>April</v>
      </c>
      <c r="D1342" s="1">
        <v>41747</v>
      </c>
      <c r="E1342" s="1" t="str">
        <f>IF(DATEDIF(Walmart[[#This Row],[Order Date]],Walmart[[#This Row],[Ship Date]],"D")&lt;7,"On time","Delayed")</f>
        <v>On time</v>
      </c>
      <c r="F1342" t="s">
        <v>801</v>
      </c>
      <c r="G1342" t="s">
        <v>14</v>
      </c>
      <c r="H1342" t="s">
        <v>195</v>
      </c>
      <c r="I1342" t="s">
        <v>16</v>
      </c>
      <c r="J1342" t="s">
        <v>88</v>
      </c>
      <c r="K1342" t="s">
        <v>2943</v>
      </c>
      <c r="L1342">
        <v>436.7</v>
      </c>
      <c r="M1342">
        <v>6</v>
      </c>
      <c r="N1342" t="str">
        <f>IF(Walmart[[#This Row],[Quantity]]&gt;=7,"Bulk",IF(Walmart[[#This Row],[Quantity]]&gt;=2,"Multi","Single"))</f>
        <v>Multi</v>
      </c>
      <c r="O1342">
        <v>-38.21</v>
      </c>
      <c r="P1342" t="str">
        <f>IF(Walmart[[#This Row],[Sales]]&gt;=1000,"High Value", IF(Walmart[[#This Row],[Sales]]&gt;=500,"Medium Value","Low Value"))</f>
        <v>Low Value</v>
      </c>
    </row>
    <row r="1343" spans="1:16" x14ac:dyDescent="0.3">
      <c r="A1343" t="s">
        <v>965</v>
      </c>
      <c r="B1343" s="1">
        <v>41741</v>
      </c>
      <c r="C1343" s="1" t="str">
        <f>TEXT(Walmart[[#This Row],[Order Date]],"mmmm")</f>
        <v>April</v>
      </c>
      <c r="D1343" s="1">
        <v>41748</v>
      </c>
      <c r="E1343" s="1" t="str">
        <f>IF(DATEDIF(Walmart[[#This Row],[Order Date]],Walmart[[#This Row],[Ship Date]],"D")&lt;7,"On time","Delayed")</f>
        <v>Delayed</v>
      </c>
      <c r="F1343" t="s">
        <v>966</v>
      </c>
      <c r="G1343" t="s">
        <v>14</v>
      </c>
      <c r="H1343" t="s">
        <v>100</v>
      </c>
      <c r="I1343" t="s">
        <v>16</v>
      </c>
      <c r="J1343" t="s">
        <v>53</v>
      </c>
      <c r="K1343" t="s">
        <v>967</v>
      </c>
      <c r="L1343">
        <v>199.95</v>
      </c>
      <c r="M1343">
        <v>5</v>
      </c>
      <c r="N1343" t="str">
        <f>IF(Walmart[[#This Row],[Quantity]]&gt;=7,"Bulk",IF(Walmart[[#This Row],[Quantity]]&gt;=2,"Multi","Single"))</f>
        <v>Multi</v>
      </c>
      <c r="O1343">
        <v>21.99</v>
      </c>
      <c r="P1343" t="str">
        <f>IF(Walmart[[#This Row],[Sales]]&gt;=1000,"High Value", IF(Walmart[[#This Row],[Sales]]&gt;=500,"Medium Value","Low Value"))</f>
        <v>Low Value</v>
      </c>
    </row>
    <row r="1344" spans="1:16" hidden="1" x14ac:dyDescent="0.3">
      <c r="A1344" t="s">
        <v>3102</v>
      </c>
      <c r="B1344" s="1">
        <v>41012</v>
      </c>
      <c r="C1344" s="1" t="str">
        <f>TEXT(Walmart[[#This Row],[Order Date]],"mmmm")</f>
        <v>April</v>
      </c>
      <c r="D1344" s="1">
        <v>41017</v>
      </c>
      <c r="E1344" s="1" t="str">
        <f>IF(DATEDIF(Walmart[[#This Row],[Order Date]],Walmart[[#This Row],[Ship Date]],"D")&lt;7,"On time","Delayed")</f>
        <v>On time</v>
      </c>
      <c r="F1344" t="s">
        <v>823</v>
      </c>
      <c r="G1344" t="s">
        <v>14</v>
      </c>
      <c r="H1344" t="s">
        <v>712</v>
      </c>
      <c r="I1344" t="s">
        <v>58</v>
      </c>
      <c r="J1344" t="s">
        <v>33</v>
      </c>
      <c r="K1344" t="s">
        <v>758</v>
      </c>
      <c r="L1344">
        <v>10.74</v>
      </c>
      <c r="M1344">
        <v>1</v>
      </c>
      <c r="N1344" t="str">
        <f>IF(Walmart[[#This Row],[Quantity]]&gt;=7,"Bulk",IF(Walmart[[#This Row],[Quantity]]&gt;=2,"Multi","Single"))</f>
        <v>Single</v>
      </c>
      <c r="O1344">
        <v>0.81</v>
      </c>
      <c r="P1344" t="str">
        <f>IF(Walmart[[#This Row],[Sales]]&gt;=1000,"High Value", IF(Walmart[[#This Row],[Sales]]&gt;=500,"Medium Value","Low Value"))</f>
        <v>Low Value</v>
      </c>
    </row>
    <row r="1345" spans="1:16" hidden="1" x14ac:dyDescent="0.3">
      <c r="A1345" t="s">
        <v>3103</v>
      </c>
      <c r="B1345" s="1">
        <v>41306</v>
      </c>
      <c r="C1345" s="1" t="str">
        <f>TEXT(Walmart[[#This Row],[Order Date]],"mmmm")</f>
        <v>February</v>
      </c>
      <c r="D1345" s="1">
        <v>41312</v>
      </c>
      <c r="E1345" s="1" t="str">
        <f>IF(DATEDIF(Walmart[[#This Row],[Order Date]],Walmart[[#This Row],[Ship Date]],"D")&lt;7,"On time","Delayed")</f>
        <v>On time</v>
      </c>
      <c r="F1345" t="s">
        <v>3104</v>
      </c>
      <c r="G1345" t="s">
        <v>14</v>
      </c>
      <c r="H1345" t="s">
        <v>15</v>
      </c>
      <c r="I1345" t="s">
        <v>16</v>
      </c>
      <c r="J1345" t="s">
        <v>93</v>
      </c>
      <c r="K1345" t="s">
        <v>2126</v>
      </c>
      <c r="L1345">
        <v>105.52</v>
      </c>
      <c r="M1345">
        <v>4</v>
      </c>
      <c r="N1345" t="str">
        <f>IF(Walmart[[#This Row],[Quantity]]&gt;=7,"Bulk",IF(Walmart[[#This Row],[Quantity]]&gt;=2,"Multi","Single"))</f>
        <v>Multi</v>
      </c>
      <c r="O1345">
        <v>48.54</v>
      </c>
      <c r="P1345" t="str">
        <f>IF(Walmart[[#This Row],[Sales]]&gt;=1000,"High Value", IF(Walmart[[#This Row],[Sales]]&gt;=500,"Medium Value","Low Value"))</f>
        <v>Low Value</v>
      </c>
    </row>
    <row r="1346" spans="1:16" hidden="1" x14ac:dyDescent="0.3">
      <c r="A1346" t="s">
        <v>3105</v>
      </c>
      <c r="B1346" s="1">
        <v>41254</v>
      </c>
      <c r="C1346" s="1" t="str">
        <f>TEXT(Walmart[[#This Row],[Order Date]],"mmmm")</f>
        <v>December</v>
      </c>
      <c r="D1346" s="1">
        <v>41260</v>
      </c>
      <c r="E1346" s="1" t="str">
        <f>IF(DATEDIF(Walmart[[#This Row],[Order Date]],Walmart[[#This Row],[Ship Date]],"D")&lt;7,"On time","Delayed")</f>
        <v>On time</v>
      </c>
      <c r="F1346" t="s">
        <v>1593</v>
      </c>
      <c r="G1346" t="s">
        <v>14</v>
      </c>
      <c r="H1346" t="s">
        <v>970</v>
      </c>
      <c r="I1346" t="s">
        <v>16</v>
      </c>
      <c r="J1346" t="s">
        <v>27</v>
      </c>
      <c r="K1346" t="s">
        <v>765</v>
      </c>
      <c r="L1346">
        <v>110.53</v>
      </c>
      <c r="M1346">
        <v>4</v>
      </c>
      <c r="N1346" t="str">
        <f>IF(Walmart[[#This Row],[Quantity]]&gt;=7,"Bulk",IF(Walmart[[#This Row],[Quantity]]&gt;=2,"Multi","Single"))</f>
        <v>Multi</v>
      </c>
      <c r="O1346">
        <v>38.68</v>
      </c>
      <c r="P1346" t="str">
        <f>IF(Walmart[[#This Row],[Sales]]&gt;=1000,"High Value", IF(Walmart[[#This Row],[Sales]]&gt;=500,"Medium Value","Low Value"))</f>
        <v>Low Value</v>
      </c>
    </row>
    <row r="1347" spans="1:16" x14ac:dyDescent="0.3">
      <c r="A1347" t="s">
        <v>1930</v>
      </c>
      <c r="B1347" s="1">
        <v>41738</v>
      </c>
      <c r="C1347" s="1" t="str">
        <f>TEXT(Walmart[[#This Row],[Order Date]],"mmmm")</f>
        <v>April</v>
      </c>
      <c r="D1347" s="1">
        <v>41742</v>
      </c>
      <c r="E1347" s="1" t="str">
        <f>IF(DATEDIF(Walmart[[#This Row],[Order Date]],Walmart[[#This Row],[Ship Date]],"D")&lt;7,"On time","Delayed")</f>
        <v>On time</v>
      </c>
      <c r="F1347" t="s">
        <v>1022</v>
      </c>
      <c r="G1347" t="s">
        <v>14</v>
      </c>
      <c r="H1347" t="s">
        <v>37</v>
      </c>
      <c r="I1347" t="s">
        <v>16</v>
      </c>
      <c r="J1347" t="s">
        <v>93</v>
      </c>
      <c r="K1347" t="s">
        <v>1853</v>
      </c>
      <c r="L1347">
        <v>244.55</v>
      </c>
      <c r="M1347">
        <v>5</v>
      </c>
      <c r="N1347" t="str">
        <f>IF(Walmart[[#This Row],[Quantity]]&gt;=7,"Bulk",IF(Walmart[[#This Row],[Quantity]]&gt;=2,"Multi","Single"))</f>
        <v>Multi</v>
      </c>
      <c r="O1347">
        <v>114.94</v>
      </c>
      <c r="P1347" t="str">
        <f>IF(Walmart[[#This Row],[Sales]]&gt;=1000,"High Value", IF(Walmart[[#This Row],[Sales]]&gt;=500,"Medium Value","Low Value"))</f>
        <v>Low Value</v>
      </c>
    </row>
    <row r="1348" spans="1:16" hidden="1" x14ac:dyDescent="0.3">
      <c r="A1348" t="s">
        <v>3107</v>
      </c>
      <c r="B1348" s="1">
        <v>41184</v>
      </c>
      <c r="C1348" s="1" t="str">
        <f>TEXT(Walmart[[#This Row],[Order Date]],"mmmm")</f>
        <v>October</v>
      </c>
      <c r="D1348" s="1">
        <v>41189</v>
      </c>
      <c r="E1348" s="1" t="str">
        <f>IF(DATEDIF(Walmart[[#This Row],[Order Date]],Walmart[[#This Row],[Ship Date]],"D")&lt;7,"On time","Delayed")</f>
        <v>On time</v>
      </c>
      <c r="F1348" t="s">
        <v>3108</v>
      </c>
      <c r="G1348" t="s">
        <v>14</v>
      </c>
      <c r="H1348" t="s">
        <v>1660</v>
      </c>
      <c r="I1348" t="s">
        <v>77</v>
      </c>
      <c r="J1348" t="s">
        <v>334</v>
      </c>
      <c r="K1348" t="s">
        <v>3090</v>
      </c>
      <c r="L1348">
        <v>10.94</v>
      </c>
      <c r="M1348">
        <v>2</v>
      </c>
      <c r="N1348" t="str">
        <f>IF(Walmart[[#This Row],[Quantity]]&gt;=7,"Bulk",IF(Walmart[[#This Row],[Quantity]]&gt;=2,"Multi","Single"))</f>
        <v>Multi</v>
      </c>
      <c r="O1348">
        <v>0.96</v>
      </c>
      <c r="P1348" t="str">
        <f>IF(Walmart[[#This Row],[Sales]]&gt;=1000,"High Value", IF(Walmart[[#This Row],[Sales]]&gt;=500,"Medium Value","Low Value"))</f>
        <v>Low Value</v>
      </c>
    </row>
    <row r="1349" spans="1:16" x14ac:dyDescent="0.3">
      <c r="A1349" t="s">
        <v>654</v>
      </c>
      <c r="B1349" s="1">
        <v>41732</v>
      </c>
      <c r="C1349" s="1" t="str">
        <f>TEXT(Walmart[[#This Row],[Order Date]],"mmmm")</f>
        <v>April</v>
      </c>
      <c r="D1349" s="1">
        <v>41737</v>
      </c>
      <c r="E1349" s="1" t="str">
        <f>IF(DATEDIF(Walmart[[#This Row],[Order Date]],Walmart[[#This Row],[Ship Date]],"D")&lt;7,"On time","Delayed")</f>
        <v>On time</v>
      </c>
      <c r="F1349" t="s">
        <v>655</v>
      </c>
      <c r="G1349" t="s">
        <v>14</v>
      </c>
      <c r="H1349" t="s">
        <v>15</v>
      </c>
      <c r="I1349" t="s">
        <v>16</v>
      </c>
      <c r="J1349" t="s">
        <v>21</v>
      </c>
      <c r="K1349" t="s">
        <v>656</v>
      </c>
      <c r="L1349">
        <v>25.11</v>
      </c>
      <c r="M1349">
        <v>3</v>
      </c>
      <c r="N1349" t="str">
        <f>IF(Walmart[[#This Row],[Quantity]]&gt;=7,"Bulk",IF(Walmart[[#This Row],[Quantity]]&gt;=2,"Multi","Single"))</f>
        <v>Multi</v>
      </c>
      <c r="O1349">
        <v>6.53</v>
      </c>
      <c r="P1349" t="str">
        <f>IF(Walmart[[#This Row],[Sales]]&gt;=1000,"High Value", IF(Walmart[[#This Row],[Sales]]&gt;=500,"Medium Value","Low Value"))</f>
        <v>Low Value</v>
      </c>
    </row>
    <row r="1350" spans="1:16" hidden="1" x14ac:dyDescent="0.3">
      <c r="A1350" t="s">
        <v>3110</v>
      </c>
      <c r="B1350" s="1">
        <v>41172</v>
      </c>
      <c r="C1350" s="1" t="str">
        <f>TEXT(Walmart[[#This Row],[Order Date]],"mmmm")</f>
        <v>September</v>
      </c>
      <c r="D1350" s="1">
        <v>41178</v>
      </c>
      <c r="E1350" s="1" t="str">
        <f>IF(DATEDIF(Walmart[[#This Row],[Order Date]],Walmart[[#This Row],[Ship Date]],"D")&lt;7,"On time","Delayed")</f>
        <v>On time</v>
      </c>
      <c r="F1350" t="s">
        <v>1184</v>
      </c>
      <c r="G1350" t="s">
        <v>14</v>
      </c>
      <c r="H1350" t="s">
        <v>226</v>
      </c>
      <c r="I1350" t="s">
        <v>227</v>
      </c>
      <c r="J1350" t="s">
        <v>27</v>
      </c>
      <c r="K1350" t="s">
        <v>3111</v>
      </c>
      <c r="L1350">
        <v>45.58</v>
      </c>
      <c r="M1350">
        <v>11</v>
      </c>
      <c r="N1350" t="str">
        <f>IF(Walmart[[#This Row],[Quantity]]&gt;=7,"Bulk",IF(Walmart[[#This Row],[Quantity]]&gt;=2,"Multi","Single"))</f>
        <v>Bulk</v>
      </c>
      <c r="O1350">
        <v>16.52</v>
      </c>
      <c r="P1350" t="str">
        <f>IF(Walmart[[#This Row],[Sales]]&gt;=1000,"High Value", IF(Walmart[[#This Row],[Sales]]&gt;=500,"Medium Value","Low Value"))</f>
        <v>Low Value</v>
      </c>
    </row>
    <row r="1351" spans="1:16" hidden="1" x14ac:dyDescent="0.3">
      <c r="A1351" t="s">
        <v>3112</v>
      </c>
      <c r="B1351" s="1">
        <v>40691</v>
      </c>
      <c r="C1351" s="1" t="str">
        <f>TEXT(Walmart[[#This Row],[Order Date]],"mmmm")</f>
        <v>May</v>
      </c>
      <c r="D1351" s="1">
        <v>40695</v>
      </c>
      <c r="E1351" s="1" t="str">
        <f>IF(DATEDIF(Walmart[[#This Row],[Order Date]],Walmart[[#This Row],[Ship Date]],"D")&lt;7,"On time","Delayed")</f>
        <v>On time</v>
      </c>
      <c r="F1351" t="s">
        <v>3113</v>
      </c>
      <c r="G1351" t="s">
        <v>14</v>
      </c>
      <c r="H1351" t="s">
        <v>25</v>
      </c>
      <c r="I1351" t="s">
        <v>26</v>
      </c>
      <c r="J1351" t="s">
        <v>27</v>
      </c>
      <c r="K1351" t="s">
        <v>2000</v>
      </c>
      <c r="L1351">
        <v>136.96</v>
      </c>
      <c r="M1351">
        <v>4</v>
      </c>
      <c r="N1351" t="str">
        <f>IF(Walmart[[#This Row],[Quantity]]&gt;=7,"Bulk",IF(Walmart[[#This Row],[Quantity]]&gt;=2,"Multi","Single"))</f>
        <v>Multi</v>
      </c>
      <c r="O1351">
        <v>51.36</v>
      </c>
      <c r="P1351" t="str">
        <f>IF(Walmart[[#This Row],[Sales]]&gt;=1000,"High Value", IF(Walmart[[#This Row],[Sales]]&gt;=500,"Medium Value","Low Value"))</f>
        <v>Low Value</v>
      </c>
    </row>
    <row r="1352" spans="1:16" x14ac:dyDescent="0.3">
      <c r="A1352" t="s">
        <v>1242</v>
      </c>
      <c r="B1352" s="1">
        <v>41731</v>
      </c>
      <c r="C1352" s="1" t="str">
        <f>TEXT(Walmart[[#This Row],[Order Date]],"mmmm")</f>
        <v>April</v>
      </c>
      <c r="D1352" s="1">
        <v>41735</v>
      </c>
      <c r="E1352" s="1" t="str">
        <f>IF(DATEDIF(Walmart[[#This Row],[Order Date]],Walmart[[#This Row],[Ship Date]],"D")&lt;7,"On time","Delayed")</f>
        <v>On time</v>
      </c>
      <c r="F1352" t="s">
        <v>1006</v>
      </c>
      <c r="G1352" t="s">
        <v>14</v>
      </c>
      <c r="H1352" t="s">
        <v>37</v>
      </c>
      <c r="I1352" t="s">
        <v>16</v>
      </c>
      <c r="J1352" t="s">
        <v>17</v>
      </c>
      <c r="K1352" t="s">
        <v>1243</v>
      </c>
      <c r="L1352">
        <v>5.78</v>
      </c>
      <c r="M1352">
        <v>2</v>
      </c>
      <c r="N1352" t="str">
        <f>IF(Walmart[[#This Row],[Quantity]]&gt;=7,"Bulk",IF(Walmart[[#This Row],[Quantity]]&gt;=2,"Multi","Single"))</f>
        <v>Multi</v>
      </c>
      <c r="O1352">
        <v>2.72</v>
      </c>
      <c r="P1352" t="str">
        <f>IF(Walmart[[#This Row],[Sales]]&gt;=1000,"High Value", IF(Walmart[[#This Row],[Sales]]&gt;=500,"Medium Value","Low Value"))</f>
        <v>Low Value</v>
      </c>
    </row>
    <row r="1353" spans="1:16" hidden="1" x14ac:dyDescent="0.3">
      <c r="A1353" t="s">
        <v>3115</v>
      </c>
      <c r="B1353" s="1">
        <v>40661</v>
      </c>
      <c r="C1353" s="1" t="str">
        <f>TEXT(Walmart[[#This Row],[Order Date]],"mmmm")</f>
        <v>April</v>
      </c>
      <c r="D1353" s="1">
        <v>40663</v>
      </c>
      <c r="E1353" s="1" t="str">
        <f>IF(DATEDIF(Walmart[[#This Row],[Order Date]],Walmart[[#This Row],[Ship Date]],"D")&lt;7,"On time","Delayed")</f>
        <v>On time</v>
      </c>
      <c r="F1353" t="s">
        <v>2063</v>
      </c>
      <c r="G1353" t="s">
        <v>14</v>
      </c>
      <c r="H1353" t="s">
        <v>37</v>
      </c>
      <c r="I1353" t="s">
        <v>16</v>
      </c>
      <c r="J1353" t="s">
        <v>146</v>
      </c>
      <c r="K1353" t="s">
        <v>3116</v>
      </c>
      <c r="L1353">
        <v>1679.96</v>
      </c>
      <c r="M1353">
        <v>5</v>
      </c>
      <c r="N1353" t="str">
        <f>IF(Walmart[[#This Row],[Quantity]]&gt;=7,"Bulk",IF(Walmart[[#This Row],[Quantity]]&gt;=2,"Multi","Single"))</f>
        <v>Multi</v>
      </c>
      <c r="O1353">
        <v>126</v>
      </c>
      <c r="P1353" t="str">
        <f>IF(Walmart[[#This Row],[Sales]]&gt;=1000,"High Value", IF(Walmart[[#This Row],[Sales]]&gt;=500,"Medium Value","Low Value"))</f>
        <v>High Value</v>
      </c>
    </row>
    <row r="1354" spans="1:16" hidden="1" x14ac:dyDescent="0.3">
      <c r="A1354" t="s">
        <v>3117</v>
      </c>
      <c r="B1354" s="1">
        <v>41417</v>
      </c>
      <c r="C1354" s="1" t="str">
        <f>TEXT(Walmart[[#This Row],[Order Date]],"mmmm")</f>
        <v>May</v>
      </c>
      <c r="D1354" s="1">
        <v>41424</v>
      </c>
      <c r="E1354" s="1" t="str">
        <f>IF(DATEDIF(Walmart[[#This Row],[Order Date]],Walmart[[#This Row],[Ship Date]],"D")&lt;7,"On time","Delayed")</f>
        <v>Delayed</v>
      </c>
      <c r="F1354" t="s">
        <v>1986</v>
      </c>
      <c r="G1354" t="s">
        <v>14</v>
      </c>
      <c r="H1354" t="s">
        <v>15</v>
      </c>
      <c r="I1354" t="s">
        <v>16</v>
      </c>
      <c r="J1354" t="s">
        <v>146</v>
      </c>
      <c r="K1354" t="s">
        <v>147</v>
      </c>
      <c r="L1354">
        <v>222.38</v>
      </c>
      <c r="M1354">
        <v>2</v>
      </c>
      <c r="N1354" t="str">
        <f>IF(Walmart[[#This Row],[Quantity]]&gt;=7,"Bulk",IF(Walmart[[#This Row],[Quantity]]&gt;=2,"Multi","Single"))</f>
        <v>Multi</v>
      </c>
      <c r="O1354">
        <v>22.24</v>
      </c>
      <c r="P1354" t="str">
        <f>IF(Walmart[[#This Row],[Sales]]&gt;=1000,"High Value", IF(Walmart[[#This Row],[Sales]]&gt;=500,"Medium Value","Low Value"))</f>
        <v>Low Value</v>
      </c>
    </row>
    <row r="1355" spans="1:16" hidden="1" x14ac:dyDescent="0.3">
      <c r="A1355" t="s">
        <v>3118</v>
      </c>
      <c r="B1355" s="1">
        <v>40630</v>
      </c>
      <c r="C1355" s="1" t="str">
        <f>TEXT(Walmart[[#This Row],[Order Date]],"mmmm")</f>
        <v>March</v>
      </c>
      <c r="D1355" s="1">
        <v>40634</v>
      </c>
      <c r="E1355" s="1" t="str">
        <f>IF(DATEDIF(Walmart[[#This Row],[Order Date]],Walmart[[#This Row],[Ship Date]],"D")&lt;7,"On time","Delayed")</f>
        <v>On time</v>
      </c>
      <c r="F1355" t="s">
        <v>3119</v>
      </c>
      <c r="G1355" t="s">
        <v>14</v>
      </c>
      <c r="H1355" t="s">
        <v>1163</v>
      </c>
      <c r="I1355" t="s">
        <v>123</v>
      </c>
      <c r="J1355" t="s">
        <v>146</v>
      </c>
      <c r="K1355" t="s">
        <v>3120</v>
      </c>
      <c r="L1355">
        <v>302.38</v>
      </c>
      <c r="M1355">
        <v>3</v>
      </c>
      <c r="N1355" t="str">
        <f>IF(Walmart[[#This Row],[Quantity]]&gt;=7,"Bulk",IF(Walmart[[#This Row],[Quantity]]&gt;=2,"Multi","Single"))</f>
        <v>Multi</v>
      </c>
      <c r="O1355">
        <v>22.68</v>
      </c>
      <c r="P1355" t="str">
        <f>IF(Walmart[[#This Row],[Sales]]&gt;=1000,"High Value", IF(Walmart[[#This Row],[Sales]]&gt;=500,"Medium Value","Low Value"))</f>
        <v>Low Value</v>
      </c>
    </row>
    <row r="1356" spans="1:16" hidden="1" x14ac:dyDescent="0.3">
      <c r="A1356" t="s">
        <v>3121</v>
      </c>
      <c r="B1356" s="1">
        <v>41039</v>
      </c>
      <c r="C1356" s="1" t="str">
        <f>TEXT(Walmart[[#This Row],[Order Date]],"mmmm")</f>
        <v>May</v>
      </c>
      <c r="D1356" s="1">
        <v>41044</v>
      </c>
      <c r="E1356" s="1" t="str">
        <f>IF(DATEDIF(Walmart[[#This Row],[Order Date]],Walmart[[#This Row],[Ship Date]],"D")&lt;7,"On time","Delayed")</f>
        <v>On time</v>
      </c>
      <c r="F1356" t="s">
        <v>373</v>
      </c>
      <c r="G1356" t="s">
        <v>14</v>
      </c>
      <c r="H1356" t="s">
        <v>247</v>
      </c>
      <c r="I1356" t="s">
        <v>77</v>
      </c>
      <c r="J1356" t="s">
        <v>53</v>
      </c>
      <c r="K1356" t="s">
        <v>3122</v>
      </c>
      <c r="L1356">
        <v>46.69</v>
      </c>
      <c r="M1356">
        <v>4</v>
      </c>
      <c r="N1356" t="str">
        <f>IF(Walmart[[#This Row],[Quantity]]&gt;=7,"Bulk",IF(Walmart[[#This Row],[Quantity]]&gt;=2,"Multi","Single"))</f>
        <v>Multi</v>
      </c>
      <c r="O1356">
        <v>-2.92</v>
      </c>
      <c r="P1356" t="str">
        <f>IF(Walmart[[#This Row],[Sales]]&gt;=1000,"High Value", IF(Walmart[[#This Row],[Sales]]&gt;=500,"Medium Value","Low Value"))</f>
        <v>Low Value</v>
      </c>
    </row>
    <row r="1357" spans="1:16" hidden="1" x14ac:dyDescent="0.3">
      <c r="A1357" t="s">
        <v>3123</v>
      </c>
      <c r="B1357" s="1">
        <v>41537</v>
      </c>
      <c r="C1357" s="1" t="str">
        <f>TEXT(Walmart[[#This Row],[Order Date]],"mmmm")</f>
        <v>September</v>
      </c>
      <c r="D1357" s="1">
        <v>41541</v>
      </c>
      <c r="E1357" s="1" t="str">
        <f>IF(DATEDIF(Walmart[[#This Row],[Order Date]],Walmart[[#This Row],[Ship Date]],"D")&lt;7,"On time","Delayed")</f>
        <v>On time</v>
      </c>
      <c r="F1357" t="s">
        <v>891</v>
      </c>
      <c r="G1357" t="s">
        <v>14</v>
      </c>
      <c r="H1357" t="s">
        <v>37</v>
      </c>
      <c r="I1357" t="s">
        <v>16</v>
      </c>
      <c r="J1357" t="s">
        <v>27</v>
      </c>
      <c r="K1357" t="s">
        <v>3124</v>
      </c>
      <c r="L1357">
        <v>8.93</v>
      </c>
      <c r="M1357">
        <v>2</v>
      </c>
      <c r="N1357" t="str">
        <f>IF(Walmart[[#This Row],[Quantity]]&gt;=7,"Bulk",IF(Walmart[[#This Row],[Quantity]]&gt;=2,"Multi","Single"))</f>
        <v>Multi</v>
      </c>
      <c r="O1357">
        <v>3.12</v>
      </c>
      <c r="P1357" t="str">
        <f>IF(Walmart[[#This Row],[Sales]]&gt;=1000,"High Value", IF(Walmart[[#This Row],[Sales]]&gt;=500,"Medium Value","Low Value"))</f>
        <v>Low Value</v>
      </c>
    </row>
    <row r="1358" spans="1:16" x14ac:dyDescent="0.3">
      <c r="A1358" t="s">
        <v>1769</v>
      </c>
      <c r="B1358" s="1">
        <v>41731</v>
      </c>
      <c r="C1358" s="1" t="str">
        <f>TEXT(Walmart[[#This Row],[Order Date]],"mmmm")</f>
        <v>April</v>
      </c>
      <c r="D1358" s="1">
        <v>41733</v>
      </c>
      <c r="E1358" s="1" t="str">
        <f>IF(DATEDIF(Walmart[[#This Row],[Order Date]],Walmart[[#This Row],[Ship Date]],"D")&lt;7,"On time","Delayed")</f>
        <v>On time</v>
      </c>
      <c r="F1358" t="s">
        <v>1770</v>
      </c>
      <c r="G1358" t="s">
        <v>14</v>
      </c>
      <c r="H1358" t="s">
        <v>37</v>
      </c>
      <c r="I1358" t="s">
        <v>16</v>
      </c>
      <c r="J1358" t="s">
        <v>671</v>
      </c>
      <c r="K1358" t="s">
        <v>1771</v>
      </c>
      <c r="L1358">
        <v>482.66</v>
      </c>
      <c r="M1358">
        <v>8</v>
      </c>
      <c r="N1358" t="str">
        <f>IF(Walmart[[#This Row],[Quantity]]&gt;=7,"Bulk",IF(Walmart[[#This Row],[Quantity]]&gt;=2,"Multi","Single"))</f>
        <v>Bulk</v>
      </c>
      <c r="O1358">
        <v>85.18</v>
      </c>
      <c r="P1358" t="str">
        <f>IF(Walmart[[#This Row],[Sales]]&gt;=1000,"High Value", IF(Walmart[[#This Row],[Sales]]&gt;=500,"Medium Value","Low Value"))</f>
        <v>Low Value</v>
      </c>
    </row>
    <row r="1359" spans="1:16" x14ac:dyDescent="0.3">
      <c r="A1359" t="s">
        <v>2888</v>
      </c>
      <c r="B1359" s="1">
        <v>41730</v>
      </c>
      <c r="C1359" s="1" t="str">
        <f>TEXT(Walmart[[#This Row],[Order Date]],"mmmm")</f>
        <v>April</v>
      </c>
      <c r="D1359" s="1">
        <v>41737</v>
      </c>
      <c r="E1359" s="1" t="str">
        <f>IF(DATEDIF(Walmart[[#This Row],[Order Date]],Walmart[[#This Row],[Ship Date]],"D")&lt;7,"On time","Delayed")</f>
        <v>Delayed</v>
      </c>
      <c r="F1359" t="s">
        <v>644</v>
      </c>
      <c r="G1359" t="s">
        <v>14</v>
      </c>
      <c r="H1359" t="s">
        <v>15</v>
      </c>
      <c r="I1359" t="s">
        <v>16</v>
      </c>
      <c r="J1359" t="s">
        <v>334</v>
      </c>
      <c r="K1359" t="s">
        <v>2889</v>
      </c>
      <c r="L1359">
        <v>29.7</v>
      </c>
      <c r="M1359">
        <v>3</v>
      </c>
      <c r="N1359" t="str">
        <f>IF(Walmart[[#This Row],[Quantity]]&gt;=7,"Bulk",IF(Walmart[[#This Row],[Quantity]]&gt;=2,"Multi","Single"))</f>
        <v>Multi</v>
      </c>
      <c r="O1359">
        <v>8.02</v>
      </c>
      <c r="P1359" t="str">
        <f>IF(Walmart[[#This Row],[Sales]]&gt;=1000,"High Value", IF(Walmart[[#This Row],[Sales]]&gt;=500,"Medium Value","Low Value"))</f>
        <v>Low Value</v>
      </c>
    </row>
    <row r="1360" spans="1:16" hidden="1" x14ac:dyDescent="0.3">
      <c r="A1360" t="s">
        <v>3129</v>
      </c>
      <c r="B1360" s="1">
        <v>41346</v>
      </c>
      <c r="C1360" s="1" t="str">
        <f>TEXT(Walmart[[#This Row],[Order Date]],"mmmm")</f>
        <v>March</v>
      </c>
      <c r="D1360" s="1">
        <v>41350</v>
      </c>
      <c r="E1360" s="1" t="str">
        <f>IF(DATEDIF(Walmart[[#This Row],[Order Date]],Walmart[[#This Row],[Ship Date]],"D")&lt;7,"On time","Delayed")</f>
        <v>On time</v>
      </c>
      <c r="F1360" t="s">
        <v>1027</v>
      </c>
      <c r="G1360" t="s">
        <v>14</v>
      </c>
      <c r="H1360" t="s">
        <v>15</v>
      </c>
      <c r="I1360" t="s">
        <v>16</v>
      </c>
      <c r="J1360" t="s">
        <v>93</v>
      </c>
      <c r="K1360" t="s">
        <v>3130</v>
      </c>
      <c r="L1360">
        <v>19.98</v>
      </c>
      <c r="M1360">
        <v>2</v>
      </c>
      <c r="N1360" t="str">
        <f>IF(Walmart[[#This Row],[Quantity]]&gt;=7,"Bulk",IF(Walmart[[#This Row],[Quantity]]&gt;=2,"Multi","Single"))</f>
        <v>Multi</v>
      </c>
      <c r="O1360">
        <v>8.99</v>
      </c>
      <c r="P1360" t="str">
        <f>IF(Walmart[[#This Row],[Sales]]&gt;=1000,"High Value", IF(Walmart[[#This Row],[Sales]]&gt;=500,"Medium Value","Low Value"))</f>
        <v>Low Value</v>
      </c>
    </row>
    <row r="1361" spans="1:16" x14ac:dyDescent="0.3">
      <c r="A1361" t="s">
        <v>2878</v>
      </c>
      <c r="B1361" s="1">
        <v>41729</v>
      </c>
      <c r="C1361" s="1" t="str">
        <f>TEXT(Walmart[[#This Row],[Order Date]],"mmmm")</f>
        <v>March</v>
      </c>
      <c r="D1361" s="1">
        <v>41729</v>
      </c>
      <c r="E1361" s="1" t="str">
        <f>IF(DATEDIF(Walmart[[#This Row],[Order Date]],Walmart[[#This Row],[Ship Date]],"D")&lt;7,"On time","Delayed")</f>
        <v>On time</v>
      </c>
      <c r="F1361" t="s">
        <v>750</v>
      </c>
      <c r="G1361" t="s">
        <v>14</v>
      </c>
      <c r="H1361" t="s">
        <v>15</v>
      </c>
      <c r="I1361" t="s">
        <v>16</v>
      </c>
      <c r="J1361" t="s">
        <v>38</v>
      </c>
      <c r="K1361" t="s">
        <v>2879</v>
      </c>
      <c r="L1361">
        <v>6.08</v>
      </c>
      <c r="M1361">
        <v>2</v>
      </c>
      <c r="N1361" t="str">
        <f>IF(Walmart[[#This Row],[Quantity]]&gt;=7,"Bulk",IF(Walmart[[#This Row],[Quantity]]&gt;=2,"Multi","Single"))</f>
        <v>Multi</v>
      </c>
      <c r="O1361">
        <v>2.0699999999999998</v>
      </c>
      <c r="P1361" t="str">
        <f>IF(Walmart[[#This Row],[Sales]]&gt;=1000,"High Value", IF(Walmart[[#This Row],[Sales]]&gt;=500,"Medium Value","Low Value"))</f>
        <v>Low Value</v>
      </c>
    </row>
    <row r="1362" spans="1:16" x14ac:dyDescent="0.3">
      <c r="A1362" t="s">
        <v>3186</v>
      </c>
      <c r="B1362" s="1">
        <v>41729</v>
      </c>
      <c r="C1362" s="1" t="str">
        <f>TEXT(Walmart[[#This Row],[Order Date]],"mmmm")</f>
        <v>March</v>
      </c>
      <c r="D1362" s="1">
        <v>41731</v>
      </c>
      <c r="E1362" s="1" t="str">
        <f>IF(DATEDIF(Walmart[[#This Row],[Order Date]],Walmart[[#This Row],[Ship Date]],"D")&lt;7,"On time","Delayed")</f>
        <v>On time</v>
      </c>
      <c r="F1362" t="s">
        <v>373</v>
      </c>
      <c r="G1362" t="s">
        <v>14</v>
      </c>
      <c r="H1362" t="s">
        <v>1702</v>
      </c>
      <c r="I1362" t="s">
        <v>16</v>
      </c>
      <c r="J1362" t="s">
        <v>21</v>
      </c>
      <c r="K1362" t="s">
        <v>2114</v>
      </c>
      <c r="L1362">
        <v>94.2</v>
      </c>
      <c r="M1362">
        <v>5</v>
      </c>
      <c r="N1362" t="str">
        <f>IF(Walmart[[#This Row],[Quantity]]&gt;=7,"Bulk",IF(Walmart[[#This Row],[Quantity]]&gt;=2,"Multi","Single"))</f>
        <v>Multi</v>
      </c>
      <c r="O1362">
        <v>39.56</v>
      </c>
      <c r="P1362" t="str">
        <f>IF(Walmart[[#This Row],[Sales]]&gt;=1000,"High Value", IF(Walmart[[#This Row],[Sales]]&gt;=500,"Medium Value","Low Value"))</f>
        <v>Low Value</v>
      </c>
    </row>
    <row r="1363" spans="1:16" x14ac:dyDescent="0.3">
      <c r="A1363" t="s">
        <v>2321</v>
      </c>
      <c r="B1363" s="1">
        <v>41727</v>
      </c>
      <c r="C1363" s="1" t="str">
        <f>TEXT(Walmart[[#This Row],[Order Date]],"mmmm")</f>
        <v>March</v>
      </c>
      <c r="D1363" s="1">
        <v>41730</v>
      </c>
      <c r="E1363" s="1" t="str">
        <f>IF(DATEDIF(Walmart[[#This Row],[Order Date]],Walmart[[#This Row],[Ship Date]],"D")&lt;7,"On time","Delayed")</f>
        <v>On time</v>
      </c>
      <c r="F1363" t="s">
        <v>2322</v>
      </c>
      <c r="G1363" t="s">
        <v>14</v>
      </c>
      <c r="H1363" t="s">
        <v>635</v>
      </c>
      <c r="I1363" t="s">
        <v>16</v>
      </c>
      <c r="J1363" t="s">
        <v>93</v>
      </c>
      <c r="K1363" t="s">
        <v>2323</v>
      </c>
      <c r="L1363">
        <v>12.96</v>
      </c>
      <c r="M1363">
        <v>2</v>
      </c>
      <c r="N1363" t="str">
        <f>IF(Walmart[[#This Row],[Quantity]]&gt;=7,"Bulk",IF(Walmart[[#This Row],[Quantity]]&gt;=2,"Multi","Single"))</f>
        <v>Multi</v>
      </c>
      <c r="O1363">
        <v>6.35</v>
      </c>
      <c r="P1363" t="str">
        <f>IF(Walmart[[#This Row],[Sales]]&gt;=1000,"High Value", IF(Walmart[[#This Row],[Sales]]&gt;=500,"Medium Value","Low Value"))</f>
        <v>Low Value</v>
      </c>
    </row>
    <row r="1364" spans="1:16" hidden="1" x14ac:dyDescent="0.3">
      <c r="A1364" t="s">
        <v>3136</v>
      </c>
      <c r="B1364" s="1">
        <v>41611</v>
      </c>
      <c r="C1364" s="1" t="str">
        <f>TEXT(Walmart[[#This Row],[Order Date]],"mmmm")</f>
        <v>December</v>
      </c>
      <c r="D1364" s="1">
        <v>41617</v>
      </c>
      <c r="E1364" s="1" t="str">
        <f>IF(DATEDIF(Walmart[[#This Row],[Order Date]],Walmart[[#This Row],[Ship Date]],"D")&lt;7,"On time","Delayed")</f>
        <v>On time</v>
      </c>
      <c r="F1364" t="s">
        <v>1255</v>
      </c>
      <c r="G1364" t="s">
        <v>14</v>
      </c>
      <c r="H1364" t="s">
        <v>2887</v>
      </c>
      <c r="I1364" t="s">
        <v>77</v>
      </c>
      <c r="J1364" t="s">
        <v>53</v>
      </c>
      <c r="K1364" t="s">
        <v>3137</v>
      </c>
      <c r="L1364">
        <v>165.6</v>
      </c>
      <c r="M1364">
        <v>3</v>
      </c>
      <c r="N1364" t="str">
        <f>IF(Walmart[[#This Row],[Quantity]]&gt;=7,"Bulk",IF(Walmart[[#This Row],[Quantity]]&gt;=2,"Multi","Single"))</f>
        <v>Multi</v>
      </c>
      <c r="O1364">
        <v>-6.21</v>
      </c>
      <c r="P1364" t="str">
        <f>IF(Walmart[[#This Row],[Sales]]&gt;=1000,"High Value", IF(Walmart[[#This Row],[Sales]]&gt;=500,"Medium Value","Low Value"))</f>
        <v>Low Value</v>
      </c>
    </row>
    <row r="1365" spans="1:16" hidden="1" x14ac:dyDescent="0.3">
      <c r="A1365" t="s">
        <v>3138</v>
      </c>
      <c r="B1365" s="1">
        <v>40968</v>
      </c>
      <c r="C1365" s="1" t="str">
        <f>TEXT(Walmart[[#This Row],[Order Date]],"mmmm")</f>
        <v>February</v>
      </c>
      <c r="D1365" s="1">
        <v>40971</v>
      </c>
      <c r="E1365" s="1" t="str">
        <f>IF(DATEDIF(Walmart[[#This Row],[Order Date]],Walmart[[#This Row],[Ship Date]],"D")&lt;7,"On time","Delayed")</f>
        <v>On time</v>
      </c>
      <c r="F1365" t="s">
        <v>2322</v>
      </c>
      <c r="G1365" t="s">
        <v>14</v>
      </c>
      <c r="H1365" t="s">
        <v>15</v>
      </c>
      <c r="I1365" t="s">
        <v>16</v>
      </c>
      <c r="J1365" t="s">
        <v>146</v>
      </c>
      <c r="K1365" t="s">
        <v>718</v>
      </c>
      <c r="L1365">
        <v>15.98</v>
      </c>
      <c r="M1365">
        <v>2</v>
      </c>
      <c r="N1365" t="str">
        <f>IF(Walmart[[#This Row],[Quantity]]&gt;=7,"Bulk",IF(Walmart[[#This Row],[Quantity]]&gt;=2,"Multi","Single"))</f>
        <v>Multi</v>
      </c>
      <c r="O1365">
        <v>1.2</v>
      </c>
      <c r="P1365" t="str">
        <f>IF(Walmart[[#This Row],[Sales]]&gt;=1000,"High Value", IF(Walmart[[#This Row],[Sales]]&gt;=500,"Medium Value","Low Value"))</f>
        <v>Low Value</v>
      </c>
    </row>
    <row r="1366" spans="1:16" hidden="1" x14ac:dyDescent="0.3">
      <c r="A1366" t="s">
        <v>3139</v>
      </c>
      <c r="B1366" s="1">
        <v>40595</v>
      </c>
      <c r="C1366" s="1" t="str">
        <f>TEXT(Walmart[[#This Row],[Order Date]],"mmmm")</f>
        <v>February</v>
      </c>
      <c r="D1366" s="1">
        <v>40599</v>
      </c>
      <c r="E1366" s="1" t="str">
        <f>IF(DATEDIF(Walmart[[#This Row],[Order Date]],Walmart[[#This Row],[Ship Date]],"D")&lt;7,"On time","Delayed")</f>
        <v>On time</v>
      </c>
      <c r="F1366" t="s">
        <v>1775</v>
      </c>
      <c r="G1366" t="s">
        <v>14</v>
      </c>
      <c r="H1366" t="s">
        <v>15</v>
      </c>
      <c r="I1366" t="s">
        <v>16</v>
      </c>
      <c r="J1366" t="s">
        <v>93</v>
      </c>
      <c r="K1366" t="s">
        <v>3140</v>
      </c>
      <c r="L1366">
        <v>12.96</v>
      </c>
      <c r="M1366">
        <v>2</v>
      </c>
      <c r="N1366" t="str">
        <f>IF(Walmart[[#This Row],[Quantity]]&gt;=7,"Bulk",IF(Walmart[[#This Row],[Quantity]]&gt;=2,"Multi","Single"))</f>
        <v>Multi</v>
      </c>
      <c r="O1366">
        <v>6.22</v>
      </c>
      <c r="P1366" t="str">
        <f>IF(Walmart[[#This Row],[Sales]]&gt;=1000,"High Value", IF(Walmart[[#This Row],[Sales]]&gt;=500,"Medium Value","Low Value"))</f>
        <v>Low Value</v>
      </c>
    </row>
    <row r="1367" spans="1:16" x14ac:dyDescent="0.3">
      <c r="A1367" t="s">
        <v>3132</v>
      </c>
      <c r="B1367" s="1">
        <v>41726</v>
      </c>
      <c r="C1367" s="1" t="str">
        <f>TEXT(Walmart[[#This Row],[Order Date]],"mmmm")</f>
        <v>March</v>
      </c>
      <c r="D1367" s="1">
        <v>41730</v>
      </c>
      <c r="E1367" s="1" t="str">
        <f>IF(DATEDIF(Walmart[[#This Row],[Order Date]],Walmart[[#This Row],[Ship Date]],"D")&lt;7,"On time","Delayed")</f>
        <v>On time</v>
      </c>
      <c r="F1367" t="s">
        <v>3133</v>
      </c>
      <c r="G1367" t="s">
        <v>14</v>
      </c>
      <c r="H1367" t="s">
        <v>613</v>
      </c>
      <c r="I1367" t="s">
        <v>16</v>
      </c>
      <c r="J1367" t="s">
        <v>93</v>
      </c>
      <c r="K1367" t="s">
        <v>1052</v>
      </c>
      <c r="L1367">
        <v>45.68</v>
      </c>
      <c r="M1367">
        <v>2</v>
      </c>
      <c r="N1367" t="str">
        <f>IF(Walmart[[#This Row],[Quantity]]&gt;=7,"Bulk",IF(Walmart[[#This Row],[Quantity]]&gt;=2,"Multi","Single"))</f>
        <v>Multi</v>
      </c>
      <c r="O1367">
        <v>21.01</v>
      </c>
      <c r="P1367" t="str">
        <f>IF(Walmart[[#This Row],[Sales]]&gt;=1000,"High Value", IF(Walmart[[#This Row],[Sales]]&gt;=500,"Medium Value","Low Value"))</f>
        <v>Low Value</v>
      </c>
    </row>
    <row r="1368" spans="1:16" x14ac:dyDescent="0.3">
      <c r="A1368" t="s">
        <v>1776</v>
      </c>
      <c r="B1368" s="1">
        <v>41725</v>
      </c>
      <c r="C1368" s="1" t="str">
        <f>TEXT(Walmart[[#This Row],[Order Date]],"mmmm")</f>
        <v>March</v>
      </c>
      <c r="D1368" s="1">
        <v>41727</v>
      </c>
      <c r="E1368" s="1" t="str">
        <f>IF(DATEDIF(Walmart[[#This Row],[Order Date]],Walmart[[#This Row],[Ship Date]],"D")&lt;7,"On time","Delayed")</f>
        <v>On time</v>
      </c>
      <c r="F1368" t="s">
        <v>1096</v>
      </c>
      <c r="G1368" t="s">
        <v>14</v>
      </c>
      <c r="H1368" t="s">
        <v>25</v>
      </c>
      <c r="I1368" t="s">
        <v>26</v>
      </c>
      <c r="J1368" t="s">
        <v>38</v>
      </c>
      <c r="K1368" t="s">
        <v>1777</v>
      </c>
      <c r="L1368">
        <v>19.829999999999998</v>
      </c>
      <c r="M1368">
        <v>1</v>
      </c>
      <c r="N1368" t="str">
        <f>IF(Walmart[[#This Row],[Quantity]]&gt;=7,"Bulk",IF(Walmart[[#This Row],[Quantity]]&gt;=2,"Multi","Single"))</f>
        <v>Single</v>
      </c>
      <c r="O1368">
        <v>5.95</v>
      </c>
      <c r="P1368" t="str">
        <f>IF(Walmart[[#This Row],[Sales]]&gt;=1000,"High Value", IF(Walmart[[#This Row],[Sales]]&gt;=500,"Medium Value","Low Value"))</f>
        <v>Low Value</v>
      </c>
    </row>
    <row r="1369" spans="1:16" hidden="1" x14ac:dyDescent="0.3">
      <c r="A1369" t="s">
        <v>3145</v>
      </c>
      <c r="B1369" s="1">
        <v>40679</v>
      </c>
      <c r="C1369" s="1" t="str">
        <f>TEXT(Walmart[[#This Row],[Order Date]],"mmmm")</f>
        <v>May</v>
      </c>
      <c r="D1369" s="1">
        <v>40683</v>
      </c>
      <c r="E1369" s="1" t="str">
        <f>IF(DATEDIF(Walmart[[#This Row],[Order Date]],Walmart[[#This Row],[Ship Date]],"D")&lt;7,"On time","Delayed")</f>
        <v>On time</v>
      </c>
      <c r="F1369" t="s">
        <v>2051</v>
      </c>
      <c r="G1369" t="s">
        <v>14</v>
      </c>
      <c r="H1369" t="s">
        <v>37</v>
      </c>
      <c r="I1369" t="s">
        <v>16</v>
      </c>
      <c r="J1369" t="s">
        <v>53</v>
      </c>
      <c r="K1369" t="s">
        <v>3146</v>
      </c>
      <c r="L1369">
        <v>56.4</v>
      </c>
      <c r="M1369">
        <v>3</v>
      </c>
      <c r="N1369" t="str">
        <f>IF(Walmart[[#This Row],[Quantity]]&gt;=7,"Bulk",IF(Walmart[[#This Row],[Quantity]]&gt;=2,"Multi","Single"))</f>
        <v>Multi</v>
      </c>
      <c r="O1369">
        <v>3.38</v>
      </c>
      <c r="P1369" t="str">
        <f>IF(Walmart[[#This Row],[Sales]]&gt;=1000,"High Value", IF(Walmart[[#This Row],[Sales]]&gt;=500,"Medium Value","Low Value"))</f>
        <v>Low Value</v>
      </c>
    </row>
    <row r="1370" spans="1:16" x14ac:dyDescent="0.3">
      <c r="A1370" t="s">
        <v>1142</v>
      </c>
      <c r="B1370" s="1">
        <v>41724</v>
      </c>
      <c r="C1370" s="1" t="str">
        <f>TEXT(Walmart[[#This Row],[Order Date]],"mmmm")</f>
        <v>March</v>
      </c>
      <c r="D1370" s="1">
        <v>41725</v>
      </c>
      <c r="E1370" s="1" t="str">
        <f>IF(DATEDIF(Walmart[[#This Row],[Order Date]],Walmart[[#This Row],[Ship Date]],"D")&lt;7,"On time","Delayed")</f>
        <v>On time</v>
      </c>
      <c r="F1370" t="s">
        <v>1143</v>
      </c>
      <c r="G1370" t="s">
        <v>14</v>
      </c>
      <c r="H1370" t="s">
        <v>613</v>
      </c>
      <c r="I1370" t="s">
        <v>16</v>
      </c>
      <c r="J1370" t="s">
        <v>105</v>
      </c>
      <c r="K1370" t="s">
        <v>1144</v>
      </c>
      <c r="L1370">
        <v>176.04</v>
      </c>
      <c r="M1370">
        <v>4</v>
      </c>
      <c r="N1370" t="str">
        <f>IF(Walmart[[#This Row],[Quantity]]&gt;=7,"Bulk",IF(Walmart[[#This Row],[Quantity]]&gt;=2,"Multi","Single"))</f>
        <v>Multi</v>
      </c>
      <c r="O1370">
        <v>45.77</v>
      </c>
      <c r="P1370" t="str">
        <f>IF(Walmart[[#This Row],[Sales]]&gt;=1000,"High Value", IF(Walmart[[#This Row],[Sales]]&gt;=500,"Medium Value","Low Value"))</f>
        <v>Low Value</v>
      </c>
    </row>
    <row r="1371" spans="1:16" hidden="1" x14ac:dyDescent="0.3">
      <c r="A1371" t="s">
        <v>3149</v>
      </c>
      <c r="B1371" s="1">
        <v>41248</v>
      </c>
      <c r="C1371" s="1" t="str">
        <f>TEXT(Walmart[[#This Row],[Order Date]],"mmmm")</f>
        <v>December</v>
      </c>
      <c r="D1371" s="1">
        <v>41253</v>
      </c>
      <c r="E1371" s="1" t="str">
        <f>IF(DATEDIF(Walmart[[#This Row],[Order Date]],Walmart[[#This Row],[Ship Date]],"D")&lt;7,"On time","Delayed")</f>
        <v>On time</v>
      </c>
      <c r="F1371" t="s">
        <v>585</v>
      </c>
      <c r="G1371" t="s">
        <v>14</v>
      </c>
      <c r="H1371" t="s">
        <v>15</v>
      </c>
      <c r="I1371" t="s">
        <v>16</v>
      </c>
      <c r="J1371" t="s">
        <v>53</v>
      </c>
      <c r="K1371" t="s">
        <v>1397</v>
      </c>
      <c r="L1371">
        <v>39</v>
      </c>
      <c r="M1371">
        <v>3</v>
      </c>
      <c r="N1371" t="str">
        <f>IF(Walmart[[#This Row],[Quantity]]&gt;=7,"Bulk",IF(Walmart[[#This Row],[Quantity]]&gt;=2,"Multi","Single"))</f>
        <v>Multi</v>
      </c>
      <c r="O1371">
        <v>17.55</v>
      </c>
      <c r="P1371" t="str">
        <f>IF(Walmart[[#This Row],[Sales]]&gt;=1000,"High Value", IF(Walmart[[#This Row],[Sales]]&gt;=500,"Medium Value","Low Value"))</f>
        <v>Low Value</v>
      </c>
    </row>
    <row r="1372" spans="1:16" hidden="1" x14ac:dyDescent="0.3">
      <c r="A1372" t="s">
        <v>3150</v>
      </c>
      <c r="B1372" s="1">
        <v>41163</v>
      </c>
      <c r="C1372" s="1" t="str">
        <f>TEXT(Walmart[[#This Row],[Order Date]],"mmmm")</f>
        <v>September</v>
      </c>
      <c r="D1372" s="1">
        <v>41164</v>
      </c>
      <c r="E1372" s="1" t="str">
        <f>IF(DATEDIF(Walmart[[#This Row],[Order Date]],Walmart[[#This Row],[Ship Date]],"D")&lt;7,"On time","Delayed")</f>
        <v>On time</v>
      </c>
      <c r="F1372" t="s">
        <v>585</v>
      </c>
      <c r="G1372" t="s">
        <v>14</v>
      </c>
      <c r="H1372" t="s">
        <v>76</v>
      </c>
      <c r="I1372" t="s">
        <v>77</v>
      </c>
      <c r="J1372" t="s">
        <v>21</v>
      </c>
      <c r="K1372" t="s">
        <v>3151</v>
      </c>
      <c r="L1372">
        <v>24.64</v>
      </c>
      <c r="M1372">
        <v>4</v>
      </c>
      <c r="N1372" t="str">
        <f>IF(Walmart[[#This Row],[Quantity]]&gt;=7,"Bulk",IF(Walmart[[#This Row],[Quantity]]&gt;=2,"Multi","Single"))</f>
        <v>Multi</v>
      </c>
      <c r="O1372">
        <v>4</v>
      </c>
      <c r="P1372" t="str">
        <f>IF(Walmart[[#This Row],[Sales]]&gt;=1000,"High Value", IF(Walmart[[#This Row],[Sales]]&gt;=500,"Medium Value","Low Value"))</f>
        <v>Low Value</v>
      </c>
    </row>
    <row r="1373" spans="1:16" hidden="1" x14ac:dyDescent="0.3">
      <c r="A1373" t="s">
        <v>3152</v>
      </c>
      <c r="B1373" s="1">
        <v>40805</v>
      </c>
      <c r="C1373" s="1" t="str">
        <f>TEXT(Walmart[[#This Row],[Order Date]],"mmmm")</f>
        <v>September</v>
      </c>
      <c r="D1373" s="1">
        <v>40805</v>
      </c>
      <c r="E1373" s="1" t="str">
        <f>IF(DATEDIF(Walmart[[#This Row],[Order Date]],Walmart[[#This Row],[Ship Date]],"D")&lt;7,"On time","Delayed")</f>
        <v>On time</v>
      </c>
      <c r="F1373" t="s">
        <v>1593</v>
      </c>
      <c r="G1373" t="s">
        <v>14</v>
      </c>
      <c r="H1373" t="s">
        <v>37</v>
      </c>
      <c r="I1373" t="s">
        <v>16</v>
      </c>
      <c r="J1373" t="s">
        <v>191</v>
      </c>
      <c r="K1373" t="s">
        <v>3153</v>
      </c>
      <c r="L1373">
        <v>5.67</v>
      </c>
      <c r="M1373">
        <v>3</v>
      </c>
      <c r="N1373" t="str">
        <f>IF(Walmart[[#This Row],[Quantity]]&gt;=7,"Bulk",IF(Walmart[[#This Row],[Quantity]]&gt;=2,"Multi","Single"))</f>
        <v>Multi</v>
      </c>
      <c r="O1373">
        <v>0.11</v>
      </c>
      <c r="P1373" t="str">
        <f>IF(Walmart[[#This Row],[Sales]]&gt;=1000,"High Value", IF(Walmart[[#This Row],[Sales]]&gt;=500,"Medium Value","Low Value"))</f>
        <v>Low Value</v>
      </c>
    </row>
    <row r="1374" spans="1:16" hidden="1" x14ac:dyDescent="0.3">
      <c r="A1374" t="s">
        <v>3154</v>
      </c>
      <c r="B1374" s="1">
        <v>40579</v>
      </c>
      <c r="C1374" s="1" t="str">
        <f>TEXT(Walmart[[#This Row],[Order Date]],"mmmm")</f>
        <v>February</v>
      </c>
      <c r="D1374" s="1">
        <v>40583</v>
      </c>
      <c r="E1374" s="1" t="str">
        <f>IF(DATEDIF(Walmart[[#This Row],[Order Date]],Walmart[[#This Row],[Ship Date]],"D")&lt;7,"On time","Delayed")</f>
        <v>On time</v>
      </c>
      <c r="F1374" t="s">
        <v>3155</v>
      </c>
      <c r="G1374" t="s">
        <v>14</v>
      </c>
      <c r="H1374" t="s">
        <v>589</v>
      </c>
      <c r="I1374" t="s">
        <v>16</v>
      </c>
      <c r="J1374" t="s">
        <v>27</v>
      </c>
      <c r="K1374" t="s">
        <v>847</v>
      </c>
      <c r="L1374">
        <v>17.25</v>
      </c>
      <c r="M1374">
        <v>2</v>
      </c>
      <c r="N1374" t="str">
        <f>IF(Walmart[[#This Row],[Quantity]]&gt;=7,"Bulk",IF(Walmart[[#This Row],[Quantity]]&gt;=2,"Multi","Single"))</f>
        <v>Multi</v>
      </c>
      <c r="O1374">
        <v>6.04</v>
      </c>
      <c r="P1374" t="str">
        <f>IF(Walmart[[#This Row],[Sales]]&gt;=1000,"High Value", IF(Walmart[[#This Row],[Sales]]&gt;=500,"Medium Value","Low Value"))</f>
        <v>Low Value</v>
      </c>
    </row>
    <row r="1375" spans="1:16" x14ac:dyDescent="0.3">
      <c r="A1375" t="s">
        <v>2010</v>
      </c>
      <c r="B1375" s="1">
        <v>41724</v>
      </c>
      <c r="C1375" s="1" t="str">
        <f>TEXT(Walmart[[#This Row],[Order Date]],"mmmm")</f>
        <v>March</v>
      </c>
      <c r="D1375" s="1">
        <v>41729</v>
      </c>
      <c r="E1375" s="1" t="str">
        <f>IF(DATEDIF(Walmart[[#This Row],[Order Date]],Walmart[[#This Row],[Ship Date]],"D")&lt;7,"On time","Delayed")</f>
        <v>On time</v>
      </c>
      <c r="F1375" t="s">
        <v>894</v>
      </c>
      <c r="G1375" t="s">
        <v>14</v>
      </c>
      <c r="H1375" t="s">
        <v>25</v>
      </c>
      <c r="I1375" t="s">
        <v>26</v>
      </c>
      <c r="J1375" t="s">
        <v>38</v>
      </c>
      <c r="K1375" t="s">
        <v>2011</v>
      </c>
      <c r="L1375">
        <v>23.1</v>
      </c>
      <c r="M1375">
        <v>2</v>
      </c>
      <c r="N1375" t="str">
        <f>IF(Walmart[[#This Row],[Quantity]]&gt;=7,"Bulk",IF(Walmart[[#This Row],[Quantity]]&gt;=2,"Multi","Single"))</f>
        <v>Multi</v>
      </c>
      <c r="O1375">
        <v>6.93</v>
      </c>
      <c r="P1375" t="str">
        <f>IF(Walmart[[#This Row],[Sales]]&gt;=1000,"High Value", IF(Walmart[[#This Row],[Sales]]&gt;=500,"Medium Value","Low Value"))</f>
        <v>Low Value</v>
      </c>
    </row>
    <row r="1376" spans="1:16" x14ac:dyDescent="0.3">
      <c r="A1376" t="s">
        <v>1154</v>
      </c>
      <c r="B1376" s="1">
        <v>41722</v>
      </c>
      <c r="C1376" s="1" t="str">
        <f>TEXT(Walmart[[#This Row],[Order Date]],"mmmm")</f>
        <v>March</v>
      </c>
      <c r="D1376" s="1">
        <v>41724</v>
      </c>
      <c r="E1376" s="1" t="str">
        <f>IF(DATEDIF(Walmart[[#This Row],[Order Date]],Walmart[[#This Row],[Ship Date]],"D")&lt;7,"On time","Delayed")</f>
        <v>On time</v>
      </c>
      <c r="F1376" t="s">
        <v>1155</v>
      </c>
      <c r="G1376" t="s">
        <v>14</v>
      </c>
      <c r="H1376" t="s">
        <v>37</v>
      </c>
      <c r="I1376" t="s">
        <v>16</v>
      </c>
      <c r="J1376" t="s">
        <v>21</v>
      </c>
      <c r="K1376" t="s">
        <v>1156</v>
      </c>
      <c r="L1376">
        <v>211.84</v>
      </c>
      <c r="M1376">
        <v>8</v>
      </c>
      <c r="N1376" t="str">
        <f>IF(Walmart[[#This Row],[Quantity]]&gt;=7,"Bulk",IF(Walmart[[#This Row],[Quantity]]&gt;=2,"Multi","Single"))</f>
        <v>Bulk</v>
      </c>
      <c r="O1376">
        <v>76.260000000000005</v>
      </c>
      <c r="P1376" t="str">
        <f>IF(Walmart[[#This Row],[Sales]]&gt;=1000,"High Value", IF(Walmart[[#This Row],[Sales]]&gt;=500,"Medium Value","Low Value"))</f>
        <v>Low Value</v>
      </c>
    </row>
    <row r="1377" spans="1:16" hidden="1" x14ac:dyDescent="0.3">
      <c r="A1377" t="s">
        <v>3160</v>
      </c>
      <c r="B1377" s="1">
        <v>41575</v>
      </c>
      <c r="C1377" s="1" t="str">
        <f>TEXT(Walmart[[#This Row],[Order Date]],"mmmm")</f>
        <v>October</v>
      </c>
      <c r="D1377" s="1">
        <v>41579</v>
      </c>
      <c r="E1377" s="1" t="str">
        <f>IF(DATEDIF(Walmart[[#This Row],[Order Date]],Walmart[[#This Row],[Ship Date]],"D")&lt;7,"On time","Delayed")</f>
        <v>On time</v>
      </c>
      <c r="F1377" t="s">
        <v>3161</v>
      </c>
      <c r="G1377" t="s">
        <v>14</v>
      </c>
      <c r="H1377" t="s">
        <v>37</v>
      </c>
      <c r="I1377" t="s">
        <v>16</v>
      </c>
      <c r="J1377" t="s">
        <v>27</v>
      </c>
      <c r="K1377" t="s">
        <v>3162</v>
      </c>
      <c r="L1377">
        <v>67.14</v>
      </c>
      <c r="M1377">
        <v>4</v>
      </c>
      <c r="N1377" t="str">
        <f>IF(Walmart[[#This Row],[Quantity]]&gt;=7,"Bulk",IF(Walmart[[#This Row],[Quantity]]&gt;=2,"Multi","Single"))</f>
        <v>Multi</v>
      </c>
      <c r="O1377">
        <v>25.18</v>
      </c>
      <c r="P1377" t="str">
        <f>IF(Walmart[[#This Row],[Sales]]&gt;=1000,"High Value", IF(Walmart[[#This Row],[Sales]]&gt;=500,"Medium Value","Low Value"))</f>
        <v>Low Value</v>
      </c>
    </row>
    <row r="1378" spans="1:16" hidden="1" x14ac:dyDescent="0.3">
      <c r="A1378" t="s">
        <v>3163</v>
      </c>
      <c r="B1378" s="1">
        <v>40873</v>
      </c>
      <c r="C1378" s="1" t="str">
        <f>TEXT(Walmart[[#This Row],[Order Date]],"mmmm")</f>
        <v>November</v>
      </c>
      <c r="D1378" s="1">
        <v>40878</v>
      </c>
      <c r="E1378" s="1" t="str">
        <f>IF(DATEDIF(Walmart[[#This Row],[Order Date]],Walmart[[#This Row],[Ship Date]],"D")&lt;7,"On time","Delayed")</f>
        <v>On time</v>
      </c>
      <c r="F1378" t="s">
        <v>2103</v>
      </c>
      <c r="G1378" t="s">
        <v>14</v>
      </c>
      <c r="H1378" t="s">
        <v>613</v>
      </c>
      <c r="I1378" t="s">
        <v>16</v>
      </c>
      <c r="J1378" t="s">
        <v>27</v>
      </c>
      <c r="K1378" t="s">
        <v>500</v>
      </c>
      <c r="L1378">
        <v>4.32</v>
      </c>
      <c r="M1378">
        <v>3</v>
      </c>
      <c r="N1378" t="str">
        <f>IF(Walmart[[#This Row],[Quantity]]&gt;=7,"Bulk",IF(Walmart[[#This Row],[Quantity]]&gt;=2,"Multi","Single"))</f>
        <v>Multi</v>
      </c>
      <c r="O1378">
        <v>1.51</v>
      </c>
      <c r="P1378" t="str">
        <f>IF(Walmart[[#This Row],[Sales]]&gt;=1000,"High Value", IF(Walmart[[#This Row],[Sales]]&gt;=500,"Medium Value","Low Value"))</f>
        <v>Low Value</v>
      </c>
    </row>
    <row r="1379" spans="1:16" hidden="1" x14ac:dyDescent="0.3">
      <c r="A1379" t="s">
        <v>3164</v>
      </c>
      <c r="B1379" s="1">
        <v>40908</v>
      </c>
      <c r="C1379" s="1" t="str">
        <f>TEXT(Walmart[[#This Row],[Order Date]],"mmmm")</f>
        <v>December</v>
      </c>
      <c r="D1379" s="1">
        <v>40908</v>
      </c>
      <c r="E1379" s="1" t="str">
        <f>IF(DATEDIF(Walmart[[#This Row],[Order Date]],Walmart[[#This Row],[Ship Date]],"D")&lt;7,"On time","Delayed")</f>
        <v>On time</v>
      </c>
      <c r="F1379" t="s">
        <v>2098</v>
      </c>
      <c r="G1379" t="s">
        <v>14</v>
      </c>
      <c r="H1379" t="s">
        <v>582</v>
      </c>
      <c r="I1379" t="s">
        <v>227</v>
      </c>
      <c r="J1379" t="s">
        <v>146</v>
      </c>
      <c r="K1379" t="s">
        <v>2771</v>
      </c>
      <c r="L1379">
        <v>475.94</v>
      </c>
      <c r="M1379">
        <v>7</v>
      </c>
      <c r="N1379" t="str">
        <f>IF(Walmart[[#This Row],[Quantity]]&gt;=7,"Bulk",IF(Walmart[[#This Row],[Quantity]]&gt;=2,"Multi","Single"))</f>
        <v>Bulk</v>
      </c>
      <c r="O1379">
        <v>59.49</v>
      </c>
      <c r="P1379" t="str">
        <f>IF(Walmart[[#This Row],[Sales]]&gt;=1000,"High Value", IF(Walmart[[#This Row],[Sales]]&gt;=500,"Medium Value","Low Value"))</f>
        <v>Low Value</v>
      </c>
    </row>
    <row r="1380" spans="1:16" x14ac:dyDescent="0.3">
      <c r="A1380" t="s">
        <v>2288</v>
      </c>
      <c r="B1380" s="1">
        <v>41722</v>
      </c>
      <c r="C1380" s="1" t="str">
        <f>TEXT(Walmart[[#This Row],[Order Date]],"mmmm")</f>
        <v>March</v>
      </c>
      <c r="D1380" s="1">
        <v>41725</v>
      </c>
      <c r="E1380" s="1" t="str">
        <f>IF(DATEDIF(Walmart[[#This Row],[Order Date]],Walmart[[#This Row],[Ship Date]],"D")&lt;7,"On time","Delayed")</f>
        <v>On time</v>
      </c>
      <c r="F1380" t="s">
        <v>1493</v>
      </c>
      <c r="G1380" t="s">
        <v>14</v>
      </c>
      <c r="H1380" t="s">
        <v>25</v>
      </c>
      <c r="I1380" t="s">
        <v>26</v>
      </c>
      <c r="J1380" t="s">
        <v>27</v>
      </c>
      <c r="K1380" t="s">
        <v>636</v>
      </c>
      <c r="L1380">
        <v>34.76</v>
      </c>
      <c r="M1380">
        <v>5</v>
      </c>
      <c r="N1380" t="str">
        <f>IF(Walmart[[#This Row],[Quantity]]&gt;=7,"Bulk",IF(Walmart[[#This Row],[Quantity]]&gt;=2,"Multi","Single"))</f>
        <v>Multi</v>
      </c>
      <c r="O1380">
        <v>11.3</v>
      </c>
      <c r="P1380" t="str">
        <f>IF(Walmart[[#This Row],[Sales]]&gt;=1000,"High Value", IF(Walmart[[#This Row],[Sales]]&gt;=500,"Medium Value","Low Value"))</f>
        <v>Low Value</v>
      </c>
    </row>
    <row r="1381" spans="1:16" hidden="1" x14ac:dyDescent="0.3">
      <c r="A1381" t="s">
        <v>3167</v>
      </c>
      <c r="B1381" s="1">
        <v>41302</v>
      </c>
      <c r="C1381" s="1" t="str">
        <f>TEXT(Walmart[[#This Row],[Order Date]],"mmmm")</f>
        <v>January</v>
      </c>
      <c r="D1381" s="1">
        <v>41306</v>
      </c>
      <c r="E1381" s="1" t="str">
        <f>IF(DATEDIF(Walmart[[#This Row],[Order Date]],Walmart[[#This Row],[Ship Date]],"D")&lt;7,"On time","Delayed")</f>
        <v>On time</v>
      </c>
      <c r="F1381" t="s">
        <v>644</v>
      </c>
      <c r="G1381" t="s">
        <v>14</v>
      </c>
      <c r="H1381" t="s">
        <v>15</v>
      </c>
      <c r="I1381" t="s">
        <v>16</v>
      </c>
      <c r="J1381" t="s">
        <v>38</v>
      </c>
      <c r="K1381" t="s">
        <v>3168</v>
      </c>
      <c r="L1381">
        <v>39.68</v>
      </c>
      <c r="M1381">
        <v>2</v>
      </c>
      <c r="N1381" t="str">
        <f>IF(Walmart[[#This Row],[Quantity]]&gt;=7,"Bulk",IF(Walmart[[#This Row],[Quantity]]&gt;=2,"Multi","Single"))</f>
        <v>Multi</v>
      </c>
      <c r="O1381">
        <v>10.32</v>
      </c>
      <c r="P1381" t="str">
        <f>IF(Walmart[[#This Row],[Sales]]&gt;=1000,"High Value", IF(Walmart[[#This Row],[Sales]]&gt;=500,"Medium Value","Low Value"))</f>
        <v>Low Value</v>
      </c>
    </row>
    <row r="1382" spans="1:16" hidden="1" x14ac:dyDescent="0.3">
      <c r="A1382" t="s">
        <v>3169</v>
      </c>
      <c r="B1382" s="1">
        <v>41588</v>
      </c>
      <c r="C1382" s="1" t="str">
        <f>TEXT(Walmart[[#This Row],[Order Date]],"mmmm")</f>
        <v>November</v>
      </c>
      <c r="D1382" s="1">
        <v>41593</v>
      </c>
      <c r="E1382" s="1" t="str">
        <f>IF(DATEDIF(Walmart[[#This Row],[Order Date]],Walmart[[#This Row],[Ship Date]],"D")&lt;7,"On time","Delayed")</f>
        <v>On time</v>
      </c>
      <c r="F1382" t="s">
        <v>520</v>
      </c>
      <c r="G1382" t="s">
        <v>14</v>
      </c>
      <c r="H1382" t="s">
        <v>556</v>
      </c>
      <c r="I1382" t="s">
        <v>16</v>
      </c>
      <c r="J1382" t="s">
        <v>53</v>
      </c>
      <c r="K1382" t="s">
        <v>3170</v>
      </c>
      <c r="L1382">
        <v>479.97</v>
      </c>
      <c r="M1382">
        <v>3</v>
      </c>
      <c r="N1382" t="str">
        <f>IF(Walmart[[#This Row],[Quantity]]&gt;=7,"Bulk",IF(Walmart[[#This Row],[Quantity]]&gt;=2,"Multi","Single"))</f>
        <v>Multi</v>
      </c>
      <c r="O1382">
        <v>177.59</v>
      </c>
      <c r="P1382" t="str">
        <f>IF(Walmart[[#This Row],[Sales]]&gt;=1000,"High Value", IF(Walmart[[#This Row],[Sales]]&gt;=500,"Medium Value","Low Value"))</f>
        <v>Low Value</v>
      </c>
    </row>
    <row r="1383" spans="1:16" hidden="1" x14ac:dyDescent="0.3">
      <c r="A1383" t="s">
        <v>3171</v>
      </c>
      <c r="B1383" s="1">
        <v>41528</v>
      </c>
      <c r="C1383" s="1" t="str">
        <f>TEXT(Walmart[[#This Row],[Order Date]],"mmmm")</f>
        <v>September</v>
      </c>
      <c r="D1383" s="1">
        <v>41532</v>
      </c>
      <c r="E1383" s="1" t="str">
        <f>IF(DATEDIF(Walmart[[#This Row],[Order Date]],Walmart[[#This Row],[Ship Date]],"D")&lt;7,"On time","Delayed")</f>
        <v>On time</v>
      </c>
      <c r="F1383" t="s">
        <v>3172</v>
      </c>
      <c r="G1383" t="s">
        <v>14</v>
      </c>
      <c r="H1383" t="s">
        <v>434</v>
      </c>
      <c r="I1383" t="s">
        <v>26</v>
      </c>
      <c r="J1383" t="s">
        <v>17</v>
      </c>
      <c r="K1383" t="s">
        <v>3173</v>
      </c>
      <c r="L1383">
        <v>7.38</v>
      </c>
      <c r="M1383">
        <v>2</v>
      </c>
      <c r="N1383" t="str">
        <f>IF(Walmart[[#This Row],[Quantity]]&gt;=7,"Bulk",IF(Walmart[[#This Row],[Quantity]]&gt;=2,"Multi","Single"))</f>
        <v>Multi</v>
      </c>
      <c r="O1383">
        <v>3.47</v>
      </c>
      <c r="P1383" t="str">
        <f>IF(Walmart[[#This Row],[Sales]]&gt;=1000,"High Value", IF(Walmart[[#This Row],[Sales]]&gt;=500,"Medium Value","Low Value"))</f>
        <v>Low Value</v>
      </c>
    </row>
    <row r="1384" spans="1:16" x14ac:dyDescent="0.3">
      <c r="A1384" t="s">
        <v>3053</v>
      </c>
      <c r="B1384" s="1">
        <v>41722</v>
      </c>
      <c r="C1384" s="1" t="str">
        <f>TEXT(Walmart[[#This Row],[Order Date]],"mmmm")</f>
        <v>March</v>
      </c>
      <c r="D1384" s="1">
        <v>41724</v>
      </c>
      <c r="E1384" s="1" t="str">
        <f>IF(DATEDIF(Walmart[[#This Row],[Order Date]],Walmart[[#This Row],[Ship Date]],"D")&lt;7,"On time","Delayed")</f>
        <v>On time</v>
      </c>
      <c r="F1384" t="s">
        <v>2786</v>
      </c>
      <c r="G1384" t="s">
        <v>14</v>
      </c>
      <c r="H1384" t="s">
        <v>25</v>
      </c>
      <c r="I1384" t="s">
        <v>26</v>
      </c>
      <c r="J1384" t="s">
        <v>33</v>
      </c>
      <c r="K1384" t="s">
        <v>3054</v>
      </c>
      <c r="L1384">
        <v>32.479999999999997</v>
      </c>
      <c r="M1384">
        <v>2</v>
      </c>
      <c r="N1384" t="str">
        <f>IF(Walmart[[#This Row],[Quantity]]&gt;=7,"Bulk",IF(Walmart[[#This Row],[Quantity]]&gt;=2,"Multi","Single"))</f>
        <v>Multi</v>
      </c>
      <c r="O1384">
        <v>4.87</v>
      </c>
      <c r="P1384" t="str">
        <f>IF(Walmart[[#This Row],[Sales]]&gt;=1000,"High Value", IF(Walmart[[#This Row],[Sales]]&gt;=500,"Medium Value","Low Value"))</f>
        <v>Low Value</v>
      </c>
    </row>
    <row r="1385" spans="1:16" hidden="1" x14ac:dyDescent="0.3">
      <c r="A1385" t="s">
        <v>3175</v>
      </c>
      <c r="B1385" s="1">
        <v>41606</v>
      </c>
      <c r="C1385" s="1" t="str">
        <f>TEXT(Walmart[[#This Row],[Order Date]],"mmmm")</f>
        <v>November</v>
      </c>
      <c r="D1385" s="1">
        <v>41610</v>
      </c>
      <c r="E1385" s="1" t="str">
        <f>IF(DATEDIF(Walmart[[#This Row],[Order Date]],Walmart[[#This Row],[Ship Date]],"D")&lt;7,"On time","Delayed")</f>
        <v>On time</v>
      </c>
      <c r="F1385" t="s">
        <v>3176</v>
      </c>
      <c r="G1385" t="s">
        <v>14</v>
      </c>
      <c r="H1385" t="s">
        <v>84</v>
      </c>
      <c r="I1385" t="s">
        <v>58</v>
      </c>
      <c r="J1385" t="s">
        <v>33</v>
      </c>
      <c r="K1385" t="s">
        <v>3087</v>
      </c>
      <c r="L1385">
        <v>39.81</v>
      </c>
      <c r="M1385">
        <v>4</v>
      </c>
      <c r="N1385" t="str">
        <f>IF(Walmart[[#This Row],[Quantity]]&gt;=7,"Bulk",IF(Walmart[[#This Row],[Quantity]]&gt;=2,"Multi","Single"))</f>
        <v>Multi</v>
      </c>
      <c r="O1385">
        <v>3.98</v>
      </c>
      <c r="P1385" t="str">
        <f>IF(Walmart[[#This Row],[Sales]]&gt;=1000,"High Value", IF(Walmart[[#This Row],[Sales]]&gt;=500,"Medium Value","Low Value"))</f>
        <v>Low Value</v>
      </c>
    </row>
    <row r="1386" spans="1:16" hidden="1" x14ac:dyDescent="0.3">
      <c r="A1386" t="s">
        <v>3177</v>
      </c>
      <c r="B1386" s="1">
        <v>41251</v>
      </c>
      <c r="C1386" s="1" t="str">
        <f>TEXT(Walmart[[#This Row],[Order Date]],"mmmm")</f>
        <v>December</v>
      </c>
      <c r="D1386" s="1">
        <v>41255</v>
      </c>
      <c r="E1386" s="1" t="str">
        <f>IF(DATEDIF(Walmart[[#This Row],[Order Date]],Walmart[[#This Row],[Ship Date]],"D")&lt;7,"On time","Delayed")</f>
        <v>On time</v>
      </c>
      <c r="F1386" t="s">
        <v>644</v>
      </c>
      <c r="G1386" t="s">
        <v>14</v>
      </c>
      <c r="H1386" t="s">
        <v>182</v>
      </c>
      <c r="I1386" t="s">
        <v>77</v>
      </c>
      <c r="J1386" t="s">
        <v>93</v>
      </c>
      <c r="K1386" t="s">
        <v>3178</v>
      </c>
      <c r="L1386">
        <v>15.7</v>
      </c>
      <c r="M1386">
        <v>3</v>
      </c>
      <c r="N1386" t="str">
        <f>IF(Walmart[[#This Row],[Quantity]]&gt;=7,"Bulk",IF(Walmart[[#This Row],[Quantity]]&gt;=2,"Multi","Single"))</f>
        <v>Multi</v>
      </c>
      <c r="O1386">
        <v>5.0999999999999996</v>
      </c>
      <c r="P1386" t="str">
        <f>IF(Walmart[[#This Row],[Sales]]&gt;=1000,"High Value", IF(Walmart[[#This Row],[Sales]]&gt;=500,"Medium Value","Low Value"))</f>
        <v>Low Value</v>
      </c>
    </row>
    <row r="1387" spans="1:16" x14ac:dyDescent="0.3">
      <c r="A1387" t="s">
        <v>2173</v>
      </c>
      <c r="B1387" s="1">
        <v>41720</v>
      </c>
      <c r="C1387" s="1" t="str">
        <f>TEXT(Walmart[[#This Row],[Order Date]],"mmmm")</f>
        <v>March</v>
      </c>
      <c r="D1387" s="1">
        <v>41722</v>
      </c>
      <c r="E1387" s="1" t="str">
        <f>IF(DATEDIF(Walmart[[#This Row],[Order Date]],Walmart[[#This Row],[Ship Date]],"D")&lt;7,"On time","Delayed")</f>
        <v>On time</v>
      </c>
      <c r="F1387" t="s">
        <v>843</v>
      </c>
      <c r="G1387" t="s">
        <v>14</v>
      </c>
      <c r="H1387" t="s">
        <v>15</v>
      </c>
      <c r="I1387" t="s">
        <v>16</v>
      </c>
      <c r="J1387" t="s">
        <v>33</v>
      </c>
      <c r="K1387" t="s">
        <v>168</v>
      </c>
      <c r="L1387">
        <v>725.84</v>
      </c>
      <c r="M1387">
        <v>4</v>
      </c>
      <c r="N1387" t="str">
        <f>IF(Walmart[[#This Row],[Quantity]]&gt;=7,"Bulk",IF(Walmart[[#This Row],[Quantity]]&gt;=2,"Multi","Single"))</f>
        <v>Multi</v>
      </c>
      <c r="O1387">
        <v>210.49</v>
      </c>
      <c r="P1387" t="str">
        <f>IF(Walmart[[#This Row],[Sales]]&gt;=1000,"High Value", IF(Walmart[[#This Row],[Sales]]&gt;=500,"Medium Value","Low Value"))</f>
        <v>Medium Value</v>
      </c>
    </row>
    <row r="1388" spans="1:16" x14ac:dyDescent="0.3">
      <c r="A1388" t="s">
        <v>3380</v>
      </c>
      <c r="B1388" s="1">
        <v>41720</v>
      </c>
      <c r="C1388" s="1" t="str">
        <f>TEXT(Walmart[[#This Row],[Order Date]],"mmmm")</f>
        <v>March</v>
      </c>
      <c r="D1388" s="1">
        <v>41724</v>
      </c>
      <c r="E1388" s="1" t="str">
        <f>IF(DATEDIF(Walmart[[#This Row],[Order Date]],Walmart[[#This Row],[Ship Date]],"D")&lt;7,"On time","Delayed")</f>
        <v>On time</v>
      </c>
      <c r="F1388" t="s">
        <v>2919</v>
      </c>
      <c r="G1388" t="s">
        <v>14</v>
      </c>
      <c r="H1388" t="s">
        <v>25</v>
      </c>
      <c r="I1388" t="s">
        <v>26</v>
      </c>
      <c r="J1388" t="s">
        <v>27</v>
      </c>
      <c r="K1388" t="s">
        <v>3381</v>
      </c>
      <c r="L1388">
        <v>30.58</v>
      </c>
      <c r="M1388">
        <v>6</v>
      </c>
      <c r="N1388" t="str">
        <f>IF(Walmart[[#This Row],[Quantity]]&gt;=7,"Bulk",IF(Walmart[[#This Row],[Quantity]]&gt;=2,"Multi","Single"))</f>
        <v>Multi</v>
      </c>
      <c r="O1388">
        <v>10.32</v>
      </c>
      <c r="P1388" t="str">
        <f>IF(Walmart[[#This Row],[Sales]]&gt;=1000,"High Value", IF(Walmart[[#This Row],[Sales]]&gt;=500,"Medium Value","Low Value"))</f>
        <v>Low Value</v>
      </c>
    </row>
    <row r="1389" spans="1:16" hidden="1" x14ac:dyDescent="0.3">
      <c r="A1389" t="s">
        <v>3182</v>
      </c>
      <c r="B1389" s="1">
        <v>41604</v>
      </c>
      <c r="C1389" s="1" t="str">
        <f>TEXT(Walmart[[#This Row],[Order Date]],"mmmm")</f>
        <v>November</v>
      </c>
      <c r="D1389" s="1">
        <v>41608</v>
      </c>
      <c r="E1389" s="1" t="str">
        <f>IF(DATEDIF(Walmart[[#This Row],[Order Date]],Walmart[[#This Row],[Ship Date]],"D")&lt;7,"On time","Delayed")</f>
        <v>On time</v>
      </c>
      <c r="F1389" t="s">
        <v>3183</v>
      </c>
      <c r="G1389" t="s">
        <v>14</v>
      </c>
      <c r="H1389" t="s">
        <v>15</v>
      </c>
      <c r="I1389" t="s">
        <v>16</v>
      </c>
      <c r="J1389" t="s">
        <v>88</v>
      </c>
      <c r="K1389" t="s">
        <v>3021</v>
      </c>
      <c r="L1389">
        <v>194.35</v>
      </c>
      <c r="M1389">
        <v>3</v>
      </c>
      <c r="N1389" t="str">
        <f>IF(Walmart[[#This Row],[Quantity]]&gt;=7,"Bulk",IF(Walmart[[#This Row],[Quantity]]&gt;=2,"Multi","Single"))</f>
        <v>Multi</v>
      </c>
      <c r="O1389">
        <v>19.440000000000001</v>
      </c>
      <c r="P1389" t="str">
        <f>IF(Walmart[[#This Row],[Sales]]&gt;=1000,"High Value", IF(Walmart[[#This Row],[Sales]]&gt;=500,"Medium Value","Low Value"))</f>
        <v>Low Value</v>
      </c>
    </row>
    <row r="1390" spans="1:16" hidden="1" x14ac:dyDescent="0.3">
      <c r="A1390" t="s">
        <v>3184</v>
      </c>
      <c r="B1390" s="1">
        <v>40799</v>
      </c>
      <c r="C1390" s="1" t="str">
        <f>TEXT(Walmart[[#This Row],[Order Date]],"mmmm")</f>
        <v>September</v>
      </c>
      <c r="D1390" s="1">
        <v>40799</v>
      </c>
      <c r="E1390" s="1" t="str">
        <f>IF(DATEDIF(Walmart[[#This Row],[Order Date]],Walmart[[#This Row],[Ship Date]],"D")&lt;7,"On time","Delayed")</f>
        <v>On time</v>
      </c>
      <c r="F1390" t="s">
        <v>3108</v>
      </c>
      <c r="G1390" t="s">
        <v>14</v>
      </c>
      <c r="H1390" t="s">
        <v>25</v>
      </c>
      <c r="I1390" t="s">
        <v>26</v>
      </c>
      <c r="J1390" t="s">
        <v>191</v>
      </c>
      <c r="K1390" t="s">
        <v>3185</v>
      </c>
      <c r="L1390">
        <v>5.7</v>
      </c>
      <c r="M1390">
        <v>5</v>
      </c>
      <c r="N1390" t="str">
        <f>IF(Walmart[[#This Row],[Quantity]]&gt;=7,"Bulk",IF(Walmart[[#This Row],[Quantity]]&gt;=2,"Multi","Single"))</f>
        <v>Multi</v>
      </c>
      <c r="O1390">
        <v>2.68</v>
      </c>
      <c r="P1390" t="str">
        <f>IF(Walmart[[#This Row],[Sales]]&gt;=1000,"High Value", IF(Walmart[[#This Row],[Sales]]&gt;=500,"Medium Value","Low Value"))</f>
        <v>Low Value</v>
      </c>
    </row>
    <row r="1391" spans="1:16" x14ac:dyDescent="0.3">
      <c r="A1391" t="s">
        <v>1120</v>
      </c>
      <c r="B1391" s="1">
        <v>41719</v>
      </c>
      <c r="C1391" s="1" t="str">
        <f>TEXT(Walmart[[#This Row],[Order Date]],"mmmm")</f>
        <v>March</v>
      </c>
      <c r="D1391" s="1">
        <v>41723</v>
      </c>
      <c r="E1391" s="1" t="str">
        <f>IF(DATEDIF(Walmart[[#This Row],[Order Date]],Walmart[[#This Row],[Ship Date]],"D")&lt;7,"On time","Delayed")</f>
        <v>On time</v>
      </c>
      <c r="F1391" t="s">
        <v>425</v>
      </c>
      <c r="G1391" t="s">
        <v>14</v>
      </c>
      <c r="H1391" t="s">
        <v>25</v>
      </c>
      <c r="I1391" t="s">
        <v>26</v>
      </c>
      <c r="J1391" t="s">
        <v>53</v>
      </c>
      <c r="K1391" t="s">
        <v>1121</v>
      </c>
      <c r="L1391">
        <v>265.93</v>
      </c>
      <c r="M1391">
        <v>7</v>
      </c>
      <c r="N1391" t="str">
        <f>IF(Walmart[[#This Row],[Quantity]]&gt;=7,"Bulk",IF(Walmart[[#This Row],[Quantity]]&gt;=2,"Multi","Single"))</f>
        <v>Bulk</v>
      </c>
      <c r="O1391">
        <v>63.82</v>
      </c>
      <c r="P1391" t="str">
        <f>IF(Walmart[[#This Row],[Sales]]&gt;=1000,"High Value", IF(Walmart[[#This Row],[Sales]]&gt;=500,"Medium Value","Low Value"))</f>
        <v>Low Value</v>
      </c>
    </row>
    <row r="1392" spans="1:16" hidden="1" x14ac:dyDescent="0.3">
      <c r="A1392" t="s">
        <v>3187</v>
      </c>
      <c r="B1392" s="1">
        <v>41596</v>
      </c>
      <c r="C1392" s="1" t="str">
        <f>TEXT(Walmart[[#This Row],[Order Date]],"mmmm")</f>
        <v>November</v>
      </c>
      <c r="D1392" s="1">
        <v>41597</v>
      </c>
      <c r="E1392" s="1" t="str">
        <f>IF(DATEDIF(Walmart[[#This Row],[Order Date]],Walmart[[#This Row],[Ship Date]],"D")&lt;7,"On time","Delayed")</f>
        <v>On time</v>
      </c>
      <c r="F1392" t="s">
        <v>1751</v>
      </c>
      <c r="G1392" t="s">
        <v>14</v>
      </c>
      <c r="H1392" t="s">
        <v>37</v>
      </c>
      <c r="I1392" t="s">
        <v>16</v>
      </c>
      <c r="J1392" t="s">
        <v>334</v>
      </c>
      <c r="K1392" t="s">
        <v>2889</v>
      </c>
      <c r="L1392">
        <v>49.5</v>
      </c>
      <c r="M1392">
        <v>5</v>
      </c>
      <c r="N1392" t="str">
        <f>IF(Walmart[[#This Row],[Quantity]]&gt;=7,"Bulk",IF(Walmart[[#This Row],[Quantity]]&gt;=2,"Multi","Single"))</f>
        <v>Multi</v>
      </c>
      <c r="O1392">
        <v>13.37</v>
      </c>
      <c r="P1392" t="str">
        <f>IF(Walmart[[#This Row],[Sales]]&gt;=1000,"High Value", IF(Walmart[[#This Row],[Sales]]&gt;=500,"Medium Value","Low Value"))</f>
        <v>Low Value</v>
      </c>
    </row>
    <row r="1393" spans="1:16" hidden="1" x14ac:dyDescent="0.3">
      <c r="A1393" t="s">
        <v>3188</v>
      </c>
      <c r="B1393" s="1">
        <v>41631</v>
      </c>
      <c r="C1393" s="1" t="str">
        <f>TEXT(Walmart[[#This Row],[Order Date]],"mmmm")</f>
        <v>December</v>
      </c>
      <c r="D1393" s="1">
        <v>41633</v>
      </c>
      <c r="E1393" s="1" t="str">
        <f>IF(DATEDIF(Walmart[[#This Row],[Order Date]],Walmart[[#This Row],[Ship Date]],"D")&lt;7,"On time","Delayed")</f>
        <v>On time</v>
      </c>
      <c r="F1393" t="s">
        <v>856</v>
      </c>
      <c r="G1393" t="s">
        <v>14</v>
      </c>
      <c r="H1393" t="s">
        <v>25</v>
      </c>
      <c r="I1393" t="s">
        <v>26</v>
      </c>
      <c r="J1393" t="s">
        <v>27</v>
      </c>
      <c r="K1393" t="s">
        <v>128</v>
      </c>
      <c r="L1393">
        <v>55.36</v>
      </c>
      <c r="M1393">
        <v>4</v>
      </c>
      <c r="N1393" t="str">
        <f>IF(Walmart[[#This Row],[Quantity]]&gt;=7,"Bulk",IF(Walmart[[#This Row],[Quantity]]&gt;=2,"Multi","Single"))</f>
        <v>Multi</v>
      </c>
      <c r="O1393">
        <v>19.38</v>
      </c>
      <c r="P1393" t="str">
        <f>IF(Walmart[[#This Row],[Sales]]&gt;=1000,"High Value", IF(Walmart[[#This Row],[Sales]]&gt;=500,"Medium Value","Low Value"))</f>
        <v>Low Value</v>
      </c>
    </row>
    <row r="1394" spans="1:16" hidden="1" x14ac:dyDescent="0.3">
      <c r="A1394" t="s">
        <v>3189</v>
      </c>
      <c r="B1394" s="1">
        <v>41263</v>
      </c>
      <c r="C1394" s="1" t="str">
        <f>TEXT(Walmart[[#This Row],[Order Date]],"mmmm")</f>
        <v>December</v>
      </c>
      <c r="D1394" s="1">
        <v>41268</v>
      </c>
      <c r="E1394" s="1" t="str">
        <f>IF(DATEDIF(Walmart[[#This Row],[Order Date]],Walmart[[#This Row],[Ship Date]],"D")&lt;7,"On time","Delayed")</f>
        <v>On time</v>
      </c>
      <c r="F1394" t="s">
        <v>2063</v>
      </c>
      <c r="G1394" t="s">
        <v>14</v>
      </c>
      <c r="H1394" t="s">
        <v>15</v>
      </c>
      <c r="I1394" t="s">
        <v>16</v>
      </c>
      <c r="J1394" t="s">
        <v>93</v>
      </c>
      <c r="K1394" t="s">
        <v>125</v>
      </c>
      <c r="L1394">
        <v>17.12</v>
      </c>
      <c r="M1394">
        <v>4</v>
      </c>
      <c r="N1394" t="str">
        <f>IF(Walmart[[#This Row],[Quantity]]&gt;=7,"Bulk",IF(Walmart[[#This Row],[Quantity]]&gt;=2,"Multi","Single"))</f>
        <v>Multi</v>
      </c>
      <c r="O1394">
        <v>7.7</v>
      </c>
      <c r="P1394" t="str">
        <f>IF(Walmart[[#This Row],[Sales]]&gt;=1000,"High Value", IF(Walmart[[#This Row],[Sales]]&gt;=500,"Medium Value","Low Value"))</f>
        <v>Low Value</v>
      </c>
    </row>
    <row r="1395" spans="1:16" x14ac:dyDescent="0.3">
      <c r="A1395" t="s">
        <v>1823</v>
      </c>
      <c r="B1395" s="1">
        <v>41718</v>
      </c>
      <c r="C1395" s="1" t="str">
        <f>TEXT(Walmart[[#This Row],[Order Date]],"mmmm")</f>
        <v>March</v>
      </c>
      <c r="D1395" s="1">
        <v>41721</v>
      </c>
      <c r="E1395" s="1" t="str">
        <f>IF(DATEDIF(Walmart[[#This Row],[Order Date]],Walmart[[#This Row],[Ship Date]],"D")&lt;7,"On time","Delayed")</f>
        <v>On time</v>
      </c>
      <c r="F1395" t="s">
        <v>1349</v>
      </c>
      <c r="G1395" t="s">
        <v>14</v>
      </c>
      <c r="H1395" t="s">
        <v>37</v>
      </c>
      <c r="I1395" t="s">
        <v>16</v>
      </c>
      <c r="J1395" t="s">
        <v>27</v>
      </c>
      <c r="K1395" t="s">
        <v>626</v>
      </c>
      <c r="L1395">
        <v>19.82</v>
      </c>
      <c r="M1395">
        <v>6</v>
      </c>
      <c r="N1395" t="str">
        <f>IF(Walmart[[#This Row],[Quantity]]&gt;=7,"Bulk",IF(Walmart[[#This Row],[Quantity]]&gt;=2,"Multi","Single"))</f>
        <v>Multi</v>
      </c>
      <c r="O1395">
        <v>6.69</v>
      </c>
      <c r="P1395" t="str">
        <f>IF(Walmart[[#This Row],[Sales]]&gt;=1000,"High Value", IF(Walmart[[#This Row],[Sales]]&gt;=500,"Medium Value","Low Value"))</f>
        <v>Low Value</v>
      </c>
    </row>
    <row r="1396" spans="1:16" hidden="1" x14ac:dyDescent="0.3">
      <c r="A1396" t="s">
        <v>3191</v>
      </c>
      <c r="B1396" s="1">
        <v>41625</v>
      </c>
      <c r="C1396" s="1" t="str">
        <f>TEXT(Walmart[[#This Row],[Order Date]],"mmmm")</f>
        <v>December</v>
      </c>
      <c r="D1396" s="1">
        <v>41632</v>
      </c>
      <c r="E1396" s="1" t="str">
        <f>IF(DATEDIF(Walmart[[#This Row],[Order Date]],Walmart[[#This Row],[Ship Date]],"D")&lt;7,"On time","Delayed")</f>
        <v>Delayed</v>
      </c>
      <c r="F1396" t="s">
        <v>257</v>
      </c>
      <c r="G1396" t="s">
        <v>14</v>
      </c>
      <c r="H1396" t="s">
        <v>160</v>
      </c>
      <c r="I1396" t="s">
        <v>16</v>
      </c>
      <c r="J1396" t="s">
        <v>53</v>
      </c>
      <c r="K1396" t="s">
        <v>266</v>
      </c>
      <c r="L1396">
        <v>21.21</v>
      </c>
      <c r="M1396">
        <v>7</v>
      </c>
      <c r="N1396" t="str">
        <f>IF(Walmart[[#This Row],[Quantity]]&gt;=7,"Bulk",IF(Walmart[[#This Row],[Quantity]]&gt;=2,"Multi","Single"))</f>
        <v>Bulk</v>
      </c>
      <c r="O1396">
        <v>4.45</v>
      </c>
      <c r="P1396" t="str">
        <f>IF(Walmart[[#This Row],[Sales]]&gt;=1000,"High Value", IF(Walmart[[#This Row],[Sales]]&gt;=500,"Medium Value","Low Value"))</f>
        <v>Low Value</v>
      </c>
    </row>
    <row r="1397" spans="1:16" hidden="1" x14ac:dyDescent="0.3">
      <c r="A1397" t="s">
        <v>3192</v>
      </c>
      <c r="B1397" s="1">
        <v>41452</v>
      </c>
      <c r="C1397" s="1" t="str">
        <f>TEXT(Walmart[[#This Row],[Order Date]],"mmmm")</f>
        <v>June</v>
      </c>
      <c r="D1397" s="1">
        <v>41452</v>
      </c>
      <c r="E1397" s="1" t="str">
        <f>IF(DATEDIF(Walmart[[#This Row],[Order Date]],Walmart[[#This Row],[Ship Date]],"D")&lt;7,"On time","Delayed")</f>
        <v>On time</v>
      </c>
      <c r="F1397" t="s">
        <v>899</v>
      </c>
      <c r="G1397" t="s">
        <v>14</v>
      </c>
      <c r="H1397" t="s">
        <v>15</v>
      </c>
      <c r="I1397" t="s">
        <v>16</v>
      </c>
      <c r="J1397" t="s">
        <v>334</v>
      </c>
      <c r="K1397" t="s">
        <v>3193</v>
      </c>
      <c r="L1397">
        <v>231.72</v>
      </c>
      <c r="M1397">
        <v>2</v>
      </c>
      <c r="N1397" t="str">
        <f>IF(Walmart[[#This Row],[Quantity]]&gt;=7,"Bulk",IF(Walmart[[#This Row],[Quantity]]&gt;=2,"Multi","Single"))</f>
        <v>Multi</v>
      </c>
      <c r="O1397">
        <v>11.59</v>
      </c>
      <c r="P1397" t="str">
        <f>IF(Walmart[[#This Row],[Sales]]&gt;=1000,"High Value", IF(Walmart[[#This Row],[Sales]]&gt;=500,"Medium Value","Low Value"))</f>
        <v>Low Value</v>
      </c>
    </row>
    <row r="1398" spans="1:16" hidden="1" x14ac:dyDescent="0.3">
      <c r="A1398" t="s">
        <v>3194</v>
      </c>
      <c r="B1398" s="1">
        <v>41572</v>
      </c>
      <c r="C1398" s="1" t="str">
        <f>TEXT(Walmart[[#This Row],[Order Date]],"mmmm")</f>
        <v>October</v>
      </c>
      <c r="D1398" s="1">
        <v>41576</v>
      </c>
      <c r="E1398" s="1" t="str">
        <f>IF(DATEDIF(Walmart[[#This Row],[Order Date]],Walmart[[#This Row],[Ship Date]],"D")&lt;7,"On time","Delayed")</f>
        <v>On time</v>
      </c>
      <c r="F1398" t="s">
        <v>856</v>
      </c>
      <c r="G1398" t="s">
        <v>14</v>
      </c>
      <c r="H1398" t="s">
        <v>37</v>
      </c>
      <c r="I1398" t="s">
        <v>16</v>
      </c>
      <c r="J1398" t="s">
        <v>53</v>
      </c>
      <c r="K1398" t="s">
        <v>3195</v>
      </c>
      <c r="L1398">
        <v>450</v>
      </c>
      <c r="M1398">
        <v>5</v>
      </c>
      <c r="N1398" t="str">
        <f>IF(Walmart[[#This Row],[Quantity]]&gt;=7,"Bulk",IF(Walmart[[#This Row],[Quantity]]&gt;=2,"Multi","Single"))</f>
        <v>Multi</v>
      </c>
      <c r="O1398">
        <v>162</v>
      </c>
      <c r="P1398" t="str">
        <f>IF(Walmart[[#This Row],[Sales]]&gt;=1000,"High Value", IF(Walmart[[#This Row],[Sales]]&gt;=500,"Medium Value","Low Value"))</f>
        <v>Low Value</v>
      </c>
    </row>
    <row r="1399" spans="1:16" x14ac:dyDescent="0.3">
      <c r="A1399" t="s">
        <v>2130</v>
      </c>
      <c r="B1399" s="1">
        <v>41718</v>
      </c>
      <c r="C1399" s="1" t="str">
        <f>TEXT(Walmart[[#This Row],[Order Date]],"mmmm")</f>
        <v>March</v>
      </c>
      <c r="D1399" s="1">
        <v>41721</v>
      </c>
      <c r="E1399" s="1" t="str">
        <f>IF(DATEDIF(Walmart[[#This Row],[Order Date]],Walmart[[#This Row],[Ship Date]],"D")&lt;7,"On time","Delayed")</f>
        <v>On time</v>
      </c>
      <c r="F1399" t="s">
        <v>884</v>
      </c>
      <c r="G1399" t="s">
        <v>14</v>
      </c>
      <c r="H1399" t="s">
        <v>613</v>
      </c>
      <c r="I1399" t="s">
        <v>16</v>
      </c>
      <c r="J1399" t="s">
        <v>27</v>
      </c>
      <c r="K1399" t="s">
        <v>2131</v>
      </c>
      <c r="L1399">
        <v>14.62</v>
      </c>
      <c r="M1399">
        <v>2</v>
      </c>
      <c r="N1399" t="str">
        <f>IF(Walmart[[#This Row],[Quantity]]&gt;=7,"Bulk",IF(Walmart[[#This Row],[Quantity]]&gt;=2,"Multi","Single"))</f>
        <v>Multi</v>
      </c>
      <c r="O1399">
        <v>5.12</v>
      </c>
      <c r="P1399" t="str">
        <f>IF(Walmart[[#This Row],[Sales]]&gt;=1000,"High Value", IF(Walmart[[#This Row],[Sales]]&gt;=500,"Medium Value","Low Value"))</f>
        <v>Low Value</v>
      </c>
    </row>
    <row r="1400" spans="1:16" hidden="1" x14ac:dyDescent="0.3">
      <c r="A1400" t="s">
        <v>3197</v>
      </c>
      <c r="B1400" s="1">
        <v>40817</v>
      </c>
      <c r="C1400" s="1" t="str">
        <f>TEXT(Walmart[[#This Row],[Order Date]],"mmmm")</f>
        <v>October</v>
      </c>
      <c r="D1400" s="1">
        <v>40821</v>
      </c>
      <c r="E1400" s="1" t="str">
        <f>IF(DATEDIF(Walmart[[#This Row],[Order Date]],Walmart[[#This Row],[Ship Date]],"D")&lt;7,"On time","Delayed")</f>
        <v>On time</v>
      </c>
      <c r="F1400" t="s">
        <v>3198</v>
      </c>
      <c r="G1400" t="s">
        <v>14</v>
      </c>
      <c r="H1400" t="s">
        <v>582</v>
      </c>
      <c r="I1400" t="s">
        <v>227</v>
      </c>
      <c r="J1400" t="s">
        <v>191</v>
      </c>
      <c r="K1400" t="s">
        <v>3199</v>
      </c>
      <c r="L1400">
        <v>4.71</v>
      </c>
      <c r="M1400">
        <v>1</v>
      </c>
      <c r="N1400" t="str">
        <f>IF(Walmart[[#This Row],[Quantity]]&gt;=7,"Bulk",IF(Walmart[[#This Row],[Quantity]]&gt;=2,"Multi","Single"))</f>
        <v>Single</v>
      </c>
      <c r="O1400">
        <v>0</v>
      </c>
      <c r="P1400" t="str">
        <f>IF(Walmart[[#This Row],[Sales]]&gt;=1000,"High Value", IF(Walmart[[#This Row],[Sales]]&gt;=500,"Medium Value","Low Value"))</f>
        <v>Low Value</v>
      </c>
    </row>
    <row r="1401" spans="1:16" hidden="1" x14ac:dyDescent="0.3">
      <c r="A1401" t="s">
        <v>3200</v>
      </c>
      <c r="B1401" s="1">
        <v>40863</v>
      </c>
      <c r="C1401" s="1" t="str">
        <f>TEXT(Walmart[[#This Row],[Order Date]],"mmmm")</f>
        <v>November</v>
      </c>
      <c r="D1401" s="1">
        <v>40865</v>
      </c>
      <c r="E1401" s="1" t="str">
        <f>IF(DATEDIF(Walmart[[#This Row],[Order Date]],Walmart[[#This Row],[Ship Date]],"D")&lt;7,"On time","Delayed")</f>
        <v>On time</v>
      </c>
      <c r="F1401" t="s">
        <v>2355</v>
      </c>
      <c r="G1401" t="s">
        <v>14</v>
      </c>
      <c r="H1401" t="s">
        <v>15</v>
      </c>
      <c r="I1401" t="s">
        <v>16</v>
      </c>
      <c r="J1401" t="s">
        <v>146</v>
      </c>
      <c r="K1401" t="s">
        <v>3201</v>
      </c>
      <c r="L1401">
        <v>79.97</v>
      </c>
      <c r="M1401">
        <v>4</v>
      </c>
      <c r="N1401" t="str">
        <f>IF(Walmart[[#This Row],[Quantity]]&gt;=7,"Bulk",IF(Walmart[[#This Row],[Quantity]]&gt;=2,"Multi","Single"))</f>
        <v>Multi</v>
      </c>
      <c r="O1401">
        <v>-17.989999999999998</v>
      </c>
      <c r="P1401" t="str">
        <f>IF(Walmart[[#This Row],[Sales]]&gt;=1000,"High Value", IF(Walmart[[#This Row],[Sales]]&gt;=500,"Medium Value","Low Value"))</f>
        <v>Low Value</v>
      </c>
    </row>
    <row r="1402" spans="1:16" hidden="1" x14ac:dyDescent="0.3">
      <c r="A1402" t="s">
        <v>3202</v>
      </c>
      <c r="B1402" s="1">
        <v>40605</v>
      </c>
      <c r="C1402" s="1" t="str">
        <f>TEXT(Walmart[[#This Row],[Order Date]],"mmmm")</f>
        <v>March</v>
      </c>
      <c r="D1402" s="1">
        <v>40609</v>
      </c>
      <c r="E1402" s="1" t="str">
        <f>IF(DATEDIF(Walmart[[#This Row],[Order Date]],Walmart[[#This Row],[Ship Date]],"D")&lt;7,"On time","Delayed")</f>
        <v>On time</v>
      </c>
      <c r="F1402" t="s">
        <v>2144</v>
      </c>
      <c r="G1402" t="s">
        <v>14</v>
      </c>
      <c r="H1402" t="s">
        <v>160</v>
      </c>
      <c r="I1402" t="s">
        <v>16</v>
      </c>
      <c r="J1402" t="s">
        <v>43</v>
      </c>
      <c r="K1402" t="s">
        <v>1944</v>
      </c>
      <c r="L1402">
        <v>626.35</v>
      </c>
      <c r="M1402">
        <v>3</v>
      </c>
      <c r="N1402" t="str">
        <f>IF(Walmart[[#This Row],[Quantity]]&gt;=7,"Bulk",IF(Walmart[[#This Row],[Quantity]]&gt;=2,"Multi","Single"))</f>
        <v>Multi</v>
      </c>
      <c r="O1402">
        <v>-23.49</v>
      </c>
      <c r="P1402" t="str">
        <f>IF(Walmart[[#This Row],[Sales]]&gt;=1000,"High Value", IF(Walmart[[#This Row],[Sales]]&gt;=500,"Medium Value","Low Value"))</f>
        <v>Medium Value</v>
      </c>
    </row>
    <row r="1403" spans="1:16" hidden="1" x14ac:dyDescent="0.3">
      <c r="A1403" t="s">
        <v>3203</v>
      </c>
      <c r="B1403" s="1">
        <v>41246</v>
      </c>
      <c r="C1403" s="1" t="str">
        <f>TEXT(Walmart[[#This Row],[Order Date]],"mmmm")</f>
        <v>December</v>
      </c>
      <c r="D1403" s="1">
        <v>41250</v>
      </c>
      <c r="E1403" s="1" t="str">
        <f>IF(DATEDIF(Walmart[[#This Row],[Order Date]],Walmart[[#This Row],[Ship Date]],"D")&lt;7,"On time","Delayed")</f>
        <v>On time</v>
      </c>
      <c r="F1403" t="s">
        <v>1181</v>
      </c>
      <c r="G1403" t="s">
        <v>14</v>
      </c>
      <c r="H1403" t="s">
        <v>37</v>
      </c>
      <c r="I1403" t="s">
        <v>16</v>
      </c>
      <c r="J1403" t="s">
        <v>671</v>
      </c>
      <c r="K1403" t="s">
        <v>2077</v>
      </c>
      <c r="L1403">
        <v>359.5</v>
      </c>
      <c r="M1403">
        <v>3</v>
      </c>
      <c r="N1403" t="str">
        <f>IF(Walmart[[#This Row],[Quantity]]&gt;=7,"Bulk",IF(Walmart[[#This Row],[Quantity]]&gt;=2,"Multi","Single"))</f>
        <v>Multi</v>
      </c>
      <c r="O1403">
        <v>-29.61</v>
      </c>
      <c r="P1403" t="str">
        <f>IF(Walmart[[#This Row],[Sales]]&gt;=1000,"High Value", IF(Walmart[[#This Row],[Sales]]&gt;=500,"Medium Value","Low Value"))</f>
        <v>Low Value</v>
      </c>
    </row>
    <row r="1404" spans="1:16" x14ac:dyDescent="0.3">
      <c r="A1404" t="s">
        <v>3338</v>
      </c>
      <c r="B1404" s="1">
        <v>41718</v>
      </c>
      <c r="C1404" s="1" t="str">
        <f>TEXT(Walmart[[#This Row],[Order Date]],"mmmm")</f>
        <v>March</v>
      </c>
      <c r="D1404" s="1">
        <v>41723</v>
      </c>
      <c r="E1404" s="1" t="str">
        <f>IF(DATEDIF(Walmart[[#This Row],[Order Date]],Walmart[[#This Row],[Ship Date]],"D")&lt;7,"On time","Delayed")</f>
        <v>On time</v>
      </c>
      <c r="F1404" t="s">
        <v>2802</v>
      </c>
      <c r="G1404" t="s">
        <v>14</v>
      </c>
      <c r="H1404" t="s">
        <v>15</v>
      </c>
      <c r="I1404" t="s">
        <v>16</v>
      </c>
      <c r="J1404" t="s">
        <v>105</v>
      </c>
      <c r="K1404" t="s">
        <v>3339</v>
      </c>
      <c r="L1404">
        <v>381.36</v>
      </c>
      <c r="M1404">
        <v>7</v>
      </c>
      <c r="N1404" t="str">
        <f>IF(Walmart[[#This Row],[Quantity]]&gt;=7,"Bulk",IF(Walmart[[#This Row],[Quantity]]&gt;=2,"Multi","Single"))</f>
        <v>Bulk</v>
      </c>
      <c r="O1404">
        <v>106.78</v>
      </c>
      <c r="P1404" t="str">
        <f>IF(Walmart[[#This Row],[Sales]]&gt;=1000,"High Value", IF(Walmart[[#This Row],[Sales]]&gt;=500,"Medium Value","Low Value"))</f>
        <v>Low Value</v>
      </c>
    </row>
    <row r="1405" spans="1:16" x14ac:dyDescent="0.3">
      <c r="A1405" t="s">
        <v>3206</v>
      </c>
      <c r="B1405" s="1">
        <v>41717</v>
      </c>
      <c r="C1405" s="1" t="str">
        <f>TEXT(Walmart[[#This Row],[Order Date]],"mmmm")</f>
        <v>March</v>
      </c>
      <c r="D1405" s="1">
        <v>41722</v>
      </c>
      <c r="E1405" s="1" t="str">
        <f>IF(DATEDIF(Walmart[[#This Row],[Order Date]],Walmart[[#This Row],[Ship Date]],"D")&lt;7,"On time","Delayed")</f>
        <v>On time</v>
      </c>
      <c r="F1405" t="s">
        <v>1363</v>
      </c>
      <c r="G1405" t="s">
        <v>14</v>
      </c>
      <c r="H1405" t="s">
        <v>25</v>
      </c>
      <c r="I1405" t="s">
        <v>26</v>
      </c>
      <c r="J1405" t="s">
        <v>38</v>
      </c>
      <c r="K1405" t="s">
        <v>3207</v>
      </c>
      <c r="L1405">
        <v>46.2</v>
      </c>
      <c r="M1405">
        <v>4</v>
      </c>
      <c r="N1405" t="str">
        <f>IF(Walmart[[#This Row],[Quantity]]&gt;=7,"Bulk",IF(Walmart[[#This Row],[Quantity]]&gt;=2,"Multi","Single"))</f>
        <v>Multi</v>
      </c>
      <c r="O1405">
        <v>21.25</v>
      </c>
      <c r="P1405" t="str">
        <f>IF(Walmart[[#This Row],[Sales]]&gt;=1000,"High Value", IF(Walmart[[#This Row],[Sales]]&gt;=500,"Medium Value","Low Value"))</f>
        <v>Low Value</v>
      </c>
    </row>
    <row r="1406" spans="1:16" x14ac:dyDescent="0.3">
      <c r="A1406" t="s">
        <v>3271</v>
      </c>
      <c r="B1406" s="1">
        <v>41717</v>
      </c>
      <c r="C1406" s="1" t="str">
        <f>TEXT(Walmart[[#This Row],[Order Date]],"mmmm")</f>
        <v>March</v>
      </c>
      <c r="D1406" s="1">
        <v>41721</v>
      </c>
      <c r="E1406" s="1" t="str">
        <f>IF(DATEDIF(Walmart[[#This Row],[Order Date]],Walmart[[#This Row],[Ship Date]],"D")&lt;7,"On time","Delayed")</f>
        <v>On time</v>
      </c>
      <c r="F1406" t="s">
        <v>3272</v>
      </c>
      <c r="G1406" t="s">
        <v>14</v>
      </c>
      <c r="H1406" t="s">
        <v>15</v>
      </c>
      <c r="I1406" t="s">
        <v>16</v>
      </c>
      <c r="J1406" t="s">
        <v>38</v>
      </c>
      <c r="K1406" t="s">
        <v>1288</v>
      </c>
      <c r="L1406">
        <v>13.9</v>
      </c>
      <c r="M1406">
        <v>5</v>
      </c>
      <c r="N1406" t="str">
        <f>IF(Walmart[[#This Row],[Quantity]]&gt;=7,"Bulk",IF(Walmart[[#This Row],[Quantity]]&gt;=2,"Multi","Single"))</f>
        <v>Multi</v>
      </c>
      <c r="O1406">
        <v>3.75</v>
      </c>
      <c r="P1406" t="str">
        <f>IF(Walmart[[#This Row],[Sales]]&gt;=1000,"High Value", IF(Walmart[[#This Row],[Sales]]&gt;=500,"Medium Value","Low Value"))</f>
        <v>Low Value</v>
      </c>
    </row>
    <row r="1407" spans="1:16" hidden="1" x14ac:dyDescent="0.3">
      <c r="A1407" t="s">
        <v>3210</v>
      </c>
      <c r="B1407" s="1">
        <v>41184</v>
      </c>
      <c r="C1407" s="1" t="str">
        <f>TEXT(Walmart[[#This Row],[Order Date]],"mmmm")</f>
        <v>October</v>
      </c>
      <c r="D1407" s="1">
        <v>41186</v>
      </c>
      <c r="E1407" s="1" t="str">
        <f>IF(DATEDIF(Walmart[[#This Row],[Order Date]],Walmart[[#This Row],[Ship Date]],"D")&lt;7,"On time","Delayed")</f>
        <v>On time</v>
      </c>
      <c r="F1407" t="s">
        <v>2247</v>
      </c>
      <c r="G1407" t="s">
        <v>14</v>
      </c>
      <c r="H1407" t="s">
        <v>2824</v>
      </c>
      <c r="I1407" t="s">
        <v>69</v>
      </c>
      <c r="J1407" t="s">
        <v>21</v>
      </c>
      <c r="K1407" t="s">
        <v>1336</v>
      </c>
      <c r="L1407">
        <v>11.03</v>
      </c>
      <c r="M1407">
        <v>1</v>
      </c>
      <c r="N1407" t="str">
        <f>IF(Walmart[[#This Row],[Quantity]]&gt;=7,"Bulk",IF(Walmart[[#This Row],[Quantity]]&gt;=2,"Multi","Single"))</f>
        <v>Single</v>
      </c>
      <c r="O1407">
        <v>3.03</v>
      </c>
      <c r="P1407" t="str">
        <f>IF(Walmart[[#This Row],[Sales]]&gt;=1000,"High Value", IF(Walmart[[#This Row],[Sales]]&gt;=500,"Medium Value","Low Value"))</f>
        <v>Low Value</v>
      </c>
    </row>
    <row r="1408" spans="1:16" x14ac:dyDescent="0.3">
      <c r="A1408" t="s">
        <v>3304</v>
      </c>
      <c r="B1408" s="1">
        <v>41717</v>
      </c>
      <c r="C1408" s="1" t="str">
        <f>TEXT(Walmart[[#This Row],[Order Date]],"mmmm")</f>
        <v>March</v>
      </c>
      <c r="D1408" s="1">
        <v>41719</v>
      </c>
      <c r="E1408" s="1" t="str">
        <f>IF(DATEDIF(Walmart[[#This Row],[Order Date]],Walmart[[#This Row],[Ship Date]],"D")&lt;7,"On time","Delayed")</f>
        <v>On time</v>
      </c>
      <c r="F1408" t="s">
        <v>3305</v>
      </c>
      <c r="G1408" t="s">
        <v>14</v>
      </c>
      <c r="H1408" t="s">
        <v>15</v>
      </c>
      <c r="I1408" t="s">
        <v>16</v>
      </c>
      <c r="J1408" t="s">
        <v>105</v>
      </c>
      <c r="K1408" t="s">
        <v>3306</v>
      </c>
      <c r="L1408">
        <v>90.86</v>
      </c>
      <c r="M1408">
        <v>7</v>
      </c>
      <c r="N1408" t="str">
        <f>IF(Walmart[[#This Row],[Quantity]]&gt;=7,"Bulk",IF(Walmart[[#This Row],[Quantity]]&gt;=2,"Multi","Single"))</f>
        <v>Bulk</v>
      </c>
      <c r="O1408">
        <v>26.35</v>
      </c>
      <c r="P1408" t="str">
        <f>IF(Walmart[[#This Row],[Sales]]&gt;=1000,"High Value", IF(Walmart[[#This Row],[Sales]]&gt;=500,"Medium Value","Low Value"))</f>
        <v>Low Value</v>
      </c>
    </row>
    <row r="1409" spans="1:16" hidden="1" x14ac:dyDescent="0.3">
      <c r="A1409" t="s">
        <v>3213</v>
      </c>
      <c r="B1409" s="1">
        <v>41638</v>
      </c>
      <c r="C1409" s="1" t="str">
        <f>TEXT(Walmart[[#This Row],[Order Date]],"mmmm")</f>
        <v>December</v>
      </c>
      <c r="D1409" s="1">
        <v>41642</v>
      </c>
      <c r="E1409" s="1" t="str">
        <f>IF(DATEDIF(Walmart[[#This Row],[Order Date]],Walmart[[#This Row],[Ship Date]],"D")&lt;7,"On time","Delayed")</f>
        <v>On time</v>
      </c>
      <c r="F1409" t="s">
        <v>3214</v>
      </c>
      <c r="G1409" t="s">
        <v>14</v>
      </c>
      <c r="H1409" t="s">
        <v>1136</v>
      </c>
      <c r="I1409" t="s">
        <v>16</v>
      </c>
      <c r="J1409" t="s">
        <v>33</v>
      </c>
      <c r="K1409" t="s">
        <v>3215</v>
      </c>
      <c r="L1409">
        <v>14.03</v>
      </c>
      <c r="M1409">
        <v>1</v>
      </c>
      <c r="N1409" t="str">
        <f>IF(Walmart[[#This Row],[Quantity]]&gt;=7,"Bulk",IF(Walmart[[#This Row],[Quantity]]&gt;=2,"Multi","Single"))</f>
        <v>Single</v>
      </c>
      <c r="O1409">
        <v>4.07</v>
      </c>
      <c r="P1409" t="str">
        <f>IF(Walmart[[#This Row],[Sales]]&gt;=1000,"High Value", IF(Walmart[[#This Row],[Sales]]&gt;=500,"Medium Value","Low Value"))</f>
        <v>Low Value</v>
      </c>
    </row>
    <row r="1410" spans="1:16" hidden="1" x14ac:dyDescent="0.3">
      <c r="A1410" t="s">
        <v>3216</v>
      </c>
      <c r="B1410" s="1">
        <v>41530</v>
      </c>
      <c r="C1410" s="1" t="str">
        <f>TEXT(Walmart[[#This Row],[Order Date]],"mmmm")</f>
        <v>September</v>
      </c>
      <c r="D1410" s="1">
        <v>41531</v>
      </c>
      <c r="E1410" s="1" t="str">
        <f>IF(DATEDIF(Walmart[[#This Row],[Order Date]],Walmart[[#This Row],[Ship Date]],"D")&lt;7,"On time","Delayed")</f>
        <v>On time</v>
      </c>
      <c r="F1410" t="s">
        <v>1400</v>
      </c>
      <c r="G1410" t="s">
        <v>14</v>
      </c>
      <c r="H1410" t="s">
        <v>247</v>
      </c>
      <c r="I1410" t="s">
        <v>77</v>
      </c>
      <c r="J1410" t="s">
        <v>146</v>
      </c>
      <c r="K1410" t="s">
        <v>3217</v>
      </c>
      <c r="L1410">
        <v>146.94999999999999</v>
      </c>
      <c r="M1410">
        <v>3</v>
      </c>
      <c r="N1410" t="str">
        <f>IF(Walmart[[#This Row],[Quantity]]&gt;=7,"Bulk",IF(Walmart[[#This Row],[Quantity]]&gt;=2,"Multi","Single"))</f>
        <v>Multi</v>
      </c>
      <c r="O1410">
        <v>9.18</v>
      </c>
      <c r="P1410" t="str">
        <f>IF(Walmart[[#This Row],[Sales]]&gt;=1000,"High Value", IF(Walmart[[#This Row],[Sales]]&gt;=500,"Medium Value","Low Value"))</f>
        <v>Low Value</v>
      </c>
    </row>
    <row r="1411" spans="1:16" hidden="1" x14ac:dyDescent="0.3">
      <c r="A1411" t="s">
        <v>3218</v>
      </c>
      <c r="B1411" s="1">
        <v>40988</v>
      </c>
      <c r="C1411" s="1" t="str">
        <f>TEXT(Walmart[[#This Row],[Order Date]],"mmmm")</f>
        <v>March</v>
      </c>
      <c r="D1411" s="1">
        <v>40990</v>
      </c>
      <c r="E1411" s="1" t="str">
        <f>IF(DATEDIF(Walmart[[#This Row],[Order Date]],Walmart[[#This Row],[Ship Date]],"D")&lt;7,"On time","Delayed")</f>
        <v>On time</v>
      </c>
      <c r="F1411" t="s">
        <v>2690</v>
      </c>
      <c r="G1411" t="s">
        <v>14</v>
      </c>
      <c r="H1411" t="s">
        <v>341</v>
      </c>
      <c r="I1411" t="s">
        <v>69</v>
      </c>
      <c r="J1411" t="s">
        <v>33</v>
      </c>
      <c r="K1411" t="s">
        <v>3219</v>
      </c>
      <c r="L1411">
        <v>29.3</v>
      </c>
      <c r="M1411">
        <v>3</v>
      </c>
      <c r="N1411" t="str">
        <f>IF(Walmart[[#This Row],[Quantity]]&gt;=7,"Bulk",IF(Walmart[[#This Row],[Quantity]]&gt;=2,"Multi","Single"))</f>
        <v>Multi</v>
      </c>
      <c r="O1411">
        <v>2.56</v>
      </c>
      <c r="P1411" t="str">
        <f>IF(Walmart[[#This Row],[Sales]]&gt;=1000,"High Value", IF(Walmart[[#This Row],[Sales]]&gt;=500,"Medium Value","Low Value"))</f>
        <v>Low Value</v>
      </c>
    </row>
    <row r="1412" spans="1:16" hidden="1" x14ac:dyDescent="0.3">
      <c r="A1412" t="s">
        <v>3220</v>
      </c>
      <c r="B1412" s="1">
        <v>41533</v>
      </c>
      <c r="C1412" s="1" t="str">
        <f>TEXT(Walmart[[#This Row],[Order Date]],"mmmm")</f>
        <v>September</v>
      </c>
      <c r="D1412" s="1">
        <v>41538</v>
      </c>
      <c r="E1412" s="1" t="str">
        <f>IF(DATEDIF(Walmart[[#This Row],[Order Date]],Walmart[[#This Row],[Ship Date]],"D")&lt;7,"On time","Delayed")</f>
        <v>On time</v>
      </c>
      <c r="F1412" t="s">
        <v>2355</v>
      </c>
      <c r="G1412" t="s">
        <v>14</v>
      </c>
      <c r="H1412" t="s">
        <v>3221</v>
      </c>
      <c r="I1412" t="s">
        <v>1438</v>
      </c>
      <c r="J1412" t="s">
        <v>27</v>
      </c>
      <c r="K1412" t="s">
        <v>3006</v>
      </c>
      <c r="L1412">
        <v>20.420000000000002</v>
      </c>
      <c r="M1412">
        <v>4</v>
      </c>
      <c r="N1412" t="str">
        <f>IF(Walmart[[#This Row],[Quantity]]&gt;=7,"Bulk",IF(Walmart[[#This Row],[Quantity]]&gt;=2,"Multi","Single"))</f>
        <v>Multi</v>
      </c>
      <c r="O1412">
        <v>6.64</v>
      </c>
      <c r="P1412" t="str">
        <f>IF(Walmart[[#This Row],[Sales]]&gt;=1000,"High Value", IF(Walmart[[#This Row],[Sales]]&gt;=500,"Medium Value","Low Value"))</f>
        <v>Low Value</v>
      </c>
    </row>
    <row r="1413" spans="1:16" x14ac:dyDescent="0.3">
      <c r="A1413" t="s">
        <v>410</v>
      </c>
      <c r="B1413" s="1">
        <v>41716</v>
      </c>
      <c r="C1413" s="1" t="str">
        <f>TEXT(Walmart[[#This Row],[Order Date]],"mmmm")</f>
        <v>March</v>
      </c>
      <c r="D1413" s="1">
        <v>41720</v>
      </c>
      <c r="E1413" s="1" t="str">
        <f>IF(DATEDIF(Walmart[[#This Row],[Order Date]],Walmart[[#This Row],[Ship Date]],"D")&lt;7,"On time","Delayed")</f>
        <v>On time</v>
      </c>
      <c r="F1413" t="s">
        <v>411</v>
      </c>
      <c r="G1413" t="s">
        <v>14</v>
      </c>
      <c r="H1413" t="s">
        <v>412</v>
      </c>
      <c r="I1413" t="s">
        <v>16</v>
      </c>
      <c r="J1413" t="s">
        <v>27</v>
      </c>
      <c r="K1413" t="s">
        <v>413</v>
      </c>
      <c r="L1413">
        <v>17.46</v>
      </c>
      <c r="M1413">
        <v>2</v>
      </c>
      <c r="N1413" t="str">
        <f>IF(Walmart[[#This Row],[Quantity]]&gt;=7,"Bulk",IF(Walmart[[#This Row],[Quantity]]&gt;=2,"Multi","Single"))</f>
        <v>Multi</v>
      </c>
      <c r="O1413">
        <v>5.89</v>
      </c>
      <c r="P1413" t="str">
        <f>IF(Walmart[[#This Row],[Sales]]&gt;=1000,"High Value", IF(Walmart[[#This Row],[Sales]]&gt;=500,"Medium Value","Low Value"))</f>
        <v>Low Value</v>
      </c>
    </row>
    <row r="1414" spans="1:16" hidden="1" x14ac:dyDescent="0.3">
      <c r="A1414" t="s">
        <v>3224</v>
      </c>
      <c r="B1414" s="1">
        <v>40896</v>
      </c>
      <c r="C1414" s="1" t="str">
        <f>TEXT(Walmart[[#This Row],[Order Date]],"mmmm")</f>
        <v>December</v>
      </c>
      <c r="D1414" s="1">
        <v>40898</v>
      </c>
      <c r="E1414" s="1" t="str">
        <f>IF(DATEDIF(Walmart[[#This Row],[Order Date]],Walmart[[#This Row],[Ship Date]],"D")&lt;7,"On time","Delayed")</f>
        <v>On time</v>
      </c>
      <c r="F1414" t="s">
        <v>1834</v>
      </c>
      <c r="G1414" t="s">
        <v>14</v>
      </c>
      <c r="H1414" t="s">
        <v>15</v>
      </c>
      <c r="I1414" t="s">
        <v>16</v>
      </c>
      <c r="J1414" t="s">
        <v>17</v>
      </c>
      <c r="K1414" t="s">
        <v>3225</v>
      </c>
      <c r="L1414">
        <v>14.62</v>
      </c>
      <c r="M1414">
        <v>2</v>
      </c>
      <c r="N1414" t="str">
        <f>IF(Walmart[[#This Row],[Quantity]]&gt;=7,"Bulk",IF(Walmart[[#This Row],[Quantity]]&gt;=2,"Multi","Single"))</f>
        <v>Multi</v>
      </c>
      <c r="O1414">
        <v>6.87</v>
      </c>
      <c r="P1414" t="str">
        <f>IF(Walmart[[#This Row],[Sales]]&gt;=1000,"High Value", IF(Walmart[[#This Row],[Sales]]&gt;=500,"Medium Value","Low Value"))</f>
        <v>Low Value</v>
      </c>
    </row>
    <row r="1415" spans="1:16" hidden="1" x14ac:dyDescent="0.3">
      <c r="A1415" t="s">
        <v>3226</v>
      </c>
      <c r="B1415" s="1">
        <v>41463</v>
      </c>
      <c r="C1415" s="1" t="str">
        <f>TEXT(Walmart[[#This Row],[Order Date]],"mmmm")</f>
        <v>July</v>
      </c>
      <c r="D1415" s="1">
        <v>41469</v>
      </c>
      <c r="E1415" s="1" t="str">
        <f>IF(DATEDIF(Walmart[[#This Row],[Order Date]],Walmart[[#This Row],[Ship Date]],"D")&lt;7,"On time","Delayed")</f>
        <v>On time</v>
      </c>
      <c r="F1415" t="s">
        <v>127</v>
      </c>
      <c r="G1415" t="s">
        <v>14</v>
      </c>
      <c r="H1415" t="s">
        <v>42</v>
      </c>
      <c r="I1415" t="s">
        <v>32</v>
      </c>
      <c r="J1415" t="s">
        <v>93</v>
      </c>
      <c r="K1415" t="s">
        <v>406</v>
      </c>
      <c r="L1415">
        <v>12.96</v>
      </c>
      <c r="M1415">
        <v>2</v>
      </c>
      <c r="N1415" t="str">
        <f>IF(Walmart[[#This Row],[Quantity]]&gt;=7,"Bulk",IF(Walmart[[#This Row],[Quantity]]&gt;=2,"Multi","Single"))</f>
        <v>Multi</v>
      </c>
      <c r="O1415">
        <v>6.22</v>
      </c>
      <c r="P1415" t="str">
        <f>IF(Walmart[[#This Row],[Sales]]&gt;=1000,"High Value", IF(Walmart[[#This Row],[Sales]]&gt;=500,"Medium Value","Low Value"))</f>
        <v>Low Value</v>
      </c>
    </row>
    <row r="1416" spans="1:16" x14ac:dyDescent="0.3">
      <c r="A1416" t="s">
        <v>942</v>
      </c>
      <c r="B1416" s="1">
        <v>41715</v>
      </c>
      <c r="C1416" s="1" t="str">
        <f>TEXT(Walmart[[#This Row],[Order Date]],"mmmm")</f>
        <v>March</v>
      </c>
      <c r="D1416" s="1">
        <v>41717</v>
      </c>
      <c r="E1416" s="1" t="str">
        <f>IF(DATEDIF(Walmart[[#This Row],[Order Date]],Walmart[[#This Row],[Ship Date]],"D")&lt;7,"On time","Delayed")</f>
        <v>On time</v>
      </c>
      <c r="F1416" t="s">
        <v>943</v>
      </c>
      <c r="G1416" t="s">
        <v>14</v>
      </c>
      <c r="H1416" t="s">
        <v>25</v>
      </c>
      <c r="I1416" t="s">
        <v>26</v>
      </c>
      <c r="J1416" t="s">
        <v>93</v>
      </c>
      <c r="K1416" t="s">
        <v>944</v>
      </c>
      <c r="L1416">
        <v>6.48</v>
      </c>
      <c r="M1416">
        <v>1</v>
      </c>
      <c r="N1416" t="str">
        <f>IF(Walmart[[#This Row],[Quantity]]&gt;=7,"Bulk",IF(Walmart[[#This Row],[Quantity]]&gt;=2,"Multi","Single"))</f>
        <v>Single</v>
      </c>
      <c r="O1416">
        <v>3.11</v>
      </c>
      <c r="P1416" t="str">
        <f>IF(Walmart[[#This Row],[Sales]]&gt;=1000,"High Value", IF(Walmart[[#This Row],[Sales]]&gt;=500,"Medium Value","Low Value"))</f>
        <v>Low Value</v>
      </c>
    </row>
    <row r="1417" spans="1:16" x14ac:dyDescent="0.3">
      <c r="A1417" t="s">
        <v>3501</v>
      </c>
      <c r="B1417" s="1">
        <v>41715</v>
      </c>
      <c r="C1417" s="1" t="str">
        <f>TEXT(Walmart[[#This Row],[Order Date]],"mmmm")</f>
        <v>March</v>
      </c>
      <c r="D1417" s="1">
        <v>41720</v>
      </c>
      <c r="E1417" s="1" t="str">
        <f>IF(DATEDIF(Walmart[[#This Row],[Order Date]],Walmart[[#This Row],[Ship Date]],"D")&lt;7,"On time","Delayed")</f>
        <v>On time</v>
      </c>
      <c r="F1417" t="s">
        <v>1221</v>
      </c>
      <c r="G1417" t="s">
        <v>14</v>
      </c>
      <c r="H1417" t="s">
        <v>15</v>
      </c>
      <c r="I1417" t="s">
        <v>16</v>
      </c>
      <c r="J1417" t="s">
        <v>33</v>
      </c>
      <c r="K1417" t="s">
        <v>1377</v>
      </c>
      <c r="L1417">
        <v>310.12</v>
      </c>
      <c r="M1417">
        <v>2</v>
      </c>
      <c r="N1417" t="str">
        <f>IF(Walmart[[#This Row],[Quantity]]&gt;=7,"Bulk",IF(Walmart[[#This Row],[Quantity]]&gt;=2,"Multi","Single"))</f>
        <v>Multi</v>
      </c>
      <c r="O1417">
        <v>80.63</v>
      </c>
      <c r="P1417" t="str">
        <f>IF(Walmart[[#This Row],[Sales]]&gt;=1000,"High Value", IF(Walmart[[#This Row],[Sales]]&gt;=500,"Medium Value","Low Value"))</f>
        <v>Low Value</v>
      </c>
    </row>
    <row r="1418" spans="1:16" hidden="1" x14ac:dyDescent="0.3">
      <c r="A1418" t="s">
        <v>3229</v>
      </c>
      <c r="B1418" s="1">
        <v>41116</v>
      </c>
      <c r="C1418" s="1" t="str">
        <f>TEXT(Walmart[[#This Row],[Order Date]],"mmmm")</f>
        <v>July</v>
      </c>
      <c r="D1418" s="1">
        <v>41121</v>
      </c>
      <c r="E1418" s="1" t="str">
        <f>IF(DATEDIF(Walmart[[#This Row],[Order Date]],Walmart[[#This Row],[Ship Date]],"D")&lt;7,"On time","Delayed")</f>
        <v>On time</v>
      </c>
      <c r="F1418" t="s">
        <v>459</v>
      </c>
      <c r="G1418" t="s">
        <v>14</v>
      </c>
      <c r="H1418" t="s">
        <v>712</v>
      </c>
      <c r="I1418" t="s">
        <v>58</v>
      </c>
      <c r="J1418" t="s">
        <v>88</v>
      </c>
      <c r="K1418" t="s">
        <v>2494</v>
      </c>
      <c r="L1418">
        <v>266.35000000000002</v>
      </c>
      <c r="M1418">
        <v>3</v>
      </c>
      <c r="N1418" t="str">
        <f>IF(Walmart[[#This Row],[Quantity]]&gt;=7,"Bulk",IF(Walmart[[#This Row],[Quantity]]&gt;=2,"Multi","Single"))</f>
        <v>Multi</v>
      </c>
      <c r="O1418">
        <v>13.32</v>
      </c>
      <c r="P1418" t="str">
        <f>IF(Walmart[[#This Row],[Sales]]&gt;=1000,"High Value", IF(Walmart[[#This Row],[Sales]]&gt;=500,"Medium Value","Low Value"))</f>
        <v>Low Value</v>
      </c>
    </row>
    <row r="1419" spans="1:16" hidden="1" x14ac:dyDescent="0.3">
      <c r="A1419" t="s">
        <v>3230</v>
      </c>
      <c r="B1419" s="1">
        <v>41508</v>
      </c>
      <c r="C1419" s="1" t="str">
        <f>TEXT(Walmart[[#This Row],[Order Date]],"mmmm")</f>
        <v>August</v>
      </c>
      <c r="D1419" s="1">
        <v>41511</v>
      </c>
      <c r="E1419" s="1" t="str">
        <f>IF(DATEDIF(Walmart[[#This Row],[Order Date]],Walmart[[#This Row],[Ship Date]],"D")&lt;7,"On time","Delayed")</f>
        <v>On time</v>
      </c>
      <c r="F1419" t="s">
        <v>470</v>
      </c>
      <c r="G1419" t="s">
        <v>14</v>
      </c>
      <c r="H1419" t="s">
        <v>25</v>
      </c>
      <c r="I1419" t="s">
        <v>26</v>
      </c>
      <c r="J1419" t="s">
        <v>27</v>
      </c>
      <c r="K1419" t="s">
        <v>550</v>
      </c>
      <c r="L1419">
        <v>33.44</v>
      </c>
      <c r="M1419">
        <v>10</v>
      </c>
      <c r="N1419" t="str">
        <f>IF(Walmart[[#This Row],[Quantity]]&gt;=7,"Bulk",IF(Walmart[[#This Row],[Quantity]]&gt;=2,"Multi","Single"))</f>
        <v>Bulk</v>
      </c>
      <c r="O1419">
        <v>11.7</v>
      </c>
      <c r="P1419" t="str">
        <f>IF(Walmart[[#This Row],[Sales]]&gt;=1000,"High Value", IF(Walmart[[#This Row],[Sales]]&gt;=500,"Medium Value","Low Value"))</f>
        <v>Low Value</v>
      </c>
    </row>
    <row r="1420" spans="1:16" hidden="1" x14ac:dyDescent="0.3">
      <c r="A1420" t="s">
        <v>3231</v>
      </c>
      <c r="B1420" s="1">
        <v>40639</v>
      </c>
      <c r="C1420" s="1" t="str">
        <f>TEXT(Walmart[[#This Row],[Order Date]],"mmmm")</f>
        <v>April</v>
      </c>
      <c r="D1420" s="1">
        <v>40643</v>
      </c>
      <c r="E1420" s="1" t="str">
        <f>IF(DATEDIF(Walmart[[#This Row],[Order Date]],Walmart[[#This Row],[Ship Date]],"D")&lt;7,"On time","Delayed")</f>
        <v>On time</v>
      </c>
      <c r="F1420" t="s">
        <v>891</v>
      </c>
      <c r="G1420" t="s">
        <v>14</v>
      </c>
      <c r="H1420" t="s">
        <v>15</v>
      </c>
      <c r="I1420" t="s">
        <v>16</v>
      </c>
      <c r="J1420" t="s">
        <v>38</v>
      </c>
      <c r="K1420" t="s">
        <v>3232</v>
      </c>
      <c r="L1420">
        <v>70.95</v>
      </c>
      <c r="M1420">
        <v>3</v>
      </c>
      <c r="N1420" t="str">
        <f>IF(Walmart[[#This Row],[Quantity]]&gt;=7,"Bulk",IF(Walmart[[#This Row],[Quantity]]&gt;=2,"Multi","Single"))</f>
        <v>Multi</v>
      </c>
      <c r="O1420">
        <v>18.45</v>
      </c>
      <c r="P1420" t="str">
        <f>IF(Walmart[[#This Row],[Sales]]&gt;=1000,"High Value", IF(Walmart[[#This Row],[Sales]]&gt;=500,"Medium Value","Low Value"))</f>
        <v>Low Value</v>
      </c>
    </row>
    <row r="1421" spans="1:16" hidden="1" x14ac:dyDescent="0.3">
      <c r="A1421" t="s">
        <v>3233</v>
      </c>
      <c r="B1421" s="1">
        <v>41314</v>
      </c>
      <c r="C1421" s="1" t="str">
        <f>TEXT(Walmart[[#This Row],[Order Date]],"mmmm")</f>
        <v>February</v>
      </c>
      <c r="D1421" s="1">
        <v>41318</v>
      </c>
      <c r="E1421" s="1" t="str">
        <f>IF(DATEDIF(Walmart[[#This Row],[Order Date]],Walmart[[#This Row],[Ship Date]],"D")&lt;7,"On time","Delayed")</f>
        <v>On time</v>
      </c>
      <c r="F1421" t="s">
        <v>2450</v>
      </c>
      <c r="G1421" t="s">
        <v>14</v>
      </c>
      <c r="H1421" t="s">
        <v>37</v>
      </c>
      <c r="I1421" t="s">
        <v>16</v>
      </c>
      <c r="J1421" t="s">
        <v>53</v>
      </c>
      <c r="K1421" t="s">
        <v>170</v>
      </c>
      <c r="L1421">
        <v>89.97</v>
      </c>
      <c r="M1421">
        <v>3</v>
      </c>
      <c r="N1421" t="str">
        <f>IF(Walmart[[#This Row],[Quantity]]&gt;=7,"Bulk",IF(Walmart[[#This Row],[Quantity]]&gt;=2,"Multi","Single"))</f>
        <v>Multi</v>
      </c>
      <c r="O1421">
        <v>39.590000000000003</v>
      </c>
      <c r="P1421" t="str">
        <f>IF(Walmart[[#This Row],[Sales]]&gt;=1000,"High Value", IF(Walmart[[#This Row],[Sales]]&gt;=500,"Medium Value","Low Value"))</f>
        <v>Low Value</v>
      </c>
    </row>
    <row r="1422" spans="1:16" x14ac:dyDescent="0.3">
      <c r="A1422" t="s">
        <v>1042</v>
      </c>
      <c r="B1422" s="1">
        <v>41712</v>
      </c>
      <c r="C1422" s="1" t="str">
        <f>TEXT(Walmart[[#This Row],[Order Date]],"mmmm")</f>
        <v>March</v>
      </c>
      <c r="D1422" s="1">
        <v>41718</v>
      </c>
      <c r="E1422" s="1" t="str">
        <f>IF(DATEDIF(Walmart[[#This Row],[Order Date]],Walmart[[#This Row],[Ship Date]],"D")&lt;7,"On time","Delayed")</f>
        <v>On time</v>
      </c>
      <c r="F1422" t="s">
        <v>1043</v>
      </c>
      <c r="G1422" t="s">
        <v>14</v>
      </c>
      <c r="H1422" t="s">
        <v>1044</v>
      </c>
      <c r="I1422" t="s">
        <v>16</v>
      </c>
      <c r="J1422" t="s">
        <v>93</v>
      </c>
      <c r="K1422" t="s">
        <v>1045</v>
      </c>
      <c r="L1422">
        <v>314.55</v>
      </c>
      <c r="M1422">
        <v>3</v>
      </c>
      <c r="N1422" t="str">
        <f>IF(Walmart[[#This Row],[Quantity]]&gt;=7,"Bulk",IF(Walmart[[#This Row],[Quantity]]&gt;=2,"Multi","Single"))</f>
        <v>Multi</v>
      </c>
      <c r="O1422">
        <v>150.97999999999999</v>
      </c>
      <c r="P1422" t="str">
        <f>IF(Walmart[[#This Row],[Sales]]&gt;=1000,"High Value", IF(Walmart[[#This Row],[Sales]]&gt;=500,"Medium Value","Low Value"))</f>
        <v>Low Value</v>
      </c>
    </row>
    <row r="1423" spans="1:16" x14ac:dyDescent="0.3">
      <c r="A1423" t="s">
        <v>1442</v>
      </c>
      <c r="B1423" s="1">
        <v>41712</v>
      </c>
      <c r="C1423" s="1" t="str">
        <f>TEXT(Walmart[[#This Row],[Order Date]],"mmmm")</f>
        <v>March</v>
      </c>
      <c r="D1423" s="1">
        <v>41717</v>
      </c>
      <c r="E1423" s="1" t="str">
        <f>IF(DATEDIF(Walmart[[#This Row],[Order Date]],Walmart[[#This Row],[Ship Date]],"D")&lt;7,"On time","Delayed")</f>
        <v>On time</v>
      </c>
      <c r="F1423" t="s">
        <v>1443</v>
      </c>
      <c r="G1423" t="s">
        <v>14</v>
      </c>
      <c r="H1423" t="s">
        <v>1163</v>
      </c>
      <c r="I1423" t="s">
        <v>123</v>
      </c>
      <c r="J1423" t="s">
        <v>33</v>
      </c>
      <c r="K1423" t="s">
        <v>1444</v>
      </c>
      <c r="L1423">
        <v>90.8</v>
      </c>
      <c r="M1423">
        <v>8</v>
      </c>
      <c r="N1423" t="str">
        <f>IF(Walmart[[#This Row],[Quantity]]&gt;=7,"Bulk",IF(Walmart[[#This Row],[Quantity]]&gt;=2,"Multi","Single"))</f>
        <v>Bulk</v>
      </c>
      <c r="O1423">
        <v>25.42</v>
      </c>
      <c r="P1423" t="str">
        <f>IF(Walmart[[#This Row],[Sales]]&gt;=1000,"High Value", IF(Walmart[[#This Row],[Sales]]&gt;=500,"Medium Value","Low Value"))</f>
        <v>Low Value</v>
      </c>
    </row>
    <row r="1424" spans="1:16" hidden="1" x14ac:dyDescent="0.3">
      <c r="A1424" t="s">
        <v>3238</v>
      </c>
      <c r="B1424" s="1">
        <v>41583</v>
      </c>
      <c r="C1424" s="1" t="str">
        <f>TEXT(Walmart[[#This Row],[Order Date]],"mmmm")</f>
        <v>November</v>
      </c>
      <c r="D1424" s="1">
        <v>41587</v>
      </c>
      <c r="E1424" s="1" t="str">
        <f>IF(DATEDIF(Walmart[[#This Row],[Order Date]],Walmart[[#This Row],[Ship Date]],"D")&lt;7,"On time","Delayed")</f>
        <v>On time</v>
      </c>
      <c r="F1424" t="s">
        <v>2051</v>
      </c>
      <c r="G1424" t="s">
        <v>14</v>
      </c>
      <c r="H1424" t="s">
        <v>160</v>
      </c>
      <c r="I1424" t="s">
        <v>16</v>
      </c>
      <c r="J1424" t="s">
        <v>1168</v>
      </c>
      <c r="K1424" t="s">
        <v>3239</v>
      </c>
      <c r="L1424">
        <v>686.4</v>
      </c>
      <c r="M1424">
        <v>2</v>
      </c>
      <c r="N1424" t="str">
        <f>IF(Walmart[[#This Row],[Quantity]]&gt;=7,"Bulk",IF(Walmart[[#This Row],[Quantity]]&gt;=2,"Multi","Single"))</f>
        <v>Multi</v>
      </c>
      <c r="O1424">
        <v>77.22</v>
      </c>
      <c r="P1424" t="str">
        <f>IF(Walmart[[#This Row],[Sales]]&gt;=1000,"High Value", IF(Walmart[[#This Row],[Sales]]&gt;=500,"Medium Value","Low Value"))</f>
        <v>Medium Value</v>
      </c>
    </row>
    <row r="1425" spans="1:16" x14ac:dyDescent="0.3">
      <c r="A1425" t="s">
        <v>1854</v>
      </c>
      <c r="B1425" s="1">
        <v>41712</v>
      </c>
      <c r="C1425" s="1" t="str">
        <f>TEXT(Walmart[[#This Row],[Order Date]],"mmmm")</f>
        <v>March</v>
      </c>
      <c r="D1425" s="1">
        <v>41719</v>
      </c>
      <c r="E1425" s="1" t="str">
        <f>IF(DATEDIF(Walmart[[#This Row],[Order Date]],Walmart[[#This Row],[Ship Date]],"D")&lt;7,"On time","Delayed")</f>
        <v>Delayed</v>
      </c>
      <c r="F1425" t="s">
        <v>1290</v>
      </c>
      <c r="G1425" t="s">
        <v>14</v>
      </c>
      <c r="H1425" t="s">
        <v>141</v>
      </c>
      <c r="I1425" t="s">
        <v>77</v>
      </c>
      <c r="J1425" t="s">
        <v>334</v>
      </c>
      <c r="K1425" t="s">
        <v>1855</v>
      </c>
      <c r="L1425">
        <v>1332.5</v>
      </c>
      <c r="M1425">
        <v>2</v>
      </c>
      <c r="N1425" t="str">
        <f>IF(Walmart[[#This Row],[Quantity]]&gt;=7,"Bulk",IF(Walmart[[#This Row],[Quantity]]&gt;=2,"Multi","Single"))</f>
        <v>Multi</v>
      </c>
      <c r="O1425">
        <v>-299.81</v>
      </c>
      <c r="P1425" t="str">
        <f>IF(Walmart[[#This Row],[Sales]]&gt;=1000,"High Value", IF(Walmart[[#This Row],[Sales]]&gt;=500,"Medium Value","Low Value"))</f>
        <v>High Value</v>
      </c>
    </row>
    <row r="1426" spans="1:16" hidden="1" x14ac:dyDescent="0.3">
      <c r="A1426" t="s">
        <v>3241</v>
      </c>
      <c r="B1426" s="1">
        <v>40991</v>
      </c>
      <c r="C1426" s="1" t="str">
        <f>TEXT(Walmart[[#This Row],[Order Date]],"mmmm")</f>
        <v>March</v>
      </c>
      <c r="D1426" s="1">
        <v>40993</v>
      </c>
      <c r="E1426" s="1" t="str">
        <f>IF(DATEDIF(Walmart[[#This Row],[Order Date]],Walmart[[#This Row],[Ship Date]],"D")&lt;7,"On time","Delayed")</f>
        <v>On time</v>
      </c>
      <c r="F1426" t="s">
        <v>1130</v>
      </c>
      <c r="G1426" t="s">
        <v>14</v>
      </c>
      <c r="H1426" t="s">
        <v>15</v>
      </c>
      <c r="I1426" t="s">
        <v>16</v>
      </c>
      <c r="J1426" t="s">
        <v>93</v>
      </c>
      <c r="K1426" t="s">
        <v>3242</v>
      </c>
      <c r="L1426">
        <v>192.72</v>
      </c>
      <c r="M1426">
        <v>11</v>
      </c>
      <c r="N1426" t="str">
        <f>IF(Walmart[[#This Row],[Quantity]]&gt;=7,"Bulk",IF(Walmart[[#This Row],[Quantity]]&gt;=2,"Multi","Single"))</f>
        <v>Bulk</v>
      </c>
      <c r="O1426">
        <v>92.51</v>
      </c>
      <c r="P1426" t="str">
        <f>IF(Walmart[[#This Row],[Sales]]&gt;=1000,"High Value", IF(Walmart[[#This Row],[Sales]]&gt;=500,"Medium Value","Low Value"))</f>
        <v>Low Value</v>
      </c>
    </row>
    <row r="1427" spans="1:16" hidden="1" x14ac:dyDescent="0.3">
      <c r="A1427" t="s">
        <v>3243</v>
      </c>
      <c r="B1427" s="1">
        <v>40751</v>
      </c>
      <c r="C1427" s="1" t="str">
        <f>TEXT(Walmart[[#This Row],[Order Date]],"mmmm")</f>
        <v>July</v>
      </c>
      <c r="D1427" s="1">
        <v>40754</v>
      </c>
      <c r="E1427" s="1" t="str">
        <f>IF(DATEDIF(Walmart[[#This Row],[Order Date]],Walmart[[#This Row],[Ship Date]],"D")&lt;7,"On time","Delayed")</f>
        <v>On time</v>
      </c>
      <c r="F1427" t="s">
        <v>172</v>
      </c>
      <c r="G1427" t="s">
        <v>14</v>
      </c>
      <c r="H1427" t="s">
        <v>15</v>
      </c>
      <c r="I1427" t="s">
        <v>16</v>
      </c>
      <c r="J1427" t="s">
        <v>33</v>
      </c>
      <c r="K1427" t="s">
        <v>3244</v>
      </c>
      <c r="L1427">
        <v>276.27999999999997</v>
      </c>
      <c r="M1427">
        <v>2</v>
      </c>
      <c r="N1427" t="str">
        <f>IF(Walmart[[#This Row],[Quantity]]&gt;=7,"Bulk",IF(Walmart[[#This Row],[Quantity]]&gt;=2,"Multi","Single"))</f>
        <v>Multi</v>
      </c>
      <c r="O1427">
        <v>0</v>
      </c>
      <c r="P1427" t="str">
        <f>IF(Walmart[[#This Row],[Sales]]&gt;=1000,"High Value", IF(Walmart[[#This Row],[Sales]]&gt;=500,"Medium Value","Low Value"))</f>
        <v>Low Value</v>
      </c>
    </row>
    <row r="1428" spans="1:16" x14ac:dyDescent="0.3">
      <c r="A1428" t="s">
        <v>1918</v>
      </c>
      <c r="B1428" s="1">
        <v>41711</v>
      </c>
      <c r="C1428" s="1" t="str">
        <f>TEXT(Walmart[[#This Row],[Order Date]],"mmmm")</f>
        <v>March</v>
      </c>
      <c r="D1428" s="1">
        <v>41716</v>
      </c>
      <c r="E1428" s="1" t="str">
        <f>IF(DATEDIF(Walmart[[#This Row],[Order Date]],Walmart[[#This Row],[Ship Date]],"D")&lt;7,"On time","Delayed")</f>
        <v>On time</v>
      </c>
      <c r="F1428" t="s">
        <v>1919</v>
      </c>
      <c r="G1428" t="s">
        <v>14</v>
      </c>
      <c r="H1428" t="s">
        <v>37</v>
      </c>
      <c r="I1428" t="s">
        <v>16</v>
      </c>
      <c r="J1428" t="s">
        <v>33</v>
      </c>
      <c r="K1428" t="s">
        <v>391</v>
      </c>
      <c r="L1428">
        <v>242.94</v>
      </c>
      <c r="M1428">
        <v>3</v>
      </c>
      <c r="N1428" t="str">
        <f>IF(Walmart[[#This Row],[Quantity]]&gt;=7,"Bulk",IF(Walmart[[#This Row],[Quantity]]&gt;=2,"Multi","Single"))</f>
        <v>Multi</v>
      </c>
      <c r="O1428">
        <v>9.7200000000000006</v>
      </c>
      <c r="P1428" t="str">
        <f>IF(Walmart[[#This Row],[Sales]]&gt;=1000,"High Value", IF(Walmart[[#This Row],[Sales]]&gt;=500,"Medium Value","Low Value"))</f>
        <v>Low Value</v>
      </c>
    </row>
    <row r="1429" spans="1:16" hidden="1" x14ac:dyDescent="0.3">
      <c r="A1429" t="s">
        <v>3246</v>
      </c>
      <c r="B1429" s="1">
        <v>41244</v>
      </c>
      <c r="C1429" s="1" t="str">
        <f>TEXT(Walmart[[#This Row],[Order Date]],"mmmm")</f>
        <v>December</v>
      </c>
      <c r="D1429" s="1">
        <v>41249</v>
      </c>
      <c r="E1429" s="1" t="str">
        <f>IF(DATEDIF(Walmart[[#This Row],[Order Date]],Walmart[[#This Row],[Ship Date]],"D")&lt;7,"On time","Delayed")</f>
        <v>On time</v>
      </c>
      <c r="F1429" t="s">
        <v>3247</v>
      </c>
      <c r="G1429" t="s">
        <v>14</v>
      </c>
      <c r="H1429" t="s">
        <v>160</v>
      </c>
      <c r="I1429" t="s">
        <v>16</v>
      </c>
      <c r="J1429" t="s">
        <v>88</v>
      </c>
      <c r="K1429" t="s">
        <v>2913</v>
      </c>
      <c r="L1429">
        <v>2676.67</v>
      </c>
      <c r="M1429">
        <v>9</v>
      </c>
      <c r="N1429" t="str">
        <f>IF(Walmart[[#This Row],[Quantity]]&gt;=7,"Bulk",IF(Walmart[[#This Row],[Quantity]]&gt;=2,"Multi","Single"))</f>
        <v>Bulk</v>
      </c>
      <c r="O1429">
        <v>267.67</v>
      </c>
      <c r="P1429" t="str">
        <f>IF(Walmart[[#This Row],[Sales]]&gt;=1000,"High Value", IF(Walmart[[#This Row],[Sales]]&gt;=500,"Medium Value","Low Value"))</f>
        <v>High Value</v>
      </c>
    </row>
    <row r="1430" spans="1:16" hidden="1" x14ac:dyDescent="0.3">
      <c r="A1430" t="s">
        <v>3248</v>
      </c>
      <c r="B1430" s="1">
        <v>41502</v>
      </c>
      <c r="C1430" s="1" t="str">
        <f>TEXT(Walmart[[#This Row],[Order Date]],"mmmm")</f>
        <v>August</v>
      </c>
      <c r="D1430" s="1">
        <v>41509</v>
      </c>
      <c r="E1430" s="1" t="str">
        <f>IF(DATEDIF(Walmart[[#This Row],[Order Date]],Walmart[[#This Row],[Ship Date]],"D")&lt;7,"On time","Delayed")</f>
        <v>Delayed</v>
      </c>
      <c r="F1430" t="s">
        <v>305</v>
      </c>
      <c r="G1430" t="s">
        <v>14</v>
      </c>
      <c r="H1430" t="s">
        <v>15</v>
      </c>
      <c r="I1430" t="s">
        <v>16</v>
      </c>
      <c r="J1430" t="s">
        <v>21</v>
      </c>
      <c r="K1430" t="s">
        <v>3249</v>
      </c>
      <c r="L1430">
        <v>312.02999999999997</v>
      </c>
      <c r="M1430">
        <v>3</v>
      </c>
      <c r="N1430" t="str">
        <f>IF(Walmart[[#This Row],[Quantity]]&gt;=7,"Bulk",IF(Walmart[[#This Row],[Quantity]]&gt;=2,"Multi","Single"))</f>
        <v>Multi</v>
      </c>
      <c r="O1430">
        <v>43.68</v>
      </c>
      <c r="P1430" t="str">
        <f>IF(Walmart[[#This Row],[Sales]]&gt;=1000,"High Value", IF(Walmart[[#This Row],[Sales]]&gt;=500,"Medium Value","Low Value"))</f>
        <v>Low Value</v>
      </c>
    </row>
    <row r="1431" spans="1:16" hidden="1" x14ac:dyDescent="0.3">
      <c r="A1431" t="s">
        <v>3250</v>
      </c>
      <c r="B1431" s="1">
        <v>41627</v>
      </c>
      <c r="C1431" s="1" t="str">
        <f>TEXT(Walmart[[#This Row],[Order Date]],"mmmm")</f>
        <v>December</v>
      </c>
      <c r="D1431" s="1">
        <v>41629</v>
      </c>
      <c r="E1431" s="1" t="str">
        <f>IF(DATEDIF(Walmart[[#This Row],[Order Date]],Walmart[[#This Row],[Ship Date]],"D")&lt;7,"On time","Delayed")</f>
        <v>On time</v>
      </c>
      <c r="F1431" t="s">
        <v>1402</v>
      </c>
      <c r="G1431" t="s">
        <v>14</v>
      </c>
      <c r="H1431" t="s">
        <v>37</v>
      </c>
      <c r="I1431" t="s">
        <v>16</v>
      </c>
      <c r="J1431" t="s">
        <v>146</v>
      </c>
      <c r="K1431" t="s">
        <v>2305</v>
      </c>
      <c r="L1431">
        <v>66.98</v>
      </c>
      <c r="M1431">
        <v>7</v>
      </c>
      <c r="N1431" t="str">
        <f>IF(Walmart[[#This Row],[Quantity]]&gt;=7,"Bulk",IF(Walmart[[#This Row],[Quantity]]&gt;=2,"Multi","Single"))</f>
        <v>Bulk</v>
      </c>
      <c r="O1431">
        <v>6.7</v>
      </c>
      <c r="P1431" t="str">
        <f>IF(Walmart[[#This Row],[Sales]]&gt;=1000,"High Value", IF(Walmart[[#This Row],[Sales]]&gt;=500,"Medium Value","Low Value"))</f>
        <v>Low Value</v>
      </c>
    </row>
    <row r="1432" spans="1:16" hidden="1" x14ac:dyDescent="0.3">
      <c r="A1432" t="s">
        <v>3251</v>
      </c>
      <c r="B1432" s="1">
        <v>40934</v>
      </c>
      <c r="C1432" s="1" t="str">
        <f>TEXT(Walmart[[#This Row],[Order Date]],"mmmm")</f>
        <v>January</v>
      </c>
      <c r="D1432" s="1">
        <v>40940</v>
      </c>
      <c r="E1432" s="1" t="str">
        <f>IF(DATEDIF(Walmart[[#This Row],[Order Date]],Walmart[[#This Row],[Ship Date]],"D")&lt;7,"On time","Delayed")</f>
        <v>On time</v>
      </c>
      <c r="F1432" t="s">
        <v>2684</v>
      </c>
      <c r="G1432" t="s">
        <v>14</v>
      </c>
      <c r="H1432" t="s">
        <v>2067</v>
      </c>
      <c r="I1432" t="s">
        <v>16</v>
      </c>
      <c r="J1432" t="s">
        <v>93</v>
      </c>
      <c r="K1432" t="s">
        <v>3252</v>
      </c>
      <c r="L1432">
        <v>182.72</v>
      </c>
      <c r="M1432">
        <v>8</v>
      </c>
      <c r="N1432" t="str">
        <f>IF(Walmart[[#This Row],[Quantity]]&gt;=7,"Bulk",IF(Walmart[[#This Row],[Quantity]]&gt;=2,"Multi","Single"))</f>
        <v>Bulk</v>
      </c>
      <c r="O1432">
        <v>84.05</v>
      </c>
      <c r="P1432" t="str">
        <f>IF(Walmart[[#This Row],[Sales]]&gt;=1000,"High Value", IF(Walmart[[#This Row],[Sales]]&gt;=500,"Medium Value","Low Value"))</f>
        <v>Low Value</v>
      </c>
    </row>
    <row r="1433" spans="1:16" hidden="1" x14ac:dyDescent="0.3">
      <c r="A1433" t="s">
        <v>3253</v>
      </c>
      <c r="B1433" s="1">
        <v>41179</v>
      </c>
      <c r="C1433" s="1" t="str">
        <f>TEXT(Walmart[[#This Row],[Order Date]],"mmmm")</f>
        <v>September</v>
      </c>
      <c r="D1433" s="1">
        <v>41181</v>
      </c>
      <c r="E1433" s="1" t="str">
        <f>IF(DATEDIF(Walmart[[#This Row],[Order Date]],Walmart[[#This Row],[Ship Date]],"D")&lt;7,"On time","Delayed")</f>
        <v>On time</v>
      </c>
      <c r="F1433" t="s">
        <v>2452</v>
      </c>
      <c r="G1433" t="s">
        <v>14</v>
      </c>
      <c r="H1433" t="s">
        <v>25</v>
      </c>
      <c r="I1433" t="s">
        <v>26</v>
      </c>
      <c r="J1433" t="s">
        <v>38</v>
      </c>
      <c r="K1433" t="s">
        <v>906</v>
      </c>
      <c r="L1433">
        <v>99.2</v>
      </c>
      <c r="M1433">
        <v>5</v>
      </c>
      <c r="N1433" t="str">
        <f>IF(Walmart[[#This Row],[Quantity]]&gt;=7,"Bulk",IF(Walmart[[#This Row],[Quantity]]&gt;=2,"Multi","Single"))</f>
        <v>Multi</v>
      </c>
      <c r="O1433">
        <v>25.79</v>
      </c>
      <c r="P1433" t="str">
        <f>IF(Walmart[[#This Row],[Sales]]&gt;=1000,"High Value", IF(Walmart[[#This Row],[Sales]]&gt;=500,"Medium Value","Low Value"))</f>
        <v>Low Value</v>
      </c>
    </row>
    <row r="1434" spans="1:16" hidden="1" x14ac:dyDescent="0.3">
      <c r="A1434" t="s">
        <v>3254</v>
      </c>
      <c r="B1434" s="1">
        <v>41260</v>
      </c>
      <c r="C1434" s="1" t="str">
        <f>TEXT(Walmart[[#This Row],[Order Date]],"mmmm")</f>
        <v>December</v>
      </c>
      <c r="D1434" s="1">
        <v>41262</v>
      </c>
      <c r="E1434" s="1" t="str">
        <f>IF(DATEDIF(Walmart[[#This Row],[Order Date]],Walmart[[#This Row],[Ship Date]],"D")&lt;7,"On time","Delayed")</f>
        <v>On time</v>
      </c>
      <c r="F1434" t="s">
        <v>914</v>
      </c>
      <c r="G1434" t="s">
        <v>14</v>
      </c>
      <c r="H1434" t="s">
        <v>15</v>
      </c>
      <c r="I1434" t="s">
        <v>16</v>
      </c>
      <c r="J1434" t="s">
        <v>38</v>
      </c>
      <c r="K1434" t="s">
        <v>3255</v>
      </c>
      <c r="L1434">
        <v>204.85</v>
      </c>
      <c r="M1434">
        <v>5</v>
      </c>
      <c r="N1434" t="str">
        <f>IF(Walmart[[#This Row],[Quantity]]&gt;=7,"Bulk",IF(Walmart[[#This Row],[Quantity]]&gt;=2,"Multi","Single"))</f>
        <v>Multi</v>
      </c>
      <c r="O1434">
        <v>53.26</v>
      </c>
      <c r="P1434" t="str">
        <f>IF(Walmart[[#This Row],[Sales]]&gt;=1000,"High Value", IF(Walmart[[#This Row],[Sales]]&gt;=500,"Medium Value","Low Value"))</f>
        <v>Low Value</v>
      </c>
    </row>
    <row r="1435" spans="1:16" hidden="1" x14ac:dyDescent="0.3">
      <c r="A1435" t="s">
        <v>3256</v>
      </c>
      <c r="B1435" s="1">
        <v>41582</v>
      </c>
      <c r="C1435" s="1" t="str">
        <f>TEXT(Walmart[[#This Row],[Order Date]],"mmmm")</f>
        <v>November</v>
      </c>
      <c r="D1435" s="1">
        <v>41584</v>
      </c>
      <c r="E1435" s="1" t="str">
        <f>IF(DATEDIF(Walmart[[#This Row],[Order Date]],Walmart[[#This Row],[Ship Date]],"D")&lt;7,"On time","Delayed")</f>
        <v>On time</v>
      </c>
      <c r="F1435" t="s">
        <v>810</v>
      </c>
      <c r="G1435" t="s">
        <v>14</v>
      </c>
      <c r="H1435" t="s">
        <v>68</v>
      </c>
      <c r="I1435" t="s">
        <v>69</v>
      </c>
      <c r="J1435" t="s">
        <v>27</v>
      </c>
      <c r="K1435" t="s">
        <v>1739</v>
      </c>
      <c r="L1435">
        <v>4.16</v>
      </c>
      <c r="M1435">
        <v>7</v>
      </c>
      <c r="N1435" t="str">
        <f>IF(Walmart[[#This Row],[Quantity]]&gt;=7,"Bulk",IF(Walmart[[#This Row],[Quantity]]&gt;=2,"Multi","Single"))</f>
        <v>Bulk</v>
      </c>
      <c r="O1435">
        <v>-3.47</v>
      </c>
      <c r="P1435" t="str">
        <f>IF(Walmart[[#This Row],[Sales]]&gt;=1000,"High Value", IF(Walmart[[#This Row],[Sales]]&gt;=500,"Medium Value","Low Value"))</f>
        <v>Low Value</v>
      </c>
    </row>
    <row r="1436" spans="1:16" hidden="1" x14ac:dyDescent="0.3">
      <c r="A1436" t="s">
        <v>3257</v>
      </c>
      <c r="B1436" s="1">
        <v>40884</v>
      </c>
      <c r="C1436" s="1" t="str">
        <f>TEXT(Walmart[[#This Row],[Order Date]],"mmmm")</f>
        <v>December</v>
      </c>
      <c r="D1436" s="1">
        <v>40885</v>
      </c>
      <c r="E1436" s="1" t="str">
        <f>IF(DATEDIF(Walmart[[#This Row],[Order Date]],Walmart[[#This Row],[Ship Date]],"D")&lt;7,"On time","Delayed")</f>
        <v>On time</v>
      </c>
      <c r="F1436" t="s">
        <v>546</v>
      </c>
      <c r="G1436" t="s">
        <v>14</v>
      </c>
      <c r="H1436" t="s">
        <v>37</v>
      </c>
      <c r="I1436" t="s">
        <v>16</v>
      </c>
      <c r="J1436" t="s">
        <v>93</v>
      </c>
      <c r="K1436" t="s">
        <v>2172</v>
      </c>
      <c r="L1436">
        <v>164.88</v>
      </c>
      <c r="M1436">
        <v>3</v>
      </c>
      <c r="N1436" t="str">
        <f>IF(Walmart[[#This Row],[Quantity]]&gt;=7,"Bulk",IF(Walmart[[#This Row],[Quantity]]&gt;=2,"Multi","Single"))</f>
        <v>Multi</v>
      </c>
      <c r="O1436">
        <v>80.790000000000006</v>
      </c>
      <c r="P1436" t="str">
        <f>IF(Walmart[[#This Row],[Sales]]&gt;=1000,"High Value", IF(Walmart[[#This Row],[Sales]]&gt;=500,"Medium Value","Low Value"))</f>
        <v>Low Value</v>
      </c>
    </row>
    <row r="1437" spans="1:16" hidden="1" x14ac:dyDescent="0.3">
      <c r="A1437" t="s">
        <v>3258</v>
      </c>
      <c r="B1437" s="1">
        <v>40862</v>
      </c>
      <c r="C1437" s="1" t="str">
        <f>TEXT(Walmart[[#This Row],[Order Date]],"mmmm")</f>
        <v>November</v>
      </c>
      <c r="D1437" s="1">
        <v>40864</v>
      </c>
      <c r="E1437" s="1" t="str">
        <f>IF(DATEDIF(Walmart[[#This Row],[Order Date]],Walmart[[#This Row],[Ship Date]],"D")&lt;7,"On time","Delayed")</f>
        <v>On time</v>
      </c>
      <c r="F1437" t="s">
        <v>1132</v>
      </c>
      <c r="G1437" t="s">
        <v>14</v>
      </c>
      <c r="H1437" t="s">
        <v>37</v>
      </c>
      <c r="I1437" t="s">
        <v>16</v>
      </c>
      <c r="J1437" t="s">
        <v>334</v>
      </c>
      <c r="K1437" t="s">
        <v>3259</v>
      </c>
      <c r="L1437">
        <v>10.95</v>
      </c>
      <c r="M1437">
        <v>3</v>
      </c>
      <c r="N1437" t="str">
        <f>IF(Walmart[[#This Row],[Quantity]]&gt;=7,"Bulk",IF(Walmart[[#This Row],[Quantity]]&gt;=2,"Multi","Single"))</f>
        <v>Multi</v>
      </c>
      <c r="O1437">
        <v>3.29</v>
      </c>
      <c r="P1437" t="str">
        <f>IF(Walmart[[#This Row],[Sales]]&gt;=1000,"High Value", IF(Walmart[[#This Row],[Sales]]&gt;=500,"Medium Value","Low Value"))</f>
        <v>Low Value</v>
      </c>
    </row>
    <row r="1438" spans="1:16" hidden="1" x14ac:dyDescent="0.3">
      <c r="A1438" t="s">
        <v>3260</v>
      </c>
      <c r="B1438" s="1">
        <v>40901</v>
      </c>
      <c r="C1438" s="1" t="str">
        <f>TEXT(Walmart[[#This Row],[Order Date]],"mmmm")</f>
        <v>December</v>
      </c>
      <c r="D1438" s="1">
        <v>40903</v>
      </c>
      <c r="E1438" s="1" t="str">
        <f>IF(DATEDIF(Walmart[[#This Row],[Order Date]],Walmart[[#This Row],[Ship Date]],"D")&lt;7,"On time","Delayed")</f>
        <v>On time</v>
      </c>
      <c r="F1438" t="s">
        <v>3261</v>
      </c>
      <c r="G1438" t="s">
        <v>14</v>
      </c>
      <c r="H1438" t="s">
        <v>160</v>
      </c>
      <c r="I1438" t="s">
        <v>16</v>
      </c>
      <c r="J1438" t="s">
        <v>105</v>
      </c>
      <c r="K1438" t="s">
        <v>3262</v>
      </c>
      <c r="L1438">
        <v>13.97</v>
      </c>
      <c r="M1438">
        <v>1</v>
      </c>
      <c r="N1438" t="str">
        <f>IF(Walmart[[#This Row],[Quantity]]&gt;=7,"Bulk",IF(Walmart[[#This Row],[Quantity]]&gt;=2,"Multi","Single"))</f>
        <v>Single</v>
      </c>
      <c r="O1438">
        <v>3.63</v>
      </c>
      <c r="P1438" t="str">
        <f>IF(Walmart[[#This Row],[Sales]]&gt;=1000,"High Value", IF(Walmart[[#This Row],[Sales]]&gt;=500,"Medium Value","Low Value"))</f>
        <v>Low Value</v>
      </c>
    </row>
    <row r="1439" spans="1:16" hidden="1" x14ac:dyDescent="0.3">
      <c r="A1439" t="s">
        <v>3263</v>
      </c>
      <c r="B1439" s="1">
        <v>40806</v>
      </c>
      <c r="C1439" s="1" t="str">
        <f>TEXT(Walmart[[#This Row],[Order Date]],"mmmm")</f>
        <v>September</v>
      </c>
      <c r="D1439" s="1">
        <v>40810</v>
      </c>
      <c r="E1439" s="1" t="str">
        <f>IF(DATEDIF(Walmart[[#This Row],[Order Date]],Walmart[[#This Row],[Ship Date]],"D")&lt;7,"On time","Delayed")</f>
        <v>On time</v>
      </c>
      <c r="F1439" t="s">
        <v>644</v>
      </c>
      <c r="G1439" t="s">
        <v>14</v>
      </c>
      <c r="H1439" t="s">
        <v>160</v>
      </c>
      <c r="I1439" t="s">
        <v>16</v>
      </c>
      <c r="J1439" t="s">
        <v>93</v>
      </c>
      <c r="K1439" t="s">
        <v>3264</v>
      </c>
      <c r="L1439">
        <v>8.56</v>
      </c>
      <c r="M1439">
        <v>2</v>
      </c>
      <c r="N1439" t="str">
        <f>IF(Walmart[[#This Row],[Quantity]]&gt;=7,"Bulk",IF(Walmart[[#This Row],[Quantity]]&gt;=2,"Multi","Single"))</f>
        <v>Multi</v>
      </c>
      <c r="O1439">
        <v>3.85</v>
      </c>
      <c r="P1439" t="str">
        <f>IF(Walmart[[#This Row],[Sales]]&gt;=1000,"High Value", IF(Walmart[[#This Row],[Sales]]&gt;=500,"Medium Value","Low Value"))</f>
        <v>Low Value</v>
      </c>
    </row>
    <row r="1440" spans="1:16" x14ac:dyDescent="0.3">
      <c r="A1440" t="s">
        <v>2614</v>
      </c>
      <c r="B1440" s="1">
        <v>41709</v>
      </c>
      <c r="C1440" s="1" t="str">
        <f>TEXT(Walmart[[#This Row],[Order Date]],"mmmm")</f>
        <v>March</v>
      </c>
      <c r="D1440" s="1">
        <v>41714</v>
      </c>
      <c r="E1440" s="1" t="str">
        <f>IF(DATEDIF(Walmart[[#This Row],[Order Date]],Walmart[[#This Row],[Ship Date]],"D")&lt;7,"On time","Delayed")</f>
        <v>On time</v>
      </c>
      <c r="F1440" t="s">
        <v>2138</v>
      </c>
      <c r="G1440" t="s">
        <v>14</v>
      </c>
      <c r="H1440" t="s">
        <v>37</v>
      </c>
      <c r="I1440" t="s">
        <v>16</v>
      </c>
      <c r="J1440" t="s">
        <v>53</v>
      </c>
      <c r="K1440" t="s">
        <v>2615</v>
      </c>
      <c r="L1440">
        <v>111.96</v>
      </c>
      <c r="M1440">
        <v>4</v>
      </c>
      <c r="N1440" t="str">
        <f>IF(Walmart[[#This Row],[Quantity]]&gt;=7,"Bulk",IF(Walmart[[#This Row],[Quantity]]&gt;=2,"Multi","Single"))</f>
        <v>Multi</v>
      </c>
      <c r="O1440">
        <v>21.27</v>
      </c>
      <c r="P1440" t="str">
        <f>IF(Walmart[[#This Row],[Sales]]&gt;=1000,"High Value", IF(Walmart[[#This Row],[Sales]]&gt;=500,"Medium Value","Low Value"))</f>
        <v>Low Value</v>
      </c>
    </row>
    <row r="1441" spans="1:16" x14ac:dyDescent="0.3">
      <c r="A1441" t="s">
        <v>935</v>
      </c>
      <c r="B1441" s="1">
        <v>41708</v>
      </c>
      <c r="C1441" s="1" t="str">
        <f>TEXT(Walmart[[#This Row],[Order Date]],"mmmm")</f>
        <v>March</v>
      </c>
      <c r="D1441" s="1">
        <v>41712</v>
      </c>
      <c r="E1441" s="1" t="str">
        <f>IF(DATEDIF(Walmart[[#This Row],[Order Date]],Walmart[[#This Row],[Ship Date]],"D")&lt;7,"On time","Delayed")</f>
        <v>On time</v>
      </c>
      <c r="F1441" t="s">
        <v>494</v>
      </c>
      <c r="G1441" t="s">
        <v>14</v>
      </c>
      <c r="H1441" t="s">
        <v>37</v>
      </c>
      <c r="I1441" t="s">
        <v>16</v>
      </c>
      <c r="J1441" t="s">
        <v>53</v>
      </c>
      <c r="K1441" t="s">
        <v>936</v>
      </c>
      <c r="L1441">
        <v>199.98</v>
      </c>
      <c r="M1441">
        <v>2</v>
      </c>
      <c r="N1441" t="str">
        <f>IF(Walmart[[#This Row],[Quantity]]&gt;=7,"Bulk",IF(Walmart[[#This Row],[Quantity]]&gt;=2,"Multi","Single"))</f>
        <v>Multi</v>
      </c>
      <c r="O1441">
        <v>69.989999999999995</v>
      </c>
      <c r="P1441" t="str">
        <f>IF(Walmart[[#This Row],[Sales]]&gt;=1000,"High Value", IF(Walmart[[#This Row],[Sales]]&gt;=500,"Medium Value","Low Value"))</f>
        <v>Low Value</v>
      </c>
    </row>
    <row r="1442" spans="1:16" hidden="1" x14ac:dyDescent="0.3">
      <c r="A1442" t="s">
        <v>3268</v>
      </c>
      <c r="B1442" s="1">
        <v>40716</v>
      </c>
      <c r="C1442" s="1" t="str">
        <f>TEXT(Walmart[[#This Row],[Order Date]],"mmmm")</f>
        <v>June</v>
      </c>
      <c r="D1442" s="1">
        <v>40716</v>
      </c>
      <c r="E1442" s="1" t="str">
        <f>IF(DATEDIF(Walmart[[#This Row],[Order Date]],Walmart[[#This Row],[Ship Date]],"D")&lt;7,"On time","Delayed")</f>
        <v>On time</v>
      </c>
      <c r="F1442" t="s">
        <v>3269</v>
      </c>
      <c r="G1442" t="s">
        <v>14</v>
      </c>
      <c r="H1442" t="s">
        <v>84</v>
      </c>
      <c r="I1442" t="s">
        <v>58</v>
      </c>
      <c r="J1442" t="s">
        <v>27</v>
      </c>
      <c r="K1442" t="s">
        <v>2131</v>
      </c>
      <c r="L1442">
        <v>8.23</v>
      </c>
      <c r="M1442">
        <v>3</v>
      </c>
      <c r="N1442" t="str">
        <f>IF(Walmart[[#This Row],[Quantity]]&gt;=7,"Bulk",IF(Walmart[[#This Row],[Quantity]]&gt;=2,"Multi","Single"))</f>
        <v>Multi</v>
      </c>
      <c r="O1442">
        <v>-6.03</v>
      </c>
      <c r="P1442" t="str">
        <f>IF(Walmart[[#This Row],[Sales]]&gt;=1000,"High Value", IF(Walmart[[#This Row],[Sales]]&gt;=500,"Medium Value","Low Value"))</f>
        <v>Low Value</v>
      </c>
    </row>
    <row r="1443" spans="1:16" hidden="1" x14ac:dyDescent="0.3">
      <c r="A1443" t="s">
        <v>3270</v>
      </c>
      <c r="B1443" s="1">
        <v>41004</v>
      </c>
      <c r="C1443" s="1" t="str">
        <f>TEXT(Walmart[[#This Row],[Order Date]],"mmmm")</f>
        <v>April</v>
      </c>
      <c r="D1443" s="1">
        <v>41005</v>
      </c>
      <c r="E1443" s="1" t="str">
        <f>IF(DATEDIF(Walmart[[#This Row],[Order Date]],Walmart[[#This Row],[Ship Date]],"D")&lt;7,"On time","Delayed")</f>
        <v>On time</v>
      </c>
      <c r="F1443" t="s">
        <v>2493</v>
      </c>
      <c r="G1443" t="s">
        <v>14</v>
      </c>
      <c r="H1443" t="s">
        <v>909</v>
      </c>
      <c r="I1443" t="s">
        <v>26</v>
      </c>
      <c r="J1443" t="s">
        <v>53</v>
      </c>
      <c r="K1443" t="s">
        <v>967</v>
      </c>
      <c r="L1443">
        <v>239.94</v>
      </c>
      <c r="M1443">
        <v>6</v>
      </c>
      <c r="N1443" t="str">
        <f>IF(Walmart[[#This Row],[Quantity]]&gt;=7,"Bulk",IF(Walmart[[#This Row],[Quantity]]&gt;=2,"Multi","Single"))</f>
        <v>Multi</v>
      </c>
      <c r="O1443">
        <v>26.39</v>
      </c>
      <c r="P1443" t="str">
        <f>IF(Walmart[[#This Row],[Sales]]&gt;=1000,"High Value", IF(Walmart[[#This Row],[Sales]]&gt;=500,"Medium Value","Low Value"))</f>
        <v>Low Value</v>
      </c>
    </row>
    <row r="1444" spans="1:16" x14ac:dyDescent="0.3">
      <c r="A1444" t="s">
        <v>3147</v>
      </c>
      <c r="B1444" s="1">
        <v>41708</v>
      </c>
      <c r="C1444" s="1" t="str">
        <f>TEXT(Walmart[[#This Row],[Order Date]],"mmmm")</f>
        <v>March</v>
      </c>
      <c r="D1444" s="1">
        <v>41712</v>
      </c>
      <c r="E1444" s="1" t="str">
        <f>IF(DATEDIF(Walmart[[#This Row],[Order Date]],Walmart[[#This Row],[Ship Date]],"D")&lt;7,"On time","Delayed")</f>
        <v>On time</v>
      </c>
      <c r="F1444" t="s">
        <v>3148</v>
      </c>
      <c r="G1444" t="s">
        <v>14</v>
      </c>
      <c r="H1444" t="s">
        <v>15</v>
      </c>
      <c r="I1444" t="s">
        <v>16</v>
      </c>
      <c r="J1444" t="s">
        <v>287</v>
      </c>
      <c r="K1444" t="s">
        <v>2870</v>
      </c>
      <c r="L1444">
        <v>479.98</v>
      </c>
      <c r="M1444">
        <v>2</v>
      </c>
      <c r="N1444" t="str">
        <f>IF(Walmart[[#This Row],[Quantity]]&gt;=7,"Bulk",IF(Walmart[[#This Row],[Quantity]]&gt;=2,"Multi","Single"))</f>
        <v>Multi</v>
      </c>
      <c r="O1444">
        <v>60</v>
      </c>
      <c r="P1444" t="str">
        <f>IF(Walmart[[#This Row],[Sales]]&gt;=1000,"High Value", IF(Walmart[[#This Row],[Sales]]&gt;=500,"Medium Value","Low Value"))</f>
        <v>Low Value</v>
      </c>
    </row>
    <row r="1445" spans="1:16" hidden="1" x14ac:dyDescent="0.3">
      <c r="A1445" t="s">
        <v>3273</v>
      </c>
      <c r="B1445" s="1">
        <v>41626</v>
      </c>
      <c r="C1445" s="1" t="str">
        <f>TEXT(Walmart[[#This Row],[Order Date]],"mmmm")</f>
        <v>December</v>
      </c>
      <c r="D1445" s="1">
        <v>41632</v>
      </c>
      <c r="E1445" s="1" t="str">
        <f>IF(DATEDIF(Walmart[[#This Row],[Order Date]],Walmart[[#This Row],[Ship Date]],"D")&lt;7,"On time","Delayed")</f>
        <v>On time</v>
      </c>
      <c r="F1445" t="s">
        <v>562</v>
      </c>
      <c r="G1445" t="s">
        <v>14</v>
      </c>
      <c r="H1445" t="s">
        <v>122</v>
      </c>
      <c r="I1445" t="s">
        <v>123</v>
      </c>
      <c r="J1445" t="s">
        <v>27</v>
      </c>
      <c r="K1445" t="s">
        <v>2169</v>
      </c>
      <c r="L1445">
        <v>13.49</v>
      </c>
      <c r="M1445">
        <v>2</v>
      </c>
      <c r="N1445" t="str">
        <f>IF(Walmart[[#This Row],[Quantity]]&gt;=7,"Bulk",IF(Walmart[[#This Row],[Quantity]]&gt;=2,"Multi","Single"))</f>
        <v>Multi</v>
      </c>
      <c r="O1445">
        <v>4.38</v>
      </c>
      <c r="P1445" t="str">
        <f>IF(Walmart[[#This Row],[Sales]]&gt;=1000,"High Value", IF(Walmart[[#This Row],[Sales]]&gt;=500,"Medium Value","Low Value"))</f>
        <v>Low Value</v>
      </c>
    </row>
    <row r="1446" spans="1:16" hidden="1" x14ac:dyDescent="0.3">
      <c r="A1446" t="s">
        <v>3274</v>
      </c>
      <c r="B1446" s="1">
        <v>41360</v>
      </c>
      <c r="C1446" s="1" t="str">
        <f>TEXT(Walmart[[#This Row],[Order Date]],"mmmm")</f>
        <v>March</v>
      </c>
      <c r="D1446" s="1">
        <v>41362</v>
      </c>
      <c r="E1446" s="1" t="str">
        <f>IF(DATEDIF(Walmart[[#This Row],[Order Date]],Walmart[[#This Row],[Ship Date]],"D")&lt;7,"On time","Delayed")</f>
        <v>On time</v>
      </c>
      <c r="F1446" t="s">
        <v>1825</v>
      </c>
      <c r="G1446" t="s">
        <v>14</v>
      </c>
      <c r="H1446" t="s">
        <v>2300</v>
      </c>
      <c r="I1446" t="s">
        <v>1438</v>
      </c>
      <c r="J1446" t="s">
        <v>93</v>
      </c>
      <c r="K1446" t="s">
        <v>1487</v>
      </c>
      <c r="L1446">
        <v>17.64</v>
      </c>
      <c r="M1446">
        <v>3</v>
      </c>
      <c r="N1446" t="str">
        <f>IF(Walmart[[#This Row],[Quantity]]&gt;=7,"Bulk",IF(Walmart[[#This Row],[Quantity]]&gt;=2,"Multi","Single"))</f>
        <v>Multi</v>
      </c>
      <c r="O1446">
        <v>8.64</v>
      </c>
      <c r="P1446" t="str">
        <f>IF(Walmart[[#This Row],[Sales]]&gt;=1000,"High Value", IF(Walmart[[#This Row],[Sales]]&gt;=500,"Medium Value","Low Value"))</f>
        <v>Low Value</v>
      </c>
    </row>
    <row r="1447" spans="1:16" hidden="1" x14ac:dyDescent="0.3">
      <c r="A1447" t="s">
        <v>3275</v>
      </c>
      <c r="B1447" s="1">
        <v>41509</v>
      </c>
      <c r="C1447" s="1" t="str">
        <f>TEXT(Walmart[[#This Row],[Order Date]],"mmmm")</f>
        <v>August</v>
      </c>
      <c r="D1447" s="1">
        <v>41510</v>
      </c>
      <c r="E1447" s="1" t="str">
        <f>IF(DATEDIF(Walmart[[#This Row],[Order Date]],Walmart[[#This Row],[Ship Date]],"D")&lt;7,"On time","Delayed")</f>
        <v>On time</v>
      </c>
      <c r="F1447" t="s">
        <v>1547</v>
      </c>
      <c r="G1447" t="s">
        <v>14</v>
      </c>
      <c r="H1447" t="s">
        <v>1124</v>
      </c>
      <c r="I1447" t="s">
        <v>77</v>
      </c>
      <c r="J1447" t="s">
        <v>21</v>
      </c>
      <c r="K1447" t="s">
        <v>1721</v>
      </c>
      <c r="L1447">
        <v>98.33</v>
      </c>
      <c r="M1447">
        <v>3</v>
      </c>
      <c r="N1447" t="str">
        <f>IF(Walmart[[#This Row],[Quantity]]&gt;=7,"Bulk",IF(Walmart[[#This Row],[Quantity]]&gt;=2,"Multi","Single"))</f>
        <v>Multi</v>
      </c>
      <c r="O1447">
        <v>9.83</v>
      </c>
      <c r="P1447" t="str">
        <f>IF(Walmart[[#This Row],[Sales]]&gt;=1000,"High Value", IF(Walmart[[#This Row],[Sales]]&gt;=500,"Medium Value","Low Value"))</f>
        <v>Low Value</v>
      </c>
    </row>
    <row r="1448" spans="1:16" x14ac:dyDescent="0.3">
      <c r="A1448" t="s">
        <v>1999</v>
      </c>
      <c r="B1448" s="1">
        <v>41707</v>
      </c>
      <c r="C1448" s="1" t="str">
        <f>TEXT(Walmart[[#This Row],[Order Date]],"mmmm")</f>
        <v>March</v>
      </c>
      <c r="D1448" s="1">
        <v>41714</v>
      </c>
      <c r="E1448" s="1" t="str">
        <f>IF(DATEDIF(Walmart[[#This Row],[Order Date]],Walmart[[#This Row],[Ship Date]],"D")&lt;7,"On time","Delayed")</f>
        <v>Delayed</v>
      </c>
      <c r="F1448" t="s">
        <v>163</v>
      </c>
      <c r="G1448" t="s">
        <v>14</v>
      </c>
      <c r="H1448" t="s">
        <v>309</v>
      </c>
      <c r="I1448" t="s">
        <v>16</v>
      </c>
      <c r="J1448" t="s">
        <v>27</v>
      </c>
      <c r="K1448" t="s">
        <v>2000</v>
      </c>
      <c r="L1448">
        <v>171.2</v>
      </c>
      <c r="M1448">
        <v>5</v>
      </c>
      <c r="N1448" t="str">
        <f>IF(Walmart[[#This Row],[Quantity]]&gt;=7,"Bulk",IF(Walmart[[#This Row],[Quantity]]&gt;=2,"Multi","Single"))</f>
        <v>Multi</v>
      </c>
      <c r="O1448">
        <v>64.2</v>
      </c>
      <c r="P1448" t="str">
        <f>IF(Walmart[[#This Row],[Sales]]&gt;=1000,"High Value", IF(Walmart[[#This Row],[Sales]]&gt;=500,"Medium Value","Low Value"))</f>
        <v>Low Value</v>
      </c>
    </row>
    <row r="1449" spans="1:16" hidden="1" x14ac:dyDescent="0.3">
      <c r="A1449" t="s">
        <v>3278</v>
      </c>
      <c r="B1449" s="1">
        <v>40805</v>
      </c>
      <c r="C1449" s="1" t="str">
        <f>TEXT(Walmart[[#This Row],[Order Date]],"mmmm")</f>
        <v>September</v>
      </c>
      <c r="D1449" s="1">
        <v>40810</v>
      </c>
      <c r="E1449" s="1" t="str">
        <f>IF(DATEDIF(Walmart[[#This Row],[Order Date]],Walmart[[#This Row],[Ship Date]],"D")&lt;7,"On time","Delayed")</f>
        <v>On time</v>
      </c>
      <c r="F1449" t="s">
        <v>3279</v>
      </c>
      <c r="G1449" t="s">
        <v>14</v>
      </c>
      <c r="H1449" t="s">
        <v>2099</v>
      </c>
      <c r="I1449" t="s">
        <v>58</v>
      </c>
      <c r="J1449" t="s">
        <v>43</v>
      </c>
      <c r="K1449" t="s">
        <v>3280</v>
      </c>
      <c r="L1449">
        <v>73.92</v>
      </c>
      <c r="M1449">
        <v>1</v>
      </c>
      <c r="N1449" t="str">
        <f>IF(Walmart[[#This Row],[Quantity]]&gt;=7,"Bulk",IF(Walmart[[#This Row],[Quantity]]&gt;=2,"Multi","Single"))</f>
        <v>Single</v>
      </c>
      <c r="O1449">
        <v>-45.83</v>
      </c>
      <c r="P1449" t="str">
        <f>IF(Walmart[[#This Row],[Sales]]&gt;=1000,"High Value", IF(Walmart[[#This Row],[Sales]]&gt;=500,"Medium Value","Low Value"))</f>
        <v>Low Value</v>
      </c>
    </row>
    <row r="1450" spans="1:16" hidden="1" x14ac:dyDescent="0.3">
      <c r="A1450" t="s">
        <v>3281</v>
      </c>
      <c r="B1450" s="1">
        <v>41174</v>
      </c>
      <c r="C1450" s="1" t="str">
        <f>TEXT(Walmart[[#This Row],[Order Date]],"mmmm")</f>
        <v>September</v>
      </c>
      <c r="D1450" s="1">
        <v>41178</v>
      </c>
      <c r="E1450" s="1" t="str">
        <f>IF(DATEDIF(Walmart[[#This Row],[Order Date]],Walmart[[#This Row],[Ship Date]],"D")&lt;7,"On time","Delayed")</f>
        <v>On time</v>
      </c>
      <c r="F1450" t="s">
        <v>1785</v>
      </c>
      <c r="G1450" t="s">
        <v>14</v>
      </c>
      <c r="H1450" t="s">
        <v>15</v>
      </c>
      <c r="I1450" t="s">
        <v>16</v>
      </c>
      <c r="J1450" t="s">
        <v>105</v>
      </c>
      <c r="K1450" t="s">
        <v>601</v>
      </c>
      <c r="L1450">
        <v>61.44</v>
      </c>
      <c r="M1450">
        <v>3</v>
      </c>
      <c r="N1450" t="str">
        <f>IF(Walmart[[#This Row],[Quantity]]&gt;=7,"Bulk",IF(Walmart[[#This Row],[Quantity]]&gt;=2,"Multi","Single"))</f>
        <v>Multi</v>
      </c>
      <c r="O1450">
        <v>16.59</v>
      </c>
      <c r="P1450" t="str">
        <f>IF(Walmart[[#This Row],[Sales]]&gt;=1000,"High Value", IF(Walmart[[#This Row],[Sales]]&gt;=500,"Medium Value","Low Value"))</f>
        <v>Low Value</v>
      </c>
    </row>
    <row r="1451" spans="1:16" hidden="1" x14ac:dyDescent="0.3">
      <c r="A1451" t="s">
        <v>3282</v>
      </c>
      <c r="B1451" s="1">
        <v>41586</v>
      </c>
      <c r="C1451" s="1" t="str">
        <f>TEXT(Walmart[[#This Row],[Order Date]],"mmmm")</f>
        <v>November</v>
      </c>
      <c r="D1451" s="1">
        <v>41592</v>
      </c>
      <c r="E1451" s="1" t="str">
        <f>IF(DATEDIF(Walmart[[#This Row],[Order Date]],Walmart[[#This Row],[Ship Date]],"D")&lt;7,"On time","Delayed")</f>
        <v>On time</v>
      </c>
      <c r="F1451" t="s">
        <v>798</v>
      </c>
      <c r="G1451" t="s">
        <v>14</v>
      </c>
      <c r="H1451" t="s">
        <v>37</v>
      </c>
      <c r="I1451" t="s">
        <v>16</v>
      </c>
      <c r="J1451" t="s">
        <v>53</v>
      </c>
      <c r="K1451" t="s">
        <v>468</v>
      </c>
      <c r="L1451">
        <v>479.97</v>
      </c>
      <c r="M1451">
        <v>3</v>
      </c>
      <c r="N1451" t="str">
        <f>IF(Walmart[[#This Row],[Quantity]]&gt;=7,"Bulk",IF(Walmart[[#This Row],[Quantity]]&gt;=2,"Multi","Single"))</f>
        <v>Multi</v>
      </c>
      <c r="O1451">
        <v>163.19</v>
      </c>
      <c r="P1451" t="str">
        <f>IF(Walmart[[#This Row],[Sales]]&gt;=1000,"High Value", IF(Walmart[[#This Row],[Sales]]&gt;=500,"Medium Value","Low Value"))</f>
        <v>Low Value</v>
      </c>
    </row>
    <row r="1452" spans="1:16" x14ac:dyDescent="0.3">
      <c r="A1452" t="s">
        <v>1759</v>
      </c>
      <c r="B1452" s="1">
        <v>41705</v>
      </c>
      <c r="C1452" s="1" t="str">
        <f>TEXT(Walmart[[#This Row],[Order Date]],"mmmm")</f>
        <v>March</v>
      </c>
      <c r="D1452" s="1">
        <v>41709</v>
      </c>
      <c r="E1452" s="1" t="str">
        <f>IF(DATEDIF(Walmart[[#This Row],[Order Date]],Walmart[[#This Row],[Ship Date]],"D")&lt;7,"On time","Delayed")</f>
        <v>On time</v>
      </c>
      <c r="F1452" t="s">
        <v>605</v>
      </c>
      <c r="G1452" t="s">
        <v>14</v>
      </c>
      <c r="H1452" t="s">
        <v>37</v>
      </c>
      <c r="I1452" t="s">
        <v>16</v>
      </c>
      <c r="J1452" t="s">
        <v>27</v>
      </c>
      <c r="K1452" t="s">
        <v>1760</v>
      </c>
      <c r="L1452">
        <v>14.98</v>
      </c>
      <c r="M1452">
        <v>9</v>
      </c>
      <c r="N1452" t="str">
        <f>IF(Walmart[[#This Row],[Quantity]]&gt;=7,"Bulk",IF(Walmart[[#This Row],[Quantity]]&gt;=2,"Multi","Single"))</f>
        <v>Bulk</v>
      </c>
      <c r="O1452">
        <v>5.43</v>
      </c>
      <c r="P1452" t="str">
        <f>IF(Walmart[[#This Row],[Sales]]&gt;=1000,"High Value", IF(Walmart[[#This Row],[Sales]]&gt;=500,"Medium Value","Low Value"))</f>
        <v>Low Value</v>
      </c>
    </row>
    <row r="1453" spans="1:16" hidden="1" x14ac:dyDescent="0.3">
      <c r="A1453" t="s">
        <v>3285</v>
      </c>
      <c r="B1453" s="1">
        <v>41047</v>
      </c>
      <c r="C1453" s="1" t="str">
        <f>TEXT(Walmart[[#This Row],[Order Date]],"mmmm")</f>
        <v>May</v>
      </c>
      <c r="D1453" s="1">
        <v>41051</v>
      </c>
      <c r="E1453" s="1" t="str">
        <f>IF(DATEDIF(Walmart[[#This Row],[Order Date]],Walmart[[#This Row],[Ship Date]],"D")&lt;7,"On time","Delayed")</f>
        <v>On time</v>
      </c>
      <c r="F1453" t="s">
        <v>2171</v>
      </c>
      <c r="G1453" t="s">
        <v>14</v>
      </c>
      <c r="H1453" t="s">
        <v>15</v>
      </c>
      <c r="I1453" t="s">
        <v>16</v>
      </c>
      <c r="J1453" t="s">
        <v>93</v>
      </c>
      <c r="K1453" t="s">
        <v>3286</v>
      </c>
      <c r="L1453">
        <v>10.86</v>
      </c>
      <c r="M1453">
        <v>2</v>
      </c>
      <c r="N1453" t="str">
        <f>IF(Walmart[[#This Row],[Quantity]]&gt;=7,"Bulk",IF(Walmart[[#This Row],[Quantity]]&gt;=2,"Multi","Single"))</f>
        <v>Multi</v>
      </c>
      <c r="O1453">
        <v>5.32</v>
      </c>
      <c r="P1453" t="str">
        <f>IF(Walmart[[#This Row],[Sales]]&gt;=1000,"High Value", IF(Walmart[[#This Row],[Sales]]&gt;=500,"Medium Value","Low Value"))</f>
        <v>Low Value</v>
      </c>
    </row>
    <row r="1454" spans="1:16" hidden="1" x14ac:dyDescent="0.3">
      <c r="A1454" t="s">
        <v>3287</v>
      </c>
      <c r="B1454" s="1">
        <v>40628</v>
      </c>
      <c r="C1454" s="1" t="str">
        <f>TEXT(Walmart[[#This Row],[Order Date]],"mmmm")</f>
        <v>March</v>
      </c>
      <c r="D1454" s="1">
        <v>40633</v>
      </c>
      <c r="E1454" s="1" t="str">
        <f>IF(DATEDIF(Walmart[[#This Row],[Order Date]],Walmart[[#This Row],[Ship Date]],"D")&lt;7,"On time","Delayed")</f>
        <v>On time</v>
      </c>
      <c r="F1454" t="s">
        <v>692</v>
      </c>
      <c r="G1454" t="s">
        <v>14</v>
      </c>
      <c r="H1454" t="s">
        <v>37</v>
      </c>
      <c r="I1454" t="s">
        <v>16</v>
      </c>
      <c r="J1454" t="s">
        <v>38</v>
      </c>
      <c r="K1454" t="s">
        <v>3288</v>
      </c>
      <c r="L1454">
        <v>3.36</v>
      </c>
      <c r="M1454">
        <v>2</v>
      </c>
      <c r="N1454" t="str">
        <f>IF(Walmart[[#This Row],[Quantity]]&gt;=7,"Bulk",IF(Walmart[[#This Row],[Quantity]]&gt;=2,"Multi","Single"))</f>
        <v>Multi</v>
      </c>
      <c r="O1454">
        <v>0.84</v>
      </c>
      <c r="P1454" t="str">
        <f>IF(Walmart[[#This Row],[Sales]]&gt;=1000,"High Value", IF(Walmart[[#This Row],[Sales]]&gt;=500,"Medium Value","Low Value"))</f>
        <v>Low Value</v>
      </c>
    </row>
    <row r="1455" spans="1:16" x14ac:dyDescent="0.3">
      <c r="A1455" t="s">
        <v>2101</v>
      </c>
      <c r="B1455" s="1">
        <v>41705</v>
      </c>
      <c r="C1455" s="1" t="str">
        <f>TEXT(Walmart[[#This Row],[Order Date]],"mmmm")</f>
        <v>March</v>
      </c>
      <c r="D1455" s="1">
        <v>41709</v>
      </c>
      <c r="E1455" s="1" t="str">
        <f>IF(DATEDIF(Walmart[[#This Row],[Order Date]],Walmart[[#This Row],[Ship Date]],"D")&lt;7,"On time","Delayed")</f>
        <v>On time</v>
      </c>
      <c r="F1455" t="s">
        <v>96</v>
      </c>
      <c r="G1455" t="s">
        <v>14</v>
      </c>
      <c r="H1455" t="s">
        <v>37</v>
      </c>
      <c r="I1455" t="s">
        <v>16</v>
      </c>
      <c r="J1455" t="s">
        <v>33</v>
      </c>
      <c r="K1455" t="s">
        <v>1389</v>
      </c>
      <c r="L1455">
        <v>67.78</v>
      </c>
      <c r="M1455">
        <v>2</v>
      </c>
      <c r="N1455" t="str">
        <f>IF(Walmart[[#This Row],[Quantity]]&gt;=7,"Bulk",IF(Walmart[[#This Row],[Quantity]]&gt;=2,"Multi","Single"))</f>
        <v>Multi</v>
      </c>
      <c r="O1455">
        <v>16.95</v>
      </c>
      <c r="P1455" t="str">
        <f>IF(Walmart[[#This Row],[Sales]]&gt;=1000,"High Value", IF(Walmart[[#This Row],[Sales]]&gt;=500,"Medium Value","Low Value"))</f>
        <v>Low Value</v>
      </c>
    </row>
    <row r="1456" spans="1:16" hidden="1" x14ac:dyDescent="0.3">
      <c r="A1456" t="s">
        <v>3290</v>
      </c>
      <c r="B1456" s="1">
        <v>41164</v>
      </c>
      <c r="C1456" s="1" t="str">
        <f>TEXT(Walmart[[#This Row],[Order Date]],"mmmm")</f>
        <v>September</v>
      </c>
      <c r="D1456" s="1">
        <v>41169</v>
      </c>
      <c r="E1456" s="1" t="str">
        <f>IF(DATEDIF(Walmart[[#This Row],[Order Date]],Walmart[[#This Row],[Ship Date]],"D")&lt;7,"On time","Delayed")</f>
        <v>On time</v>
      </c>
      <c r="F1456" t="s">
        <v>946</v>
      </c>
      <c r="G1456" t="s">
        <v>14</v>
      </c>
      <c r="H1456" t="s">
        <v>25</v>
      </c>
      <c r="I1456" t="s">
        <v>26</v>
      </c>
      <c r="J1456" t="s">
        <v>53</v>
      </c>
      <c r="K1456" t="s">
        <v>3291</v>
      </c>
      <c r="L1456">
        <v>21.98</v>
      </c>
      <c r="M1456">
        <v>2</v>
      </c>
      <c r="N1456" t="str">
        <f>IF(Walmart[[#This Row],[Quantity]]&gt;=7,"Bulk",IF(Walmart[[#This Row],[Quantity]]&gt;=2,"Multi","Single"))</f>
        <v>Multi</v>
      </c>
      <c r="O1456">
        <v>8.57</v>
      </c>
      <c r="P1456" t="str">
        <f>IF(Walmart[[#This Row],[Sales]]&gt;=1000,"High Value", IF(Walmart[[#This Row],[Sales]]&gt;=500,"Medium Value","Low Value"))</f>
        <v>Low Value</v>
      </c>
    </row>
    <row r="1457" spans="1:16" hidden="1" x14ac:dyDescent="0.3">
      <c r="A1457" t="s">
        <v>3292</v>
      </c>
      <c r="B1457" s="1">
        <v>41202</v>
      </c>
      <c r="C1457" s="1" t="str">
        <f>TEXT(Walmart[[#This Row],[Order Date]],"mmmm")</f>
        <v>October</v>
      </c>
      <c r="D1457" s="1">
        <v>41206</v>
      </c>
      <c r="E1457" s="1" t="str">
        <f>IF(DATEDIF(Walmart[[#This Row],[Order Date]],Walmart[[#This Row],[Ship Date]],"D")&lt;7,"On time","Delayed")</f>
        <v>On time</v>
      </c>
      <c r="F1457" t="s">
        <v>1269</v>
      </c>
      <c r="G1457" t="s">
        <v>14</v>
      </c>
      <c r="H1457" t="s">
        <v>15</v>
      </c>
      <c r="I1457" t="s">
        <v>16</v>
      </c>
      <c r="J1457" t="s">
        <v>21</v>
      </c>
      <c r="K1457" t="s">
        <v>3293</v>
      </c>
      <c r="L1457">
        <v>74.760000000000005</v>
      </c>
      <c r="M1457">
        <v>7</v>
      </c>
      <c r="N1457" t="str">
        <f>IF(Walmart[[#This Row],[Quantity]]&gt;=7,"Bulk",IF(Walmart[[#This Row],[Quantity]]&gt;=2,"Multi","Single"))</f>
        <v>Bulk</v>
      </c>
      <c r="O1457">
        <v>23.92</v>
      </c>
      <c r="P1457" t="str">
        <f>IF(Walmart[[#This Row],[Sales]]&gt;=1000,"High Value", IF(Walmart[[#This Row],[Sales]]&gt;=500,"Medium Value","Low Value"))</f>
        <v>Low Value</v>
      </c>
    </row>
    <row r="1458" spans="1:16" hidden="1" x14ac:dyDescent="0.3">
      <c r="A1458" t="s">
        <v>3294</v>
      </c>
      <c r="B1458" s="1">
        <v>41440</v>
      </c>
      <c r="C1458" s="1" t="str">
        <f>TEXT(Walmart[[#This Row],[Order Date]],"mmmm")</f>
        <v>June</v>
      </c>
      <c r="D1458" s="1">
        <v>41444</v>
      </c>
      <c r="E1458" s="1" t="str">
        <f>IF(DATEDIF(Walmart[[#This Row],[Order Date]],Walmart[[#This Row],[Ship Date]],"D")&lt;7,"On time","Delayed")</f>
        <v>On time</v>
      </c>
      <c r="F1458" t="s">
        <v>369</v>
      </c>
      <c r="G1458" t="s">
        <v>14</v>
      </c>
      <c r="H1458" t="s">
        <v>25</v>
      </c>
      <c r="I1458" t="s">
        <v>26</v>
      </c>
      <c r="J1458" t="s">
        <v>43</v>
      </c>
      <c r="K1458" t="s">
        <v>614</v>
      </c>
      <c r="L1458">
        <v>1115.17</v>
      </c>
      <c r="M1458">
        <v>7</v>
      </c>
      <c r="N1458" t="str">
        <f>IF(Walmart[[#This Row],[Quantity]]&gt;=7,"Bulk",IF(Walmart[[#This Row],[Quantity]]&gt;=2,"Multi","Single"))</f>
        <v>Bulk</v>
      </c>
      <c r="O1458">
        <v>334.55</v>
      </c>
      <c r="P1458" t="str">
        <f>IF(Walmart[[#This Row],[Sales]]&gt;=1000,"High Value", IF(Walmart[[#This Row],[Sales]]&gt;=500,"Medium Value","Low Value"))</f>
        <v>High Value</v>
      </c>
    </row>
    <row r="1459" spans="1:16" hidden="1" x14ac:dyDescent="0.3">
      <c r="A1459" t="s">
        <v>3295</v>
      </c>
      <c r="B1459" s="1">
        <v>41233</v>
      </c>
      <c r="C1459" s="1" t="str">
        <f>TEXT(Walmart[[#This Row],[Order Date]],"mmmm")</f>
        <v>November</v>
      </c>
      <c r="D1459" s="1">
        <v>41234</v>
      </c>
      <c r="E1459" s="1" t="str">
        <f>IF(DATEDIF(Walmart[[#This Row],[Order Date]],Walmart[[#This Row],[Ship Date]],"D")&lt;7,"On time","Delayed")</f>
        <v>On time</v>
      </c>
      <c r="F1459" t="s">
        <v>1806</v>
      </c>
      <c r="G1459" t="s">
        <v>14</v>
      </c>
      <c r="H1459" t="s">
        <v>160</v>
      </c>
      <c r="I1459" t="s">
        <v>16</v>
      </c>
      <c r="J1459" t="s">
        <v>27</v>
      </c>
      <c r="K1459" t="s">
        <v>1744</v>
      </c>
      <c r="L1459">
        <v>89.7</v>
      </c>
      <c r="M1459">
        <v>4</v>
      </c>
      <c r="N1459" t="str">
        <f>IF(Walmart[[#This Row],[Quantity]]&gt;=7,"Bulk",IF(Walmart[[#This Row],[Quantity]]&gt;=2,"Multi","Single"))</f>
        <v>Multi</v>
      </c>
      <c r="O1459">
        <v>33.64</v>
      </c>
      <c r="P1459" t="str">
        <f>IF(Walmart[[#This Row],[Sales]]&gt;=1000,"High Value", IF(Walmart[[#This Row],[Sales]]&gt;=500,"Medium Value","Low Value"))</f>
        <v>Low Value</v>
      </c>
    </row>
    <row r="1460" spans="1:16" hidden="1" x14ac:dyDescent="0.3">
      <c r="A1460" t="s">
        <v>3296</v>
      </c>
      <c r="B1460" s="1">
        <v>41520</v>
      </c>
      <c r="C1460" s="1" t="str">
        <f>TEXT(Walmart[[#This Row],[Order Date]],"mmmm")</f>
        <v>September</v>
      </c>
      <c r="D1460" s="1">
        <v>41523</v>
      </c>
      <c r="E1460" s="1" t="str">
        <f>IF(DATEDIF(Walmart[[#This Row],[Order Date]],Walmart[[#This Row],[Ship Date]],"D")&lt;7,"On time","Delayed")</f>
        <v>On time</v>
      </c>
      <c r="F1460" t="s">
        <v>2693</v>
      </c>
      <c r="G1460" t="s">
        <v>14</v>
      </c>
      <c r="H1460" t="s">
        <v>222</v>
      </c>
      <c r="I1460" t="s">
        <v>26</v>
      </c>
      <c r="J1460" t="s">
        <v>88</v>
      </c>
      <c r="K1460" t="s">
        <v>1033</v>
      </c>
      <c r="L1460">
        <v>215.98</v>
      </c>
      <c r="M1460">
        <v>3</v>
      </c>
      <c r="N1460" t="str">
        <f>IF(Walmart[[#This Row],[Quantity]]&gt;=7,"Bulk",IF(Walmart[[#This Row],[Quantity]]&gt;=2,"Multi","Single"))</f>
        <v>Multi</v>
      </c>
      <c r="O1460">
        <v>-2.7</v>
      </c>
      <c r="P1460" t="str">
        <f>IF(Walmart[[#This Row],[Sales]]&gt;=1000,"High Value", IF(Walmart[[#This Row],[Sales]]&gt;=500,"Medium Value","Low Value"))</f>
        <v>Low Value</v>
      </c>
    </row>
    <row r="1461" spans="1:16" x14ac:dyDescent="0.3">
      <c r="A1461" t="s">
        <v>2561</v>
      </c>
      <c r="B1461" s="1">
        <v>41705</v>
      </c>
      <c r="C1461" s="1" t="str">
        <f>TEXT(Walmart[[#This Row],[Order Date]],"mmmm")</f>
        <v>March</v>
      </c>
      <c r="D1461" s="1">
        <v>41709</v>
      </c>
      <c r="E1461" s="1" t="str">
        <f>IF(DATEDIF(Walmart[[#This Row],[Order Date]],Walmart[[#This Row],[Ship Date]],"D")&lt;7,"On time","Delayed")</f>
        <v>On time</v>
      </c>
      <c r="F1461" t="s">
        <v>2538</v>
      </c>
      <c r="G1461" t="s">
        <v>14</v>
      </c>
      <c r="H1461" t="s">
        <v>37</v>
      </c>
      <c r="I1461" t="s">
        <v>16</v>
      </c>
      <c r="J1461" t="s">
        <v>38</v>
      </c>
      <c r="K1461" t="s">
        <v>2562</v>
      </c>
      <c r="L1461">
        <v>23.88</v>
      </c>
      <c r="M1461">
        <v>6</v>
      </c>
      <c r="N1461" t="str">
        <f>IF(Walmart[[#This Row],[Quantity]]&gt;=7,"Bulk",IF(Walmart[[#This Row],[Quantity]]&gt;=2,"Multi","Single"))</f>
        <v>Multi</v>
      </c>
      <c r="O1461">
        <v>8.1199999999999992</v>
      </c>
      <c r="P1461" t="str">
        <f>IF(Walmart[[#This Row],[Sales]]&gt;=1000,"High Value", IF(Walmart[[#This Row],[Sales]]&gt;=500,"Medium Value","Low Value"))</f>
        <v>Low Value</v>
      </c>
    </row>
    <row r="1462" spans="1:16" hidden="1" x14ac:dyDescent="0.3">
      <c r="A1462" t="s">
        <v>3299</v>
      </c>
      <c r="B1462" s="1">
        <v>41528</v>
      </c>
      <c r="C1462" s="1" t="str">
        <f>TEXT(Walmart[[#This Row],[Order Date]],"mmmm")</f>
        <v>September</v>
      </c>
      <c r="D1462" s="1">
        <v>41530</v>
      </c>
      <c r="E1462" s="1" t="str">
        <f>IF(DATEDIF(Walmart[[#This Row],[Order Date]],Walmart[[#This Row],[Ship Date]],"D")&lt;7,"On time","Delayed")</f>
        <v>On time</v>
      </c>
      <c r="F1462" t="s">
        <v>337</v>
      </c>
      <c r="G1462" t="s">
        <v>14</v>
      </c>
      <c r="H1462" t="s">
        <v>15</v>
      </c>
      <c r="I1462" t="s">
        <v>16</v>
      </c>
      <c r="J1462" t="s">
        <v>27</v>
      </c>
      <c r="K1462" t="s">
        <v>3300</v>
      </c>
      <c r="L1462">
        <v>276.77999999999997</v>
      </c>
      <c r="M1462">
        <v>2</v>
      </c>
      <c r="N1462" t="str">
        <f>IF(Walmart[[#This Row],[Quantity]]&gt;=7,"Bulk",IF(Walmart[[#This Row],[Quantity]]&gt;=2,"Multi","Single"))</f>
        <v>Multi</v>
      </c>
      <c r="O1462">
        <v>89.95</v>
      </c>
      <c r="P1462" t="str">
        <f>IF(Walmart[[#This Row],[Sales]]&gt;=1000,"High Value", IF(Walmart[[#This Row],[Sales]]&gt;=500,"Medium Value","Low Value"))</f>
        <v>Low Value</v>
      </c>
    </row>
    <row r="1463" spans="1:16" hidden="1" x14ac:dyDescent="0.3">
      <c r="A1463" t="s">
        <v>3301</v>
      </c>
      <c r="B1463" s="1">
        <v>41312</v>
      </c>
      <c r="C1463" s="1" t="str">
        <f>TEXT(Walmart[[#This Row],[Order Date]],"mmmm")</f>
        <v>February</v>
      </c>
      <c r="D1463" s="1">
        <v>41315</v>
      </c>
      <c r="E1463" s="1" t="str">
        <f>IF(DATEDIF(Walmart[[#This Row],[Order Date]],Walmart[[#This Row],[Ship Date]],"D")&lt;7,"On time","Delayed")</f>
        <v>On time</v>
      </c>
      <c r="F1463" t="s">
        <v>634</v>
      </c>
      <c r="G1463" t="s">
        <v>14</v>
      </c>
      <c r="H1463" t="s">
        <v>15</v>
      </c>
      <c r="I1463" t="s">
        <v>16</v>
      </c>
      <c r="J1463" t="s">
        <v>146</v>
      </c>
      <c r="K1463" t="s">
        <v>2703</v>
      </c>
      <c r="L1463">
        <v>623.96</v>
      </c>
      <c r="M1463">
        <v>5</v>
      </c>
      <c r="N1463" t="str">
        <f>IF(Walmart[[#This Row],[Quantity]]&gt;=7,"Bulk",IF(Walmart[[#This Row],[Quantity]]&gt;=2,"Multi","Single"))</f>
        <v>Multi</v>
      </c>
      <c r="O1463">
        <v>39</v>
      </c>
      <c r="P1463" t="str">
        <f>IF(Walmart[[#This Row],[Sales]]&gt;=1000,"High Value", IF(Walmart[[#This Row],[Sales]]&gt;=500,"Medium Value","Low Value"))</f>
        <v>Medium Value</v>
      </c>
    </row>
    <row r="1464" spans="1:16" hidden="1" x14ac:dyDescent="0.3">
      <c r="A1464" t="s">
        <v>3302</v>
      </c>
      <c r="B1464" s="1">
        <v>41432</v>
      </c>
      <c r="C1464" s="1" t="str">
        <f>TEXT(Walmart[[#This Row],[Order Date]],"mmmm")</f>
        <v>June</v>
      </c>
      <c r="D1464" s="1">
        <v>41438</v>
      </c>
      <c r="E1464" s="1" t="str">
        <f>IF(DATEDIF(Walmart[[#This Row],[Order Date]],Walmart[[#This Row],[Ship Date]],"D")&lt;7,"On time","Delayed")</f>
        <v>On time</v>
      </c>
      <c r="F1464" t="s">
        <v>1175</v>
      </c>
      <c r="G1464" t="s">
        <v>14</v>
      </c>
      <c r="H1464" t="s">
        <v>15</v>
      </c>
      <c r="I1464" t="s">
        <v>16</v>
      </c>
      <c r="J1464" t="s">
        <v>17</v>
      </c>
      <c r="K1464" t="s">
        <v>3303</v>
      </c>
      <c r="L1464">
        <v>22.05</v>
      </c>
      <c r="M1464">
        <v>7</v>
      </c>
      <c r="N1464" t="str">
        <f>IF(Walmart[[#This Row],[Quantity]]&gt;=7,"Bulk",IF(Walmart[[#This Row],[Quantity]]&gt;=2,"Multi","Single"))</f>
        <v>Bulk</v>
      </c>
      <c r="O1464">
        <v>10.58</v>
      </c>
      <c r="P1464" t="str">
        <f>IF(Walmart[[#This Row],[Sales]]&gt;=1000,"High Value", IF(Walmart[[#This Row],[Sales]]&gt;=500,"Medium Value","Low Value"))</f>
        <v>Low Value</v>
      </c>
    </row>
    <row r="1465" spans="1:16" x14ac:dyDescent="0.3">
      <c r="A1465" t="s">
        <v>242</v>
      </c>
      <c r="B1465" s="1">
        <v>41703</v>
      </c>
      <c r="C1465" s="1" t="str">
        <f>TEXT(Walmart[[#This Row],[Order Date]],"mmmm")</f>
        <v>March</v>
      </c>
      <c r="D1465" s="1">
        <v>41708</v>
      </c>
      <c r="E1465" s="1" t="str">
        <f>IF(DATEDIF(Walmart[[#This Row],[Order Date]],Walmart[[#This Row],[Ship Date]],"D")&lt;7,"On time","Delayed")</f>
        <v>On time</v>
      </c>
      <c r="F1465" t="s">
        <v>243</v>
      </c>
      <c r="G1465" t="s">
        <v>14</v>
      </c>
      <c r="H1465" t="s">
        <v>15</v>
      </c>
      <c r="I1465" t="s">
        <v>16</v>
      </c>
      <c r="J1465" t="s">
        <v>38</v>
      </c>
      <c r="K1465" t="s">
        <v>244</v>
      </c>
      <c r="L1465">
        <v>9.32</v>
      </c>
      <c r="M1465">
        <v>4</v>
      </c>
      <c r="N1465" t="str">
        <f>IF(Walmart[[#This Row],[Quantity]]&gt;=7,"Bulk",IF(Walmart[[#This Row],[Quantity]]&gt;=2,"Multi","Single"))</f>
        <v>Multi</v>
      </c>
      <c r="O1465">
        <v>2.7</v>
      </c>
      <c r="P1465" t="str">
        <f>IF(Walmart[[#This Row],[Sales]]&gt;=1000,"High Value", IF(Walmart[[#This Row],[Sales]]&gt;=500,"Medium Value","Low Value"))</f>
        <v>Low Value</v>
      </c>
    </row>
    <row r="1466" spans="1:16" x14ac:dyDescent="0.3">
      <c r="A1466" t="s">
        <v>2572</v>
      </c>
      <c r="B1466" s="1">
        <v>41702</v>
      </c>
      <c r="C1466" s="1" t="str">
        <f>TEXT(Walmart[[#This Row],[Order Date]],"mmmm")</f>
        <v>March</v>
      </c>
      <c r="D1466" s="1">
        <v>41707</v>
      </c>
      <c r="E1466" s="1" t="str">
        <f>IF(DATEDIF(Walmart[[#This Row],[Order Date]],Walmart[[#This Row],[Ship Date]],"D")&lt;7,"On time","Delayed")</f>
        <v>On time</v>
      </c>
      <c r="F1466" t="s">
        <v>1650</v>
      </c>
      <c r="G1466" t="s">
        <v>14</v>
      </c>
      <c r="H1466" t="s">
        <v>15</v>
      </c>
      <c r="I1466" t="s">
        <v>16</v>
      </c>
      <c r="J1466" t="s">
        <v>53</v>
      </c>
      <c r="K1466" t="s">
        <v>2573</v>
      </c>
      <c r="L1466">
        <v>1049.44</v>
      </c>
      <c r="M1466">
        <v>8</v>
      </c>
      <c r="N1466" t="str">
        <f>IF(Walmart[[#This Row],[Quantity]]&gt;=7,"Bulk",IF(Walmart[[#This Row],[Quantity]]&gt;=2,"Multi","Single"))</f>
        <v>Bulk</v>
      </c>
      <c r="O1466">
        <v>440.76</v>
      </c>
      <c r="P1466" t="str">
        <f>IF(Walmart[[#This Row],[Sales]]&gt;=1000,"High Value", IF(Walmart[[#This Row],[Sales]]&gt;=500,"Medium Value","Low Value"))</f>
        <v>High Value</v>
      </c>
    </row>
    <row r="1467" spans="1:16" hidden="1" x14ac:dyDescent="0.3">
      <c r="A1467" t="s">
        <v>3309</v>
      </c>
      <c r="B1467" s="1">
        <v>41241</v>
      </c>
      <c r="C1467" s="1" t="str">
        <f>TEXT(Walmart[[#This Row],[Order Date]],"mmmm")</f>
        <v>November</v>
      </c>
      <c r="D1467" s="1">
        <v>41246</v>
      </c>
      <c r="E1467" s="1" t="str">
        <f>IF(DATEDIF(Walmart[[#This Row],[Order Date]],Walmart[[#This Row],[Ship Date]],"D")&lt;7,"On time","Delayed")</f>
        <v>On time</v>
      </c>
      <c r="F1467" t="s">
        <v>1779</v>
      </c>
      <c r="G1467" t="s">
        <v>14</v>
      </c>
      <c r="H1467" t="s">
        <v>1297</v>
      </c>
      <c r="I1467" t="s">
        <v>123</v>
      </c>
      <c r="J1467" t="s">
        <v>38</v>
      </c>
      <c r="K1467" t="s">
        <v>1881</v>
      </c>
      <c r="L1467">
        <v>8.2799999999999994</v>
      </c>
      <c r="M1467">
        <v>2</v>
      </c>
      <c r="N1467" t="str">
        <f>IF(Walmart[[#This Row],[Quantity]]&gt;=7,"Bulk",IF(Walmart[[#This Row],[Quantity]]&gt;=2,"Multi","Single"))</f>
        <v>Multi</v>
      </c>
      <c r="O1467">
        <v>3.48</v>
      </c>
      <c r="P1467" t="str">
        <f>IF(Walmart[[#This Row],[Sales]]&gt;=1000,"High Value", IF(Walmart[[#This Row],[Sales]]&gt;=500,"Medium Value","Low Value"))</f>
        <v>Low Value</v>
      </c>
    </row>
    <row r="1468" spans="1:16" x14ac:dyDescent="0.3">
      <c r="A1468" t="s">
        <v>3174</v>
      </c>
      <c r="B1468" s="1">
        <v>41702</v>
      </c>
      <c r="C1468" s="1" t="str">
        <f>TEXT(Walmart[[#This Row],[Order Date]],"mmmm")</f>
        <v>March</v>
      </c>
      <c r="D1468" s="1">
        <v>41707</v>
      </c>
      <c r="E1468" s="1" t="str">
        <f>IF(DATEDIF(Walmart[[#This Row],[Order Date]],Walmart[[#This Row],[Ship Date]],"D")&lt;7,"On time","Delayed")</f>
        <v>On time</v>
      </c>
      <c r="F1468" t="s">
        <v>1206</v>
      </c>
      <c r="G1468" t="s">
        <v>14</v>
      </c>
      <c r="H1468" t="s">
        <v>15</v>
      </c>
      <c r="I1468" t="s">
        <v>16</v>
      </c>
      <c r="J1468" t="s">
        <v>43</v>
      </c>
      <c r="K1468" t="s">
        <v>1431</v>
      </c>
      <c r="L1468">
        <v>399.67</v>
      </c>
      <c r="M1468">
        <v>7</v>
      </c>
      <c r="N1468" t="str">
        <f>IF(Walmart[[#This Row],[Quantity]]&gt;=7,"Bulk",IF(Walmart[[#This Row],[Quantity]]&gt;=2,"Multi","Single"))</f>
        <v>Bulk</v>
      </c>
      <c r="O1468">
        <v>-14.99</v>
      </c>
      <c r="P1468" t="str">
        <f>IF(Walmart[[#This Row],[Sales]]&gt;=1000,"High Value", IF(Walmart[[#This Row],[Sales]]&gt;=500,"Medium Value","Low Value"))</f>
        <v>Low Value</v>
      </c>
    </row>
    <row r="1469" spans="1:16" hidden="1" x14ac:dyDescent="0.3">
      <c r="A1469" t="s">
        <v>3312</v>
      </c>
      <c r="B1469" s="1">
        <v>41152</v>
      </c>
      <c r="C1469" s="1" t="str">
        <f>TEXT(Walmart[[#This Row],[Order Date]],"mmmm")</f>
        <v>August</v>
      </c>
      <c r="D1469" s="1">
        <v>41156</v>
      </c>
      <c r="E1469" s="1" t="str">
        <f>IF(DATEDIF(Walmart[[#This Row],[Order Date]],Walmart[[#This Row],[Ship Date]],"D")&lt;7,"On time","Delayed")</f>
        <v>On time</v>
      </c>
      <c r="F1469" t="s">
        <v>1078</v>
      </c>
      <c r="G1469" t="s">
        <v>14</v>
      </c>
      <c r="H1469" t="s">
        <v>160</v>
      </c>
      <c r="I1469" t="s">
        <v>16</v>
      </c>
      <c r="J1469" t="s">
        <v>146</v>
      </c>
      <c r="K1469" t="s">
        <v>2335</v>
      </c>
      <c r="L1469">
        <v>555.96</v>
      </c>
      <c r="M1469">
        <v>5</v>
      </c>
      <c r="N1469" t="str">
        <f>IF(Walmart[[#This Row],[Quantity]]&gt;=7,"Bulk",IF(Walmart[[#This Row],[Quantity]]&gt;=2,"Multi","Single"))</f>
        <v>Multi</v>
      </c>
      <c r="O1469">
        <v>41.7</v>
      </c>
      <c r="P1469" t="str">
        <f>IF(Walmart[[#This Row],[Sales]]&gt;=1000,"High Value", IF(Walmart[[#This Row],[Sales]]&gt;=500,"Medium Value","Low Value"))</f>
        <v>Medium Value</v>
      </c>
    </row>
    <row r="1470" spans="1:16" x14ac:dyDescent="0.3">
      <c r="A1470" t="s">
        <v>1212</v>
      </c>
      <c r="B1470" s="1">
        <v>41701</v>
      </c>
      <c r="C1470" s="1" t="str">
        <f>TEXT(Walmart[[#This Row],[Order Date]],"mmmm")</f>
        <v>March</v>
      </c>
      <c r="D1470" s="1">
        <v>41707</v>
      </c>
      <c r="E1470" s="1" t="str">
        <f>IF(DATEDIF(Walmart[[#This Row],[Order Date]],Walmart[[#This Row],[Ship Date]],"D")&lt;7,"On time","Delayed")</f>
        <v>On time</v>
      </c>
      <c r="F1470" t="s">
        <v>277</v>
      </c>
      <c r="G1470" t="s">
        <v>14</v>
      </c>
      <c r="H1470" t="s">
        <v>15</v>
      </c>
      <c r="I1470" t="s">
        <v>16</v>
      </c>
      <c r="J1470" t="s">
        <v>146</v>
      </c>
      <c r="K1470" t="s">
        <v>1213</v>
      </c>
      <c r="L1470">
        <v>196.78</v>
      </c>
      <c r="M1470">
        <v>3</v>
      </c>
      <c r="N1470" t="str">
        <f>IF(Walmart[[#This Row],[Quantity]]&gt;=7,"Bulk",IF(Walmart[[#This Row],[Quantity]]&gt;=2,"Multi","Single"))</f>
        <v>Multi</v>
      </c>
      <c r="O1470">
        <v>14.76</v>
      </c>
      <c r="P1470" t="str">
        <f>IF(Walmart[[#This Row],[Sales]]&gt;=1000,"High Value", IF(Walmart[[#This Row],[Sales]]&gt;=500,"Medium Value","Low Value"))</f>
        <v>Low Value</v>
      </c>
    </row>
    <row r="1471" spans="1:16" x14ac:dyDescent="0.3">
      <c r="A1471" t="s">
        <v>3350</v>
      </c>
      <c r="B1471" s="1">
        <v>41701</v>
      </c>
      <c r="C1471" s="1" t="str">
        <f>TEXT(Walmart[[#This Row],[Order Date]],"mmmm")</f>
        <v>March</v>
      </c>
      <c r="D1471" s="1">
        <v>41707</v>
      </c>
      <c r="E1471" s="1" t="str">
        <f>IF(DATEDIF(Walmart[[#This Row],[Order Date]],Walmart[[#This Row],[Ship Date]],"D")&lt;7,"On time","Delayed")</f>
        <v>On time</v>
      </c>
      <c r="F1471" t="s">
        <v>1221</v>
      </c>
      <c r="G1471" t="s">
        <v>14</v>
      </c>
      <c r="H1471" t="s">
        <v>15</v>
      </c>
      <c r="I1471" t="s">
        <v>16</v>
      </c>
      <c r="J1471" t="s">
        <v>27</v>
      </c>
      <c r="K1471" t="s">
        <v>2146</v>
      </c>
      <c r="L1471">
        <v>107.65</v>
      </c>
      <c r="M1471">
        <v>2</v>
      </c>
      <c r="N1471" t="str">
        <f>IF(Walmart[[#This Row],[Quantity]]&gt;=7,"Bulk",IF(Walmart[[#This Row],[Quantity]]&gt;=2,"Multi","Single"))</f>
        <v>Multi</v>
      </c>
      <c r="O1471">
        <v>33.64</v>
      </c>
      <c r="P1471" t="str">
        <f>IF(Walmart[[#This Row],[Sales]]&gt;=1000,"High Value", IF(Walmart[[#This Row],[Sales]]&gt;=500,"Medium Value","Low Value"))</f>
        <v>Low Value</v>
      </c>
    </row>
    <row r="1472" spans="1:16" hidden="1" x14ac:dyDescent="0.3">
      <c r="A1472" t="s">
        <v>3316</v>
      </c>
      <c r="B1472" s="1">
        <v>41176</v>
      </c>
      <c r="C1472" s="1" t="str">
        <f>TEXT(Walmart[[#This Row],[Order Date]],"mmmm")</f>
        <v>September</v>
      </c>
      <c r="D1472" s="1">
        <v>41181</v>
      </c>
      <c r="E1472" s="1" t="str">
        <f>IF(DATEDIF(Walmart[[#This Row],[Order Date]],Walmart[[#This Row],[Ship Date]],"D")&lt;7,"On time","Delayed")</f>
        <v>On time</v>
      </c>
      <c r="F1472" t="s">
        <v>52</v>
      </c>
      <c r="G1472" t="s">
        <v>14</v>
      </c>
      <c r="H1472" t="s">
        <v>1973</v>
      </c>
      <c r="I1472" t="s">
        <v>58</v>
      </c>
      <c r="J1472" t="s">
        <v>38</v>
      </c>
      <c r="K1472" t="s">
        <v>2540</v>
      </c>
      <c r="L1472">
        <v>14.58</v>
      </c>
      <c r="M1472">
        <v>2</v>
      </c>
      <c r="N1472" t="str">
        <f>IF(Walmart[[#This Row],[Quantity]]&gt;=7,"Bulk",IF(Walmart[[#This Row],[Quantity]]&gt;=2,"Multi","Single"))</f>
        <v>Multi</v>
      </c>
      <c r="O1472">
        <v>2.37</v>
      </c>
      <c r="P1472" t="str">
        <f>IF(Walmart[[#This Row],[Sales]]&gt;=1000,"High Value", IF(Walmart[[#This Row],[Sales]]&gt;=500,"Medium Value","Low Value"))</f>
        <v>Low Value</v>
      </c>
    </row>
    <row r="1473" spans="1:16" hidden="1" x14ac:dyDescent="0.3">
      <c r="A1473" t="s">
        <v>3317</v>
      </c>
      <c r="B1473" s="1">
        <v>40567</v>
      </c>
      <c r="C1473" s="1" t="str">
        <f>TEXT(Walmart[[#This Row],[Order Date]],"mmmm")</f>
        <v>January</v>
      </c>
      <c r="D1473" s="1">
        <v>40572</v>
      </c>
      <c r="E1473" s="1" t="str">
        <f>IF(DATEDIF(Walmart[[#This Row],[Order Date]],Walmart[[#This Row],[Ship Date]],"D")&lt;7,"On time","Delayed")</f>
        <v>On time</v>
      </c>
      <c r="F1473" t="s">
        <v>2637</v>
      </c>
      <c r="G1473" t="s">
        <v>14</v>
      </c>
      <c r="H1473" t="s">
        <v>226</v>
      </c>
      <c r="I1473" t="s">
        <v>227</v>
      </c>
      <c r="J1473" t="s">
        <v>93</v>
      </c>
      <c r="K1473" t="s">
        <v>94</v>
      </c>
      <c r="L1473">
        <v>40.08</v>
      </c>
      <c r="M1473">
        <v>6</v>
      </c>
      <c r="N1473" t="str">
        <f>IF(Walmart[[#This Row],[Quantity]]&gt;=7,"Bulk",IF(Walmart[[#This Row],[Quantity]]&gt;=2,"Multi","Single"))</f>
        <v>Multi</v>
      </c>
      <c r="O1473">
        <v>19.239999999999998</v>
      </c>
      <c r="P1473" t="str">
        <f>IF(Walmart[[#This Row],[Sales]]&gt;=1000,"High Value", IF(Walmart[[#This Row],[Sales]]&gt;=500,"Medium Value","Low Value"))</f>
        <v>Low Value</v>
      </c>
    </row>
    <row r="1474" spans="1:16" hidden="1" x14ac:dyDescent="0.3">
      <c r="A1474" t="s">
        <v>3318</v>
      </c>
      <c r="B1474" s="1">
        <v>41450</v>
      </c>
      <c r="C1474" s="1" t="str">
        <f>TEXT(Walmart[[#This Row],[Order Date]],"mmmm")</f>
        <v>June</v>
      </c>
      <c r="D1474" s="1">
        <v>41452</v>
      </c>
      <c r="E1474" s="1" t="str">
        <f>IF(DATEDIF(Walmart[[#This Row],[Order Date]],Walmart[[#This Row],[Ship Date]],"D")&lt;7,"On time","Delayed")</f>
        <v>On time</v>
      </c>
      <c r="F1474" t="s">
        <v>127</v>
      </c>
      <c r="G1474" t="s">
        <v>14</v>
      </c>
      <c r="H1474" t="s">
        <v>160</v>
      </c>
      <c r="I1474" t="s">
        <v>16</v>
      </c>
      <c r="J1474" t="s">
        <v>1168</v>
      </c>
      <c r="K1474" t="s">
        <v>3319</v>
      </c>
      <c r="L1474">
        <v>4476.8</v>
      </c>
      <c r="M1474">
        <v>4</v>
      </c>
      <c r="N1474" t="str">
        <f>IF(Walmart[[#This Row],[Quantity]]&gt;=7,"Bulk",IF(Walmart[[#This Row],[Quantity]]&gt;=2,"Multi","Single"))</f>
        <v>Multi</v>
      </c>
      <c r="O1474">
        <v>503.64</v>
      </c>
      <c r="P1474" t="str">
        <f>IF(Walmart[[#This Row],[Sales]]&gt;=1000,"High Value", IF(Walmart[[#This Row],[Sales]]&gt;=500,"Medium Value","Low Value"))</f>
        <v>High Value</v>
      </c>
    </row>
    <row r="1475" spans="1:16" hidden="1" x14ac:dyDescent="0.3">
      <c r="A1475" t="s">
        <v>3320</v>
      </c>
      <c r="B1475" s="1">
        <v>41610</v>
      </c>
      <c r="C1475" s="1" t="str">
        <f>TEXT(Walmart[[#This Row],[Order Date]],"mmmm")</f>
        <v>December</v>
      </c>
      <c r="D1475" s="1">
        <v>41610</v>
      </c>
      <c r="E1475" s="1" t="str">
        <f>IF(DATEDIF(Walmart[[#This Row],[Order Date]],Walmart[[#This Row],[Ship Date]],"D")&lt;7,"On time","Delayed")</f>
        <v>On time</v>
      </c>
      <c r="F1475" t="s">
        <v>2872</v>
      </c>
      <c r="G1475" t="s">
        <v>14</v>
      </c>
      <c r="H1475" t="s">
        <v>2525</v>
      </c>
      <c r="I1475" t="s">
        <v>16</v>
      </c>
      <c r="J1475" t="s">
        <v>21</v>
      </c>
      <c r="K1475" t="s">
        <v>296</v>
      </c>
      <c r="L1475">
        <v>31.96</v>
      </c>
      <c r="M1475">
        <v>2</v>
      </c>
      <c r="N1475" t="str">
        <f>IF(Walmart[[#This Row],[Quantity]]&gt;=7,"Bulk",IF(Walmart[[#This Row],[Quantity]]&gt;=2,"Multi","Single"))</f>
        <v>Multi</v>
      </c>
      <c r="O1475">
        <v>1.6</v>
      </c>
      <c r="P1475" t="str">
        <f>IF(Walmart[[#This Row],[Sales]]&gt;=1000,"High Value", IF(Walmart[[#This Row],[Sales]]&gt;=500,"Medium Value","Low Value"))</f>
        <v>Low Value</v>
      </c>
    </row>
    <row r="1476" spans="1:16" x14ac:dyDescent="0.3">
      <c r="A1476" t="s">
        <v>599</v>
      </c>
      <c r="B1476" s="1">
        <v>41697</v>
      </c>
      <c r="C1476" s="1" t="str">
        <f>TEXT(Walmart[[#This Row],[Order Date]],"mmmm")</f>
        <v>February</v>
      </c>
      <c r="D1476" s="1">
        <v>41699</v>
      </c>
      <c r="E1476" s="1" t="str">
        <f>IF(DATEDIF(Walmart[[#This Row],[Order Date]],Walmart[[#This Row],[Ship Date]],"D")&lt;7,"On time","Delayed")</f>
        <v>On time</v>
      </c>
      <c r="F1476" t="s">
        <v>600</v>
      </c>
      <c r="G1476" t="s">
        <v>14</v>
      </c>
      <c r="H1476" t="s">
        <v>15</v>
      </c>
      <c r="I1476" t="s">
        <v>16</v>
      </c>
      <c r="J1476" t="s">
        <v>105</v>
      </c>
      <c r="K1476" t="s">
        <v>601</v>
      </c>
      <c r="L1476">
        <v>81.92</v>
      </c>
      <c r="M1476">
        <v>4</v>
      </c>
      <c r="N1476" t="str">
        <f>IF(Walmart[[#This Row],[Quantity]]&gt;=7,"Bulk",IF(Walmart[[#This Row],[Quantity]]&gt;=2,"Multi","Single"))</f>
        <v>Multi</v>
      </c>
      <c r="O1476">
        <v>22.12</v>
      </c>
      <c r="P1476" t="str">
        <f>IF(Walmart[[#This Row],[Sales]]&gt;=1000,"High Value", IF(Walmart[[#This Row],[Sales]]&gt;=500,"Medium Value","Low Value"))</f>
        <v>Low Value</v>
      </c>
    </row>
    <row r="1477" spans="1:16" x14ac:dyDescent="0.3">
      <c r="A1477" t="s">
        <v>2692</v>
      </c>
      <c r="B1477" s="1">
        <v>41697</v>
      </c>
      <c r="C1477" s="1" t="str">
        <f>TEXT(Walmart[[#This Row],[Order Date]],"mmmm")</f>
        <v>February</v>
      </c>
      <c r="D1477" s="1">
        <v>41701</v>
      </c>
      <c r="E1477" s="1" t="str">
        <f>IF(DATEDIF(Walmart[[#This Row],[Order Date]],Walmart[[#This Row],[Ship Date]],"D")&lt;7,"On time","Delayed")</f>
        <v>On time</v>
      </c>
      <c r="F1477" t="s">
        <v>2693</v>
      </c>
      <c r="G1477" t="s">
        <v>14</v>
      </c>
      <c r="H1477" t="s">
        <v>2254</v>
      </c>
      <c r="I1477" t="s">
        <v>16</v>
      </c>
      <c r="J1477" t="s">
        <v>105</v>
      </c>
      <c r="K1477" t="s">
        <v>2694</v>
      </c>
      <c r="L1477">
        <v>356.79</v>
      </c>
      <c r="M1477">
        <v>7</v>
      </c>
      <c r="N1477" t="str">
        <f>IF(Walmart[[#This Row],[Quantity]]&gt;=7,"Bulk",IF(Walmart[[#This Row],[Quantity]]&gt;=2,"Multi","Single"))</f>
        <v>Bulk</v>
      </c>
      <c r="O1477">
        <v>99.9</v>
      </c>
      <c r="P1477" t="str">
        <f>IF(Walmart[[#This Row],[Sales]]&gt;=1000,"High Value", IF(Walmart[[#This Row],[Sales]]&gt;=500,"Medium Value","Low Value"))</f>
        <v>Low Value</v>
      </c>
    </row>
    <row r="1478" spans="1:16" hidden="1" x14ac:dyDescent="0.3">
      <c r="A1478" t="s">
        <v>3325</v>
      </c>
      <c r="B1478" s="1">
        <v>40877</v>
      </c>
      <c r="C1478" s="1" t="str">
        <f>TEXT(Walmart[[#This Row],[Order Date]],"mmmm")</f>
        <v>November</v>
      </c>
      <c r="D1478" s="1">
        <v>40883</v>
      </c>
      <c r="E1478" s="1" t="str">
        <f>IF(DATEDIF(Walmart[[#This Row],[Order Date]],Walmart[[#This Row],[Ship Date]],"D")&lt;7,"On time","Delayed")</f>
        <v>On time</v>
      </c>
      <c r="F1478" t="s">
        <v>240</v>
      </c>
      <c r="G1478" t="s">
        <v>14</v>
      </c>
      <c r="H1478" t="s">
        <v>1973</v>
      </c>
      <c r="I1478" t="s">
        <v>58</v>
      </c>
      <c r="J1478" t="s">
        <v>334</v>
      </c>
      <c r="K1478" t="s">
        <v>3326</v>
      </c>
      <c r="L1478">
        <v>47.99</v>
      </c>
      <c r="M1478">
        <v>7</v>
      </c>
      <c r="N1478" t="str">
        <f>IF(Walmart[[#This Row],[Quantity]]&gt;=7,"Bulk",IF(Walmart[[#This Row],[Quantity]]&gt;=2,"Multi","Single"))</f>
        <v>Bulk</v>
      </c>
      <c r="O1478">
        <v>3.6</v>
      </c>
      <c r="P1478" t="str">
        <f>IF(Walmart[[#This Row],[Sales]]&gt;=1000,"High Value", IF(Walmart[[#This Row],[Sales]]&gt;=500,"Medium Value","Low Value"))</f>
        <v>Low Value</v>
      </c>
    </row>
    <row r="1479" spans="1:16" hidden="1" x14ac:dyDescent="0.3">
      <c r="A1479" t="s">
        <v>3327</v>
      </c>
      <c r="B1479" s="1">
        <v>40673</v>
      </c>
      <c r="C1479" s="1" t="str">
        <f>TEXT(Walmart[[#This Row],[Order Date]],"mmmm")</f>
        <v>May</v>
      </c>
      <c r="D1479" s="1">
        <v>40678</v>
      </c>
      <c r="E1479" s="1" t="str">
        <f>IF(DATEDIF(Walmart[[#This Row],[Order Date]],Walmart[[#This Row],[Ship Date]],"D")&lt;7,"On time","Delayed")</f>
        <v>On time</v>
      </c>
      <c r="F1479" t="s">
        <v>609</v>
      </c>
      <c r="G1479" t="s">
        <v>14</v>
      </c>
      <c r="H1479" t="s">
        <v>109</v>
      </c>
      <c r="I1479" t="s">
        <v>16</v>
      </c>
      <c r="J1479" t="s">
        <v>93</v>
      </c>
      <c r="K1479" t="s">
        <v>3328</v>
      </c>
      <c r="L1479">
        <v>39.96</v>
      </c>
      <c r="M1479">
        <v>2</v>
      </c>
      <c r="N1479" t="str">
        <f>IF(Walmart[[#This Row],[Quantity]]&gt;=7,"Bulk",IF(Walmart[[#This Row],[Quantity]]&gt;=2,"Multi","Single"))</f>
        <v>Multi</v>
      </c>
      <c r="O1479">
        <v>19.18</v>
      </c>
      <c r="P1479" t="str">
        <f>IF(Walmart[[#This Row],[Sales]]&gt;=1000,"High Value", IF(Walmart[[#This Row],[Sales]]&gt;=500,"Medium Value","Low Value"))</f>
        <v>Low Value</v>
      </c>
    </row>
    <row r="1480" spans="1:16" hidden="1" x14ac:dyDescent="0.3">
      <c r="A1480" t="s">
        <v>3329</v>
      </c>
      <c r="B1480" s="1">
        <v>41610</v>
      </c>
      <c r="C1480" s="1" t="str">
        <f>TEXT(Walmart[[#This Row],[Order Date]],"mmmm")</f>
        <v>December</v>
      </c>
      <c r="D1480" s="1">
        <v>41614</v>
      </c>
      <c r="E1480" s="1" t="str">
        <f>IF(DATEDIF(Walmart[[#This Row],[Order Date]],Walmart[[#This Row],[Ship Date]],"D")&lt;7,"On time","Delayed")</f>
        <v>On time</v>
      </c>
      <c r="F1480" t="s">
        <v>814</v>
      </c>
      <c r="G1480" t="s">
        <v>14</v>
      </c>
      <c r="H1480" t="s">
        <v>15</v>
      </c>
      <c r="I1480" t="s">
        <v>16</v>
      </c>
      <c r="J1480" t="s">
        <v>38</v>
      </c>
      <c r="K1480" t="s">
        <v>3330</v>
      </c>
      <c r="L1480">
        <v>23.04</v>
      </c>
      <c r="M1480">
        <v>8</v>
      </c>
      <c r="N1480" t="str">
        <f>IF(Walmart[[#This Row],[Quantity]]&gt;=7,"Bulk",IF(Walmart[[#This Row],[Quantity]]&gt;=2,"Multi","Single"))</f>
        <v>Bulk</v>
      </c>
      <c r="O1480">
        <v>6.91</v>
      </c>
      <c r="P1480" t="str">
        <f>IF(Walmart[[#This Row],[Sales]]&gt;=1000,"High Value", IF(Walmart[[#This Row],[Sales]]&gt;=500,"Medium Value","Low Value"))</f>
        <v>Low Value</v>
      </c>
    </row>
    <row r="1481" spans="1:16" x14ac:dyDescent="0.3">
      <c r="A1481" t="s">
        <v>3550</v>
      </c>
      <c r="B1481" s="1">
        <v>41697</v>
      </c>
      <c r="C1481" s="1" t="str">
        <f>TEXT(Walmart[[#This Row],[Order Date]],"mmmm")</f>
        <v>February</v>
      </c>
      <c r="D1481" s="1">
        <v>41702</v>
      </c>
      <c r="E1481" s="1" t="str">
        <f>IF(DATEDIF(Walmart[[#This Row],[Order Date]],Walmart[[#This Row],[Ship Date]],"D")&lt;7,"On time","Delayed")</f>
        <v>On time</v>
      </c>
      <c r="F1481" t="s">
        <v>115</v>
      </c>
      <c r="G1481" t="s">
        <v>14</v>
      </c>
      <c r="H1481" t="s">
        <v>274</v>
      </c>
      <c r="I1481" t="s">
        <v>16</v>
      </c>
      <c r="J1481" t="s">
        <v>21</v>
      </c>
      <c r="K1481" t="s">
        <v>2430</v>
      </c>
      <c r="L1481">
        <v>91.96</v>
      </c>
      <c r="M1481">
        <v>2</v>
      </c>
      <c r="N1481" t="str">
        <f>IF(Walmart[[#This Row],[Quantity]]&gt;=7,"Bulk",IF(Walmart[[#This Row],[Quantity]]&gt;=2,"Multi","Single"))</f>
        <v>Multi</v>
      </c>
      <c r="O1481">
        <v>15.63</v>
      </c>
      <c r="P1481" t="str">
        <f>IF(Walmart[[#This Row],[Sales]]&gt;=1000,"High Value", IF(Walmart[[#This Row],[Sales]]&gt;=500,"Medium Value","Low Value"))</f>
        <v>Low Value</v>
      </c>
    </row>
    <row r="1482" spans="1:16" hidden="1" x14ac:dyDescent="0.3">
      <c r="A1482" t="s">
        <v>3333</v>
      </c>
      <c r="B1482" s="1">
        <v>40982</v>
      </c>
      <c r="C1482" s="1" t="str">
        <f>TEXT(Walmart[[#This Row],[Order Date]],"mmmm")</f>
        <v>March</v>
      </c>
      <c r="D1482" s="1">
        <v>40987</v>
      </c>
      <c r="E1482" s="1" t="str">
        <f>IF(DATEDIF(Walmart[[#This Row],[Order Date]],Walmart[[#This Row],[Ship Date]],"D")&lt;7,"On time","Delayed")</f>
        <v>On time</v>
      </c>
      <c r="F1482" t="s">
        <v>2063</v>
      </c>
      <c r="G1482" t="s">
        <v>14</v>
      </c>
      <c r="H1482" t="s">
        <v>92</v>
      </c>
      <c r="I1482" t="s">
        <v>16</v>
      </c>
      <c r="J1482" t="s">
        <v>93</v>
      </c>
      <c r="K1482" t="s">
        <v>3334</v>
      </c>
      <c r="L1482">
        <v>19.440000000000001</v>
      </c>
      <c r="M1482">
        <v>3</v>
      </c>
      <c r="N1482" t="str">
        <f>IF(Walmart[[#This Row],[Quantity]]&gt;=7,"Bulk",IF(Walmart[[#This Row],[Quantity]]&gt;=2,"Multi","Single"))</f>
        <v>Multi</v>
      </c>
      <c r="O1482">
        <v>9.33</v>
      </c>
      <c r="P1482" t="str">
        <f>IF(Walmart[[#This Row],[Sales]]&gt;=1000,"High Value", IF(Walmart[[#This Row],[Sales]]&gt;=500,"Medium Value","Low Value"))</f>
        <v>Low Value</v>
      </c>
    </row>
    <row r="1483" spans="1:16" hidden="1" x14ac:dyDescent="0.3">
      <c r="A1483" t="s">
        <v>3335</v>
      </c>
      <c r="B1483" s="1">
        <v>40885</v>
      </c>
      <c r="C1483" s="1" t="str">
        <f>TEXT(Walmart[[#This Row],[Order Date]],"mmmm")</f>
        <v>December</v>
      </c>
      <c r="D1483" s="1">
        <v>40892</v>
      </c>
      <c r="E1483" s="1" t="str">
        <f>IF(DATEDIF(Walmart[[#This Row],[Order Date]],Walmart[[#This Row],[Ship Date]],"D")&lt;7,"On time","Delayed")</f>
        <v>Delayed</v>
      </c>
      <c r="F1483" t="s">
        <v>1946</v>
      </c>
      <c r="G1483" t="s">
        <v>14</v>
      </c>
      <c r="H1483" t="s">
        <v>37</v>
      </c>
      <c r="I1483" t="s">
        <v>16</v>
      </c>
      <c r="J1483" t="s">
        <v>21</v>
      </c>
      <c r="K1483" t="s">
        <v>3180</v>
      </c>
      <c r="L1483">
        <v>39.880000000000003</v>
      </c>
      <c r="M1483">
        <v>2</v>
      </c>
      <c r="N1483" t="str">
        <f>IF(Walmart[[#This Row],[Quantity]]&gt;=7,"Bulk",IF(Walmart[[#This Row],[Quantity]]&gt;=2,"Multi","Single"))</f>
        <v>Multi</v>
      </c>
      <c r="O1483">
        <v>11.17</v>
      </c>
      <c r="P1483" t="str">
        <f>IF(Walmart[[#This Row],[Sales]]&gt;=1000,"High Value", IF(Walmart[[#This Row],[Sales]]&gt;=500,"Medium Value","Low Value"))</f>
        <v>Low Value</v>
      </c>
    </row>
    <row r="1484" spans="1:16" hidden="1" x14ac:dyDescent="0.3">
      <c r="A1484" t="s">
        <v>3336</v>
      </c>
      <c r="B1484" s="1">
        <v>41600</v>
      </c>
      <c r="C1484" s="1" t="str">
        <f>TEXT(Walmart[[#This Row],[Order Date]],"mmmm")</f>
        <v>November</v>
      </c>
      <c r="D1484" s="1">
        <v>41605</v>
      </c>
      <c r="E1484" s="1" t="str">
        <f>IF(DATEDIF(Walmart[[#This Row],[Order Date]],Walmart[[#This Row],[Ship Date]],"D")&lt;7,"On time","Delayed")</f>
        <v>On time</v>
      </c>
      <c r="F1484" t="s">
        <v>1801</v>
      </c>
      <c r="G1484" t="s">
        <v>14</v>
      </c>
      <c r="H1484" t="s">
        <v>15</v>
      </c>
      <c r="I1484" t="s">
        <v>16</v>
      </c>
      <c r="J1484" t="s">
        <v>93</v>
      </c>
      <c r="K1484" t="s">
        <v>3337</v>
      </c>
      <c r="L1484">
        <v>32.4</v>
      </c>
      <c r="M1484">
        <v>5</v>
      </c>
      <c r="N1484" t="str">
        <f>IF(Walmart[[#This Row],[Quantity]]&gt;=7,"Bulk",IF(Walmart[[#This Row],[Quantity]]&gt;=2,"Multi","Single"))</f>
        <v>Multi</v>
      </c>
      <c r="O1484">
        <v>15.55</v>
      </c>
      <c r="P1484" t="str">
        <f>IF(Walmart[[#This Row],[Sales]]&gt;=1000,"High Value", IF(Walmart[[#This Row],[Sales]]&gt;=500,"Medium Value","Low Value"))</f>
        <v>Low Value</v>
      </c>
    </row>
    <row r="1485" spans="1:16" x14ac:dyDescent="0.3">
      <c r="A1485" t="s">
        <v>1008</v>
      </c>
      <c r="B1485" s="1">
        <v>41694</v>
      </c>
      <c r="C1485" s="1" t="str">
        <f>TEXT(Walmart[[#This Row],[Order Date]],"mmmm")</f>
        <v>February</v>
      </c>
      <c r="D1485" s="1">
        <v>41700</v>
      </c>
      <c r="E1485" s="1" t="str">
        <f>IF(DATEDIF(Walmart[[#This Row],[Order Date]],Walmart[[#This Row],[Ship Date]],"D")&lt;7,"On time","Delayed")</f>
        <v>On time</v>
      </c>
      <c r="F1485" t="s">
        <v>1009</v>
      </c>
      <c r="G1485" t="s">
        <v>14</v>
      </c>
      <c r="H1485" t="s">
        <v>15</v>
      </c>
      <c r="I1485" t="s">
        <v>16</v>
      </c>
      <c r="J1485" t="s">
        <v>93</v>
      </c>
      <c r="K1485" t="s">
        <v>1010</v>
      </c>
      <c r="L1485">
        <v>37.44</v>
      </c>
      <c r="M1485">
        <v>6</v>
      </c>
      <c r="N1485" t="str">
        <f>IF(Walmart[[#This Row],[Quantity]]&gt;=7,"Bulk",IF(Walmart[[#This Row],[Quantity]]&gt;=2,"Multi","Single"))</f>
        <v>Multi</v>
      </c>
      <c r="O1485">
        <v>16.850000000000001</v>
      </c>
      <c r="P1485" t="str">
        <f>IF(Walmart[[#This Row],[Sales]]&gt;=1000,"High Value", IF(Walmart[[#This Row],[Sales]]&gt;=500,"Medium Value","Low Value"))</f>
        <v>Low Value</v>
      </c>
    </row>
    <row r="1486" spans="1:16" hidden="1" x14ac:dyDescent="0.3">
      <c r="A1486" t="s">
        <v>3340</v>
      </c>
      <c r="B1486" s="1">
        <v>40850</v>
      </c>
      <c r="C1486" s="1" t="str">
        <f>TEXT(Walmart[[#This Row],[Order Date]],"mmmm")</f>
        <v>November</v>
      </c>
      <c r="D1486" s="1">
        <v>40850</v>
      </c>
      <c r="E1486" s="1" t="str">
        <f>IF(DATEDIF(Walmart[[#This Row],[Order Date]],Walmart[[#This Row],[Ship Date]],"D")&lt;7,"On time","Delayed")</f>
        <v>On time</v>
      </c>
      <c r="F1486" t="s">
        <v>2030</v>
      </c>
      <c r="G1486" t="s">
        <v>14</v>
      </c>
      <c r="H1486" t="s">
        <v>15</v>
      </c>
      <c r="I1486" t="s">
        <v>16</v>
      </c>
      <c r="J1486" t="s">
        <v>38</v>
      </c>
      <c r="K1486" t="s">
        <v>737</v>
      </c>
      <c r="L1486">
        <v>6.72</v>
      </c>
      <c r="M1486">
        <v>4</v>
      </c>
      <c r="N1486" t="str">
        <f>IF(Walmart[[#This Row],[Quantity]]&gt;=7,"Bulk",IF(Walmart[[#This Row],[Quantity]]&gt;=2,"Multi","Single"))</f>
        <v>Multi</v>
      </c>
      <c r="O1486">
        <v>3.36</v>
      </c>
      <c r="P1486" t="str">
        <f>IF(Walmart[[#This Row],[Sales]]&gt;=1000,"High Value", IF(Walmart[[#This Row],[Sales]]&gt;=500,"Medium Value","Low Value"))</f>
        <v>Low Value</v>
      </c>
    </row>
    <row r="1487" spans="1:16" x14ac:dyDescent="0.3">
      <c r="A1487" t="s">
        <v>2431</v>
      </c>
      <c r="B1487" s="1">
        <v>41694</v>
      </c>
      <c r="C1487" s="1" t="str">
        <f>TEXT(Walmart[[#This Row],[Order Date]],"mmmm")</f>
        <v>February</v>
      </c>
      <c r="D1487" s="1">
        <v>41701</v>
      </c>
      <c r="E1487" s="1" t="str">
        <f>IF(DATEDIF(Walmart[[#This Row],[Order Date]],Walmart[[#This Row],[Ship Date]],"D")&lt;7,"On time","Delayed")</f>
        <v>Delayed</v>
      </c>
      <c r="F1487" t="s">
        <v>2432</v>
      </c>
      <c r="G1487" t="s">
        <v>14</v>
      </c>
      <c r="H1487" t="s">
        <v>25</v>
      </c>
      <c r="I1487" t="s">
        <v>26</v>
      </c>
      <c r="J1487" t="s">
        <v>191</v>
      </c>
      <c r="K1487" t="s">
        <v>1420</v>
      </c>
      <c r="L1487">
        <v>8.4</v>
      </c>
      <c r="M1487">
        <v>5</v>
      </c>
      <c r="N1487" t="str">
        <f>IF(Walmart[[#This Row],[Quantity]]&gt;=7,"Bulk",IF(Walmart[[#This Row],[Quantity]]&gt;=2,"Multi","Single"))</f>
        <v>Multi</v>
      </c>
      <c r="O1487">
        <v>0.34</v>
      </c>
      <c r="P1487" t="str">
        <f>IF(Walmart[[#This Row],[Sales]]&gt;=1000,"High Value", IF(Walmart[[#This Row],[Sales]]&gt;=500,"Medium Value","Low Value"))</f>
        <v>Low Value</v>
      </c>
    </row>
    <row r="1488" spans="1:16" hidden="1" x14ac:dyDescent="0.3">
      <c r="A1488" t="s">
        <v>3343</v>
      </c>
      <c r="B1488" s="1">
        <v>40904</v>
      </c>
      <c r="C1488" s="1" t="str">
        <f>TEXT(Walmart[[#This Row],[Order Date]],"mmmm")</f>
        <v>December</v>
      </c>
      <c r="D1488" s="1">
        <v>40908</v>
      </c>
      <c r="E1488" s="1" t="str">
        <f>IF(DATEDIF(Walmart[[#This Row],[Order Date]],Walmart[[#This Row],[Ship Date]],"D")&lt;7,"On time","Delayed")</f>
        <v>On time</v>
      </c>
      <c r="F1488" t="s">
        <v>3108</v>
      </c>
      <c r="G1488" t="s">
        <v>14</v>
      </c>
      <c r="H1488" t="s">
        <v>84</v>
      </c>
      <c r="I1488" t="s">
        <v>58</v>
      </c>
      <c r="J1488" t="s">
        <v>27</v>
      </c>
      <c r="K1488" t="s">
        <v>3344</v>
      </c>
      <c r="L1488">
        <v>946.76</v>
      </c>
      <c r="M1488">
        <v>6</v>
      </c>
      <c r="N1488" t="str">
        <f>IF(Walmart[[#This Row],[Quantity]]&gt;=7,"Bulk",IF(Walmart[[#This Row],[Quantity]]&gt;=2,"Multi","Single"))</f>
        <v>Multi</v>
      </c>
      <c r="O1488">
        <v>-694.29</v>
      </c>
      <c r="P1488" t="str">
        <f>IF(Walmart[[#This Row],[Sales]]&gt;=1000,"High Value", IF(Walmart[[#This Row],[Sales]]&gt;=500,"Medium Value","Low Value"))</f>
        <v>Medium Value</v>
      </c>
    </row>
    <row r="1489" spans="1:16" hidden="1" x14ac:dyDescent="0.3">
      <c r="A1489" t="s">
        <v>3345</v>
      </c>
      <c r="B1489" s="1">
        <v>41520</v>
      </c>
      <c r="C1489" s="1" t="str">
        <f>TEXT(Walmart[[#This Row],[Order Date]],"mmmm")</f>
        <v>September</v>
      </c>
      <c r="D1489" s="1">
        <v>41524</v>
      </c>
      <c r="E1489" s="1" t="str">
        <f>IF(DATEDIF(Walmart[[#This Row],[Order Date]],Walmart[[#This Row],[Ship Date]],"D")&lt;7,"On time","Delayed")</f>
        <v>On time</v>
      </c>
      <c r="F1489" t="s">
        <v>344</v>
      </c>
      <c r="G1489" t="s">
        <v>14</v>
      </c>
      <c r="H1489" t="s">
        <v>15</v>
      </c>
      <c r="I1489" t="s">
        <v>16</v>
      </c>
      <c r="J1489" t="s">
        <v>21</v>
      </c>
      <c r="K1489" t="s">
        <v>915</v>
      </c>
      <c r="L1489">
        <v>94.68</v>
      </c>
      <c r="M1489">
        <v>9</v>
      </c>
      <c r="N1489" t="str">
        <f>IF(Walmart[[#This Row],[Quantity]]&gt;=7,"Bulk",IF(Walmart[[#This Row],[Quantity]]&gt;=2,"Multi","Single"))</f>
        <v>Bulk</v>
      </c>
      <c r="O1489">
        <v>31.24</v>
      </c>
      <c r="P1489" t="str">
        <f>IF(Walmart[[#This Row],[Sales]]&gt;=1000,"High Value", IF(Walmart[[#This Row],[Sales]]&gt;=500,"Medium Value","Low Value"))</f>
        <v>Low Value</v>
      </c>
    </row>
    <row r="1490" spans="1:16" hidden="1" x14ac:dyDescent="0.3">
      <c r="A1490" t="s">
        <v>3346</v>
      </c>
      <c r="B1490" s="1">
        <v>40733</v>
      </c>
      <c r="C1490" s="1" t="str">
        <f>TEXT(Walmart[[#This Row],[Order Date]],"mmmm")</f>
        <v>July</v>
      </c>
      <c r="D1490" s="1">
        <v>40738</v>
      </c>
      <c r="E1490" s="1" t="str">
        <f>IF(DATEDIF(Walmart[[#This Row],[Order Date]],Walmart[[#This Row],[Ship Date]],"D")&lt;7,"On time","Delayed")</f>
        <v>On time</v>
      </c>
      <c r="F1490" t="s">
        <v>390</v>
      </c>
      <c r="G1490" t="s">
        <v>14</v>
      </c>
      <c r="H1490" t="s">
        <v>37</v>
      </c>
      <c r="I1490" t="s">
        <v>16</v>
      </c>
      <c r="J1490" t="s">
        <v>27</v>
      </c>
      <c r="K1490" t="s">
        <v>3347</v>
      </c>
      <c r="L1490">
        <v>14.3</v>
      </c>
      <c r="M1490">
        <v>6</v>
      </c>
      <c r="N1490" t="str">
        <f>IF(Walmart[[#This Row],[Quantity]]&gt;=7,"Bulk",IF(Walmart[[#This Row],[Quantity]]&gt;=2,"Multi","Single"))</f>
        <v>Multi</v>
      </c>
      <c r="O1490">
        <v>4.6500000000000004</v>
      </c>
      <c r="P1490" t="str">
        <f>IF(Walmart[[#This Row],[Sales]]&gt;=1000,"High Value", IF(Walmart[[#This Row],[Sales]]&gt;=500,"Medium Value","Low Value"))</f>
        <v>Low Value</v>
      </c>
    </row>
    <row r="1491" spans="1:16" x14ac:dyDescent="0.3">
      <c r="A1491" t="s">
        <v>424</v>
      </c>
      <c r="B1491" s="1">
        <v>41691</v>
      </c>
      <c r="C1491" s="1" t="str">
        <f>TEXT(Walmart[[#This Row],[Order Date]],"mmmm")</f>
        <v>February</v>
      </c>
      <c r="D1491" s="1">
        <v>41694</v>
      </c>
      <c r="E1491" s="1" t="str">
        <f>IF(DATEDIF(Walmart[[#This Row],[Order Date]],Walmart[[#This Row],[Ship Date]],"D")&lt;7,"On time","Delayed")</f>
        <v>On time</v>
      </c>
      <c r="F1491" t="s">
        <v>425</v>
      </c>
      <c r="G1491" t="s">
        <v>14</v>
      </c>
      <c r="H1491" t="s">
        <v>160</v>
      </c>
      <c r="I1491" t="s">
        <v>16</v>
      </c>
      <c r="J1491" t="s">
        <v>21</v>
      </c>
      <c r="K1491" t="s">
        <v>426</v>
      </c>
      <c r="L1491">
        <v>22.23</v>
      </c>
      <c r="M1491">
        <v>1</v>
      </c>
      <c r="N1491" t="str">
        <f>IF(Walmart[[#This Row],[Quantity]]&gt;=7,"Bulk",IF(Walmart[[#This Row],[Quantity]]&gt;=2,"Multi","Single"))</f>
        <v>Single</v>
      </c>
      <c r="O1491">
        <v>7.34</v>
      </c>
      <c r="P1491" t="str">
        <f>IF(Walmart[[#This Row],[Sales]]&gt;=1000,"High Value", IF(Walmart[[#This Row],[Sales]]&gt;=500,"Medium Value","Low Value"))</f>
        <v>Low Value</v>
      </c>
    </row>
    <row r="1492" spans="1:16" x14ac:dyDescent="0.3">
      <c r="A1492" t="s">
        <v>1882</v>
      </c>
      <c r="B1492" s="1">
        <v>41691</v>
      </c>
      <c r="C1492" s="1" t="str">
        <f>TEXT(Walmart[[#This Row],[Order Date]],"mmmm")</f>
        <v>February</v>
      </c>
      <c r="D1492" s="1">
        <v>41696</v>
      </c>
      <c r="E1492" s="1" t="str">
        <f>IF(DATEDIF(Walmart[[#This Row],[Order Date]],Walmart[[#This Row],[Ship Date]],"D")&lt;7,"On time","Delayed")</f>
        <v>On time</v>
      </c>
      <c r="F1492" t="s">
        <v>1834</v>
      </c>
      <c r="G1492" t="s">
        <v>14</v>
      </c>
      <c r="H1492" t="s">
        <v>247</v>
      </c>
      <c r="I1492" t="s">
        <v>77</v>
      </c>
      <c r="J1492" t="s">
        <v>191</v>
      </c>
      <c r="K1492" t="s">
        <v>125</v>
      </c>
      <c r="L1492">
        <v>9.43</v>
      </c>
      <c r="M1492">
        <v>3</v>
      </c>
      <c r="N1492" t="str">
        <f>IF(Walmart[[#This Row],[Quantity]]&gt;=7,"Bulk",IF(Walmart[[#This Row],[Quantity]]&gt;=2,"Multi","Single"))</f>
        <v>Multi</v>
      </c>
      <c r="O1492">
        <v>3.07</v>
      </c>
      <c r="P1492" t="str">
        <f>IF(Walmart[[#This Row],[Sales]]&gt;=1000,"High Value", IF(Walmart[[#This Row],[Sales]]&gt;=500,"Medium Value","Low Value"))</f>
        <v>Low Value</v>
      </c>
    </row>
    <row r="1493" spans="1:16" x14ac:dyDescent="0.3">
      <c r="A1493" t="s">
        <v>2602</v>
      </c>
      <c r="B1493" s="1">
        <v>41691</v>
      </c>
      <c r="C1493" s="1" t="str">
        <f>TEXT(Walmart[[#This Row],[Order Date]],"mmmm")</f>
        <v>February</v>
      </c>
      <c r="D1493" s="1">
        <v>41698</v>
      </c>
      <c r="E1493" s="1" t="str">
        <f>IF(DATEDIF(Walmart[[#This Row],[Order Date]],Walmart[[#This Row],[Ship Date]],"D")&lt;7,"On time","Delayed")</f>
        <v>Delayed</v>
      </c>
      <c r="F1493" t="s">
        <v>1139</v>
      </c>
      <c r="G1493" t="s">
        <v>14</v>
      </c>
      <c r="H1493" t="s">
        <v>57</v>
      </c>
      <c r="I1493" t="s">
        <v>58</v>
      </c>
      <c r="J1493" t="s">
        <v>146</v>
      </c>
      <c r="K1493" t="s">
        <v>2335</v>
      </c>
      <c r="L1493">
        <v>333.58</v>
      </c>
      <c r="M1493">
        <v>3</v>
      </c>
      <c r="N1493" t="str">
        <f>IF(Walmart[[#This Row],[Quantity]]&gt;=7,"Bulk",IF(Walmart[[#This Row],[Quantity]]&gt;=2,"Multi","Single"))</f>
        <v>Multi</v>
      </c>
      <c r="O1493">
        <v>25.02</v>
      </c>
      <c r="P1493" t="str">
        <f>IF(Walmart[[#This Row],[Sales]]&gt;=1000,"High Value", IF(Walmart[[#This Row],[Sales]]&gt;=500,"Medium Value","Low Value"))</f>
        <v>Low Value</v>
      </c>
    </row>
    <row r="1494" spans="1:16" hidden="1" x14ac:dyDescent="0.3">
      <c r="A1494" t="s">
        <v>3353</v>
      </c>
      <c r="B1494" s="1">
        <v>40583</v>
      </c>
      <c r="C1494" s="1" t="str">
        <f>TEXT(Walmart[[#This Row],[Order Date]],"mmmm")</f>
        <v>February</v>
      </c>
      <c r="D1494" s="1">
        <v>40584</v>
      </c>
      <c r="E1494" s="1" t="str">
        <f>IF(DATEDIF(Walmart[[#This Row],[Order Date]],Walmart[[#This Row],[Ship Date]],"D")&lt;7,"On time","Delayed")</f>
        <v>On time</v>
      </c>
      <c r="F1494" t="s">
        <v>2732</v>
      </c>
      <c r="G1494" t="s">
        <v>14</v>
      </c>
      <c r="H1494" t="s">
        <v>747</v>
      </c>
      <c r="I1494" t="s">
        <v>227</v>
      </c>
      <c r="J1494" t="s">
        <v>21</v>
      </c>
      <c r="K1494" t="s">
        <v>3354</v>
      </c>
      <c r="L1494">
        <v>14.56</v>
      </c>
      <c r="M1494">
        <v>2</v>
      </c>
      <c r="N1494" t="str">
        <f>IF(Walmart[[#This Row],[Quantity]]&gt;=7,"Bulk",IF(Walmart[[#This Row],[Quantity]]&gt;=2,"Multi","Single"))</f>
        <v>Multi</v>
      </c>
      <c r="O1494">
        <v>5.53</v>
      </c>
      <c r="P1494" t="str">
        <f>IF(Walmart[[#This Row],[Sales]]&gt;=1000,"High Value", IF(Walmart[[#This Row],[Sales]]&gt;=500,"Medium Value","Low Value"))</f>
        <v>Low Value</v>
      </c>
    </row>
    <row r="1495" spans="1:16" hidden="1" x14ac:dyDescent="0.3">
      <c r="A1495" t="s">
        <v>3355</v>
      </c>
      <c r="B1495" s="1">
        <v>40826</v>
      </c>
      <c r="C1495" s="1" t="str">
        <f>TEXT(Walmart[[#This Row],[Order Date]],"mmmm")</f>
        <v>October</v>
      </c>
      <c r="D1495" s="1">
        <v>40826</v>
      </c>
      <c r="E1495" s="1" t="str">
        <f>IF(DATEDIF(Walmart[[#This Row],[Order Date]],Walmart[[#This Row],[Ship Date]],"D")&lt;7,"On time","Delayed")</f>
        <v>On time</v>
      </c>
      <c r="F1495" t="s">
        <v>2111</v>
      </c>
      <c r="G1495" t="s">
        <v>14</v>
      </c>
      <c r="H1495" t="s">
        <v>1163</v>
      </c>
      <c r="I1495" t="s">
        <v>123</v>
      </c>
      <c r="J1495" t="s">
        <v>38</v>
      </c>
      <c r="K1495" t="s">
        <v>3356</v>
      </c>
      <c r="L1495">
        <v>255.85</v>
      </c>
      <c r="M1495">
        <v>7</v>
      </c>
      <c r="N1495" t="str">
        <f>IF(Walmart[[#This Row],[Quantity]]&gt;=7,"Bulk",IF(Walmart[[#This Row],[Quantity]]&gt;=2,"Multi","Single"))</f>
        <v>Bulk</v>
      </c>
      <c r="O1495">
        <v>112.57</v>
      </c>
      <c r="P1495" t="str">
        <f>IF(Walmart[[#This Row],[Sales]]&gt;=1000,"High Value", IF(Walmart[[#This Row],[Sales]]&gt;=500,"Medium Value","Low Value"))</f>
        <v>Low Value</v>
      </c>
    </row>
    <row r="1496" spans="1:16" hidden="1" x14ac:dyDescent="0.3">
      <c r="A1496" t="s">
        <v>3357</v>
      </c>
      <c r="B1496" s="1">
        <v>41538</v>
      </c>
      <c r="C1496" s="1" t="str">
        <f>TEXT(Walmart[[#This Row],[Order Date]],"mmmm")</f>
        <v>September</v>
      </c>
      <c r="D1496" s="1">
        <v>41542</v>
      </c>
      <c r="E1496" s="1" t="str">
        <f>IF(DATEDIF(Walmart[[#This Row],[Order Date]],Walmart[[#This Row],[Ship Date]],"D")&lt;7,"On time","Delayed")</f>
        <v>On time</v>
      </c>
      <c r="F1496" t="s">
        <v>1751</v>
      </c>
      <c r="G1496" t="s">
        <v>14</v>
      </c>
      <c r="H1496" t="s">
        <v>25</v>
      </c>
      <c r="I1496" t="s">
        <v>26</v>
      </c>
      <c r="J1496" t="s">
        <v>671</v>
      </c>
      <c r="K1496" t="s">
        <v>3358</v>
      </c>
      <c r="L1496">
        <v>163.88</v>
      </c>
      <c r="M1496">
        <v>2</v>
      </c>
      <c r="N1496" t="str">
        <f>IF(Walmart[[#This Row],[Quantity]]&gt;=7,"Bulk",IF(Walmart[[#This Row],[Quantity]]&gt;=2,"Multi","Single"))</f>
        <v>Multi</v>
      </c>
      <c r="O1496">
        <v>40.97</v>
      </c>
      <c r="P1496" t="str">
        <f>IF(Walmart[[#This Row],[Sales]]&gt;=1000,"High Value", IF(Walmart[[#This Row],[Sales]]&gt;=500,"Medium Value","Low Value"))</f>
        <v>Low Value</v>
      </c>
    </row>
    <row r="1497" spans="1:16" x14ac:dyDescent="0.3">
      <c r="A1497" t="s">
        <v>1378</v>
      </c>
      <c r="B1497" s="1">
        <v>41690</v>
      </c>
      <c r="C1497" s="1" t="str">
        <f>TEXT(Walmart[[#This Row],[Order Date]],"mmmm")</f>
        <v>February</v>
      </c>
      <c r="D1497" s="1">
        <v>41694</v>
      </c>
      <c r="E1497" s="1" t="str">
        <f>IF(DATEDIF(Walmart[[#This Row],[Order Date]],Walmart[[#This Row],[Ship Date]],"D")&lt;7,"On time","Delayed")</f>
        <v>On time</v>
      </c>
      <c r="F1497" t="s">
        <v>356</v>
      </c>
      <c r="G1497" t="s">
        <v>14</v>
      </c>
      <c r="H1497" t="s">
        <v>25</v>
      </c>
      <c r="I1497" t="s">
        <v>26</v>
      </c>
      <c r="J1497" t="s">
        <v>191</v>
      </c>
      <c r="K1497" t="s">
        <v>1379</v>
      </c>
      <c r="L1497">
        <v>11.22</v>
      </c>
      <c r="M1497">
        <v>3</v>
      </c>
      <c r="N1497" t="str">
        <f>IF(Walmart[[#This Row],[Quantity]]&gt;=7,"Bulk",IF(Walmart[[#This Row],[Quantity]]&gt;=2,"Multi","Single"))</f>
        <v>Multi</v>
      </c>
      <c r="O1497">
        <v>0.22</v>
      </c>
      <c r="P1497" t="str">
        <f>IF(Walmart[[#This Row],[Sales]]&gt;=1000,"High Value", IF(Walmart[[#This Row],[Sales]]&gt;=500,"Medium Value","Low Value"))</f>
        <v>Low Value</v>
      </c>
    </row>
    <row r="1498" spans="1:16" hidden="1" x14ac:dyDescent="0.3">
      <c r="A1498" t="s">
        <v>3360</v>
      </c>
      <c r="B1498" s="1">
        <v>40656</v>
      </c>
      <c r="C1498" s="1" t="str">
        <f>TEXT(Walmart[[#This Row],[Order Date]],"mmmm")</f>
        <v>April</v>
      </c>
      <c r="D1498" s="1">
        <v>40659</v>
      </c>
      <c r="E1498" s="1" t="str">
        <f>IF(DATEDIF(Walmart[[#This Row],[Order Date]],Walmart[[#This Row],[Ship Date]],"D")&lt;7,"On time","Delayed")</f>
        <v>On time</v>
      </c>
      <c r="F1498" t="s">
        <v>2732</v>
      </c>
      <c r="G1498" t="s">
        <v>14</v>
      </c>
      <c r="H1498" t="s">
        <v>37</v>
      </c>
      <c r="I1498" t="s">
        <v>16</v>
      </c>
      <c r="J1498" t="s">
        <v>93</v>
      </c>
      <c r="K1498" t="s">
        <v>1853</v>
      </c>
      <c r="L1498">
        <v>48.91</v>
      </c>
      <c r="M1498">
        <v>1</v>
      </c>
      <c r="N1498" t="str">
        <f>IF(Walmart[[#This Row],[Quantity]]&gt;=7,"Bulk",IF(Walmart[[#This Row],[Quantity]]&gt;=2,"Multi","Single"))</f>
        <v>Single</v>
      </c>
      <c r="O1498">
        <v>22.99</v>
      </c>
      <c r="P1498" t="str">
        <f>IF(Walmart[[#This Row],[Sales]]&gt;=1000,"High Value", IF(Walmart[[#This Row],[Sales]]&gt;=500,"Medium Value","Low Value"))</f>
        <v>Low Value</v>
      </c>
    </row>
    <row r="1499" spans="1:16" hidden="1" x14ac:dyDescent="0.3">
      <c r="A1499" t="s">
        <v>3361</v>
      </c>
      <c r="B1499" s="1">
        <v>41171</v>
      </c>
      <c r="C1499" s="1" t="str">
        <f>TEXT(Walmart[[#This Row],[Order Date]],"mmmm")</f>
        <v>September</v>
      </c>
      <c r="D1499" s="1">
        <v>41176</v>
      </c>
      <c r="E1499" s="1" t="str">
        <f>IF(DATEDIF(Walmart[[#This Row],[Order Date]],Walmart[[#This Row],[Ship Date]],"D")&lt;7,"On time","Delayed")</f>
        <v>On time</v>
      </c>
      <c r="F1499" t="s">
        <v>2211</v>
      </c>
      <c r="G1499" t="s">
        <v>14</v>
      </c>
      <c r="H1499" t="s">
        <v>1568</v>
      </c>
      <c r="I1499" t="s">
        <v>123</v>
      </c>
      <c r="J1499" t="s">
        <v>38</v>
      </c>
      <c r="K1499" t="s">
        <v>3362</v>
      </c>
      <c r="L1499">
        <v>8.4</v>
      </c>
      <c r="M1499">
        <v>5</v>
      </c>
      <c r="N1499" t="str">
        <f>IF(Walmart[[#This Row],[Quantity]]&gt;=7,"Bulk",IF(Walmart[[#This Row],[Quantity]]&gt;=2,"Multi","Single"))</f>
        <v>Multi</v>
      </c>
      <c r="O1499">
        <v>2.1800000000000002</v>
      </c>
      <c r="P1499" t="str">
        <f>IF(Walmart[[#This Row],[Sales]]&gt;=1000,"High Value", IF(Walmart[[#This Row],[Sales]]&gt;=500,"Medium Value","Low Value"))</f>
        <v>Low Value</v>
      </c>
    </row>
    <row r="1500" spans="1:16" hidden="1" x14ac:dyDescent="0.3">
      <c r="A1500" t="s">
        <v>3363</v>
      </c>
      <c r="B1500" s="1">
        <v>40627</v>
      </c>
      <c r="C1500" s="1" t="str">
        <f>TEXT(Walmart[[#This Row],[Order Date]],"mmmm")</f>
        <v>March</v>
      </c>
      <c r="D1500" s="1">
        <v>40632</v>
      </c>
      <c r="E1500" s="1" t="str">
        <f>IF(DATEDIF(Walmart[[#This Row],[Order Date]],Walmart[[#This Row],[Ship Date]],"D")&lt;7,"On time","Delayed")</f>
        <v>On time</v>
      </c>
      <c r="F1500" t="s">
        <v>676</v>
      </c>
      <c r="G1500" t="s">
        <v>14</v>
      </c>
      <c r="H1500" t="s">
        <v>37</v>
      </c>
      <c r="I1500" t="s">
        <v>16</v>
      </c>
      <c r="J1500" t="s">
        <v>38</v>
      </c>
      <c r="K1500" t="s">
        <v>2269</v>
      </c>
      <c r="L1500">
        <v>6.56</v>
      </c>
      <c r="M1500">
        <v>2</v>
      </c>
      <c r="N1500" t="str">
        <f>IF(Walmart[[#This Row],[Quantity]]&gt;=7,"Bulk",IF(Walmart[[#This Row],[Quantity]]&gt;=2,"Multi","Single"))</f>
        <v>Multi</v>
      </c>
      <c r="O1500">
        <v>1.9</v>
      </c>
      <c r="P1500" t="str">
        <f>IF(Walmart[[#This Row],[Sales]]&gt;=1000,"High Value", IF(Walmart[[#This Row],[Sales]]&gt;=500,"Medium Value","Low Value"))</f>
        <v>Low Value</v>
      </c>
    </row>
    <row r="1501" spans="1:16" x14ac:dyDescent="0.3">
      <c r="A1501" t="s">
        <v>1688</v>
      </c>
      <c r="B1501" s="1">
        <v>41690</v>
      </c>
      <c r="C1501" s="1" t="str">
        <f>TEXT(Walmart[[#This Row],[Order Date]],"mmmm")</f>
        <v>February</v>
      </c>
      <c r="D1501" s="1">
        <v>41691</v>
      </c>
      <c r="E1501" s="1" t="str">
        <f>IF(DATEDIF(Walmart[[#This Row],[Order Date]],Walmart[[#This Row],[Ship Date]],"D")&lt;7,"On time","Delayed")</f>
        <v>On time</v>
      </c>
      <c r="F1501" t="s">
        <v>856</v>
      </c>
      <c r="G1501" t="s">
        <v>14</v>
      </c>
      <c r="H1501" t="s">
        <v>15</v>
      </c>
      <c r="I1501" t="s">
        <v>16</v>
      </c>
      <c r="J1501" t="s">
        <v>38</v>
      </c>
      <c r="K1501" t="s">
        <v>1689</v>
      </c>
      <c r="L1501">
        <v>12.84</v>
      </c>
      <c r="M1501">
        <v>3</v>
      </c>
      <c r="N1501" t="str">
        <f>IF(Walmart[[#This Row],[Quantity]]&gt;=7,"Bulk",IF(Walmart[[#This Row],[Quantity]]&gt;=2,"Multi","Single"))</f>
        <v>Multi</v>
      </c>
      <c r="O1501">
        <v>3.47</v>
      </c>
      <c r="P1501" t="str">
        <f>IF(Walmart[[#This Row],[Sales]]&gt;=1000,"High Value", IF(Walmart[[#This Row],[Sales]]&gt;=500,"Medium Value","Low Value"))</f>
        <v>Low Value</v>
      </c>
    </row>
    <row r="1502" spans="1:16" x14ac:dyDescent="0.3">
      <c r="A1502" t="s">
        <v>2186</v>
      </c>
      <c r="B1502" s="1">
        <v>41689</v>
      </c>
      <c r="C1502" s="1" t="str">
        <f>TEXT(Walmart[[#This Row],[Order Date]],"mmmm")</f>
        <v>February</v>
      </c>
      <c r="D1502" s="1">
        <v>41692</v>
      </c>
      <c r="E1502" s="1" t="str">
        <f>IF(DATEDIF(Walmart[[#This Row],[Order Date]],Walmart[[#This Row],[Ship Date]],"D")&lt;7,"On time","Delayed")</f>
        <v>On time</v>
      </c>
      <c r="F1502" t="s">
        <v>496</v>
      </c>
      <c r="G1502" t="s">
        <v>14</v>
      </c>
      <c r="H1502" t="s">
        <v>15</v>
      </c>
      <c r="I1502" t="s">
        <v>16</v>
      </c>
      <c r="J1502" t="s">
        <v>146</v>
      </c>
      <c r="K1502" t="s">
        <v>2187</v>
      </c>
      <c r="L1502">
        <v>167.98</v>
      </c>
      <c r="M1502">
        <v>3</v>
      </c>
      <c r="N1502" t="str">
        <f>IF(Walmart[[#This Row],[Quantity]]&gt;=7,"Bulk",IF(Walmart[[#This Row],[Quantity]]&gt;=2,"Multi","Single"))</f>
        <v>Multi</v>
      </c>
      <c r="O1502">
        <v>10.5</v>
      </c>
      <c r="P1502" t="str">
        <f>IF(Walmart[[#This Row],[Sales]]&gt;=1000,"High Value", IF(Walmart[[#This Row],[Sales]]&gt;=500,"Medium Value","Low Value"))</f>
        <v>Low Value</v>
      </c>
    </row>
    <row r="1503" spans="1:16" hidden="1" x14ac:dyDescent="0.3">
      <c r="A1503" t="s">
        <v>3369</v>
      </c>
      <c r="B1503" s="1">
        <v>41241</v>
      </c>
      <c r="C1503" s="1" t="str">
        <f>TEXT(Walmart[[#This Row],[Order Date]],"mmmm")</f>
        <v>November</v>
      </c>
      <c r="D1503" s="1">
        <v>41243</v>
      </c>
      <c r="E1503" s="1" t="str">
        <f>IF(DATEDIF(Walmart[[#This Row],[Order Date]],Walmart[[#This Row],[Ship Date]],"D")&lt;7,"On time","Delayed")</f>
        <v>On time</v>
      </c>
      <c r="F1503" t="s">
        <v>3370</v>
      </c>
      <c r="G1503" t="s">
        <v>14</v>
      </c>
      <c r="H1503" t="s">
        <v>37</v>
      </c>
      <c r="I1503" t="s">
        <v>16</v>
      </c>
      <c r="J1503" t="s">
        <v>105</v>
      </c>
      <c r="K1503" t="s">
        <v>3371</v>
      </c>
      <c r="L1503">
        <v>45.28</v>
      </c>
      <c r="M1503">
        <v>4</v>
      </c>
      <c r="N1503" t="str">
        <f>IF(Walmart[[#This Row],[Quantity]]&gt;=7,"Bulk",IF(Walmart[[#This Row],[Quantity]]&gt;=2,"Multi","Single"))</f>
        <v>Multi</v>
      </c>
      <c r="O1503">
        <v>15.4</v>
      </c>
      <c r="P1503" t="str">
        <f>IF(Walmart[[#This Row],[Sales]]&gt;=1000,"High Value", IF(Walmart[[#This Row],[Sales]]&gt;=500,"Medium Value","Low Value"))</f>
        <v>Low Value</v>
      </c>
    </row>
    <row r="1504" spans="1:16" hidden="1" x14ac:dyDescent="0.3">
      <c r="A1504" t="s">
        <v>3372</v>
      </c>
      <c r="B1504" s="1">
        <v>41547</v>
      </c>
      <c r="C1504" s="1" t="str">
        <f>TEXT(Walmart[[#This Row],[Order Date]],"mmmm")</f>
        <v>September</v>
      </c>
      <c r="D1504" s="1">
        <v>41551</v>
      </c>
      <c r="E1504" s="1" t="str">
        <f>IF(DATEDIF(Walmart[[#This Row],[Order Date]],Walmart[[#This Row],[Ship Date]],"D")&lt;7,"On time","Delayed")</f>
        <v>On time</v>
      </c>
      <c r="F1504" t="s">
        <v>302</v>
      </c>
      <c r="G1504" t="s">
        <v>14</v>
      </c>
      <c r="H1504" t="s">
        <v>926</v>
      </c>
      <c r="I1504" t="s">
        <v>69</v>
      </c>
      <c r="J1504" t="s">
        <v>146</v>
      </c>
      <c r="K1504" t="s">
        <v>2437</v>
      </c>
      <c r="L1504">
        <v>859.2</v>
      </c>
      <c r="M1504">
        <v>3</v>
      </c>
      <c r="N1504" t="str">
        <f>IF(Walmart[[#This Row],[Quantity]]&gt;=7,"Bulk",IF(Walmart[[#This Row],[Quantity]]&gt;=2,"Multi","Single"))</f>
        <v>Multi</v>
      </c>
      <c r="O1504">
        <v>75.180000000000007</v>
      </c>
      <c r="P1504" t="str">
        <f>IF(Walmart[[#This Row],[Sales]]&gt;=1000,"High Value", IF(Walmart[[#This Row],[Sales]]&gt;=500,"Medium Value","Low Value"))</f>
        <v>Medium Value</v>
      </c>
    </row>
    <row r="1505" spans="1:16" x14ac:dyDescent="0.3">
      <c r="A1505" t="s">
        <v>1294</v>
      </c>
      <c r="B1505" s="1">
        <v>41684</v>
      </c>
      <c r="C1505" s="1" t="str">
        <f>TEXT(Walmart[[#This Row],[Order Date]],"mmmm")</f>
        <v>February</v>
      </c>
      <c r="D1505" s="1">
        <v>41690</v>
      </c>
      <c r="E1505" s="1" t="str">
        <f>IF(DATEDIF(Walmart[[#This Row],[Order Date]],Walmart[[#This Row],[Ship Date]],"D")&lt;7,"On time","Delayed")</f>
        <v>On time</v>
      </c>
      <c r="F1505" t="s">
        <v>1295</v>
      </c>
      <c r="G1505" t="s">
        <v>14</v>
      </c>
      <c r="H1505" t="s">
        <v>25</v>
      </c>
      <c r="I1505" t="s">
        <v>26</v>
      </c>
      <c r="J1505" t="s">
        <v>38</v>
      </c>
      <c r="K1505" t="s">
        <v>113</v>
      </c>
      <c r="L1505">
        <v>6.63</v>
      </c>
      <c r="M1505">
        <v>3</v>
      </c>
      <c r="N1505" t="str">
        <f>IF(Walmart[[#This Row],[Quantity]]&gt;=7,"Bulk",IF(Walmart[[#This Row],[Quantity]]&gt;=2,"Multi","Single"))</f>
        <v>Multi</v>
      </c>
      <c r="O1505">
        <v>1.79</v>
      </c>
      <c r="P1505" t="str">
        <f>IF(Walmart[[#This Row],[Sales]]&gt;=1000,"High Value", IF(Walmart[[#This Row],[Sales]]&gt;=500,"Medium Value","Low Value"))</f>
        <v>Low Value</v>
      </c>
    </row>
    <row r="1506" spans="1:16" hidden="1" x14ac:dyDescent="0.3">
      <c r="A1506" t="s">
        <v>3375</v>
      </c>
      <c r="B1506" s="1">
        <v>40835</v>
      </c>
      <c r="C1506" s="1" t="str">
        <f>TEXT(Walmart[[#This Row],[Order Date]],"mmmm")</f>
        <v>October</v>
      </c>
      <c r="D1506" s="1">
        <v>40838</v>
      </c>
      <c r="E1506" s="1" t="str">
        <f>IF(DATEDIF(Walmart[[#This Row],[Order Date]],Walmart[[#This Row],[Ship Date]],"D")&lt;7,"On time","Delayed")</f>
        <v>On time</v>
      </c>
      <c r="F1506" t="s">
        <v>470</v>
      </c>
      <c r="G1506" t="s">
        <v>14</v>
      </c>
      <c r="H1506" t="s">
        <v>37</v>
      </c>
      <c r="I1506" t="s">
        <v>16</v>
      </c>
      <c r="J1506" t="s">
        <v>27</v>
      </c>
      <c r="K1506" t="s">
        <v>1477</v>
      </c>
      <c r="L1506">
        <v>2.99</v>
      </c>
      <c r="M1506">
        <v>1</v>
      </c>
      <c r="N1506" t="str">
        <f>IF(Walmart[[#This Row],[Quantity]]&gt;=7,"Bulk",IF(Walmart[[#This Row],[Quantity]]&gt;=2,"Multi","Single"))</f>
        <v>Single</v>
      </c>
      <c r="O1506">
        <v>1.1200000000000001</v>
      </c>
      <c r="P1506" t="str">
        <f>IF(Walmart[[#This Row],[Sales]]&gt;=1000,"High Value", IF(Walmart[[#This Row],[Sales]]&gt;=500,"Medium Value","Low Value"))</f>
        <v>Low Value</v>
      </c>
    </row>
    <row r="1507" spans="1:16" hidden="1" x14ac:dyDescent="0.3">
      <c r="A1507" t="s">
        <v>3376</v>
      </c>
      <c r="B1507" s="1">
        <v>41347</v>
      </c>
      <c r="C1507" s="1" t="str">
        <f>TEXT(Walmart[[#This Row],[Order Date]],"mmmm")</f>
        <v>March</v>
      </c>
      <c r="D1507" s="1">
        <v>41352</v>
      </c>
      <c r="E1507" s="1" t="str">
        <f>IF(DATEDIF(Walmart[[#This Row],[Order Date]],Walmart[[#This Row],[Ship Date]],"D")&lt;7,"On time","Delayed")</f>
        <v>On time</v>
      </c>
      <c r="F1507" t="s">
        <v>2983</v>
      </c>
      <c r="G1507" t="s">
        <v>14</v>
      </c>
      <c r="H1507" t="s">
        <v>471</v>
      </c>
      <c r="I1507" t="s">
        <v>16</v>
      </c>
      <c r="J1507" t="s">
        <v>27</v>
      </c>
      <c r="K1507" t="s">
        <v>664</v>
      </c>
      <c r="L1507">
        <v>51.18</v>
      </c>
      <c r="M1507">
        <v>7</v>
      </c>
      <c r="N1507" t="str">
        <f>IF(Walmart[[#This Row],[Quantity]]&gt;=7,"Bulk",IF(Walmart[[#This Row],[Quantity]]&gt;=2,"Multi","Single"))</f>
        <v>Bulk</v>
      </c>
      <c r="O1507">
        <v>19.190000000000001</v>
      </c>
      <c r="P1507" t="str">
        <f>IF(Walmart[[#This Row],[Sales]]&gt;=1000,"High Value", IF(Walmart[[#This Row],[Sales]]&gt;=500,"Medium Value","Low Value"))</f>
        <v>Low Value</v>
      </c>
    </row>
    <row r="1508" spans="1:16" hidden="1" x14ac:dyDescent="0.3">
      <c r="A1508" t="s">
        <v>3377</v>
      </c>
      <c r="B1508" s="1">
        <v>41631</v>
      </c>
      <c r="C1508" s="1" t="str">
        <f>TEXT(Walmart[[#This Row],[Order Date]],"mmmm")</f>
        <v>December</v>
      </c>
      <c r="D1508" s="1">
        <v>41637</v>
      </c>
      <c r="E1508" s="1" t="str">
        <f>IF(DATEDIF(Walmart[[#This Row],[Order Date]],Walmart[[#This Row],[Ship Date]],"D")&lt;7,"On time","Delayed")</f>
        <v>On time</v>
      </c>
      <c r="F1508" t="s">
        <v>61</v>
      </c>
      <c r="G1508" t="s">
        <v>14</v>
      </c>
      <c r="H1508" t="s">
        <v>2067</v>
      </c>
      <c r="I1508" t="s">
        <v>16</v>
      </c>
      <c r="J1508" t="s">
        <v>21</v>
      </c>
      <c r="K1508" t="s">
        <v>3378</v>
      </c>
      <c r="L1508">
        <v>842.72</v>
      </c>
      <c r="M1508">
        <v>8</v>
      </c>
      <c r="N1508" t="str">
        <f>IF(Walmart[[#This Row],[Quantity]]&gt;=7,"Bulk",IF(Walmart[[#This Row],[Quantity]]&gt;=2,"Multi","Single"))</f>
        <v>Bulk</v>
      </c>
      <c r="O1508">
        <v>202.25</v>
      </c>
      <c r="P1508" t="str">
        <f>IF(Walmart[[#This Row],[Sales]]&gt;=1000,"High Value", IF(Walmart[[#This Row],[Sales]]&gt;=500,"Medium Value","Low Value"))</f>
        <v>Medium Value</v>
      </c>
    </row>
    <row r="1509" spans="1:16" hidden="1" x14ac:dyDescent="0.3">
      <c r="A1509" t="s">
        <v>3379</v>
      </c>
      <c r="B1509" s="1">
        <v>41541</v>
      </c>
      <c r="C1509" s="1" t="str">
        <f>TEXT(Walmart[[#This Row],[Order Date]],"mmmm")</f>
        <v>September</v>
      </c>
      <c r="D1509" s="1">
        <v>41545</v>
      </c>
      <c r="E1509" s="1" t="str">
        <f>IF(DATEDIF(Walmart[[#This Row],[Order Date]],Walmart[[#This Row],[Ship Date]],"D")&lt;7,"On time","Delayed")</f>
        <v>On time</v>
      </c>
      <c r="F1509" t="s">
        <v>446</v>
      </c>
      <c r="G1509" t="s">
        <v>14</v>
      </c>
      <c r="H1509" t="s">
        <v>25</v>
      </c>
      <c r="I1509" t="s">
        <v>26</v>
      </c>
      <c r="J1509" t="s">
        <v>27</v>
      </c>
      <c r="K1509" t="s">
        <v>626</v>
      </c>
      <c r="L1509">
        <v>13.22</v>
      </c>
      <c r="M1509">
        <v>4</v>
      </c>
      <c r="N1509" t="str">
        <f>IF(Walmart[[#This Row],[Quantity]]&gt;=7,"Bulk",IF(Walmart[[#This Row],[Quantity]]&gt;=2,"Multi","Single"))</f>
        <v>Multi</v>
      </c>
      <c r="O1509">
        <v>4.46</v>
      </c>
      <c r="P1509" t="str">
        <f>IF(Walmart[[#This Row],[Sales]]&gt;=1000,"High Value", IF(Walmart[[#This Row],[Sales]]&gt;=500,"Medium Value","Low Value"))</f>
        <v>Low Value</v>
      </c>
    </row>
    <row r="1510" spans="1:16" x14ac:dyDescent="0.3">
      <c r="A1510" t="s">
        <v>751</v>
      </c>
      <c r="B1510" s="1">
        <v>41682</v>
      </c>
      <c r="C1510" s="1" t="str">
        <f>TEXT(Walmart[[#This Row],[Order Date]],"mmmm")</f>
        <v>February</v>
      </c>
      <c r="D1510" s="1">
        <v>41685</v>
      </c>
      <c r="E1510" s="1" t="str">
        <f>IF(DATEDIF(Walmart[[#This Row],[Order Date]],Walmart[[#This Row],[Ship Date]],"D")&lt;7,"On time","Delayed")</f>
        <v>On time</v>
      </c>
      <c r="F1510" t="s">
        <v>752</v>
      </c>
      <c r="G1510" t="s">
        <v>14</v>
      </c>
      <c r="H1510" t="s">
        <v>37</v>
      </c>
      <c r="I1510" t="s">
        <v>16</v>
      </c>
      <c r="J1510" t="s">
        <v>27</v>
      </c>
      <c r="K1510" t="s">
        <v>479</v>
      </c>
      <c r="L1510">
        <v>21.34</v>
      </c>
      <c r="M1510">
        <v>7</v>
      </c>
      <c r="N1510" t="str">
        <f>IF(Walmart[[#This Row],[Quantity]]&gt;=7,"Bulk",IF(Walmart[[#This Row],[Quantity]]&gt;=2,"Multi","Single"))</f>
        <v>Bulk</v>
      </c>
      <c r="O1510">
        <v>7.73</v>
      </c>
      <c r="P1510" t="str">
        <f>IF(Walmart[[#This Row],[Sales]]&gt;=1000,"High Value", IF(Walmart[[#This Row],[Sales]]&gt;=500,"Medium Value","Low Value"))</f>
        <v>Low Value</v>
      </c>
    </row>
    <row r="1511" spans="1:16" x14ac:dyDescent="0.3">
      <c r="A1511" t="s">
        <v>1459</v>
      </c>
      <c r="B1511" s="1">
        <v>41682</v>
      </c>
      <c r="C1511" s="1" t="str">
        <f>TEXT(Walmart[[#This Row],[Order Date]],"mmmm")</f>
        <v>February</v>
      </c>
      <c r="D1511" s="1">
        <v>41684</v>
      </c>
      <c r="E1511" s="1" t="str">
        <f>IF(DATEDIF(Walmart[[#This Row],[Order Date]],Walmart[[#This Row],[Ship Date]],"D")&lt;7,"On time","Delayed")</f>
        <v>On time</v>
      </c>
      <c r="F1511" t="s">
        <v>1460</v>
      </c>
      <c r="G1511" t="s">
        <v>14</v>
      </c>
      <c r="H1511" t="s">
        <v>25</v>
      </c>
      <c r="I1511" t="s">
        <v>26</v>
      </c>
      <c r="J1511" t="s">
        <v>88</v>
      </c>
      <c r="K1511" t="s">
        <v>1461</v>
      </c>
      <c r="L1511">
        <v>963.14</v>
      </c>
      <c r="M1511">
        <v>4</v>
      </c>
      <c r="N1511" t="str">
        <f>IF(Walmart[[#This Row],[Quantity]]&gt;=7,"Bulk",IF(Walmart[[#This Row],[Quantity]]&gt;=2,"Multi","Single"))</f>
        <v>Multi</v>
      </c>
      <c r="O1511">
        <v>108.35</v>
      </c>
      <c r="P1511" t="str">
        <f>IF(Walmart[[#This Row],[Sales]]&gt;=1000,"High Value", IF(Walmart[[#This Row],[Sales]]&gt;=500,"Medium Value","Low Value"))</f>
        <v>Medium Value</v>
      </c>
    </row>
    <row r="1512" spans="1:16" hidden="1" x14ac:dyDescent="0.3">
      <c r="A1512" t="s">
        <v>3384</v>
      </c>
      <c r="B1512" s="1">
        <v>41431</v>
      </c>
      <c r="C1512" s="1" t="str">
        <f>TEXT(Walmart[[#This Row],[Order Date]],"mmmm")</f>
        <v>June</v>
      </c>
      <c r="D1512" s="1">
        <v>41435</v>
      </c>
      <c r="E1512" s="1" t="str">
        <f>IF(DATEDIF(Walmart[[#This Row],[Order Date]],Walmart[[#This Row],[Ship Date]],"D")&lt;7,"On time","Delayed")</f>
        <v>On time</v>
      </c>
      <c r="F1512" t="s">
        <v>3385</v>
      </c>
      <c r="G1512" t="s">
        <v>14</v>
      </c>
      <c r="H1512" t="s">
        <v>25</v>
      </c>
      <c r="I1512" t="s">
        <v>26</v>
      </c>
      <c r="J1512" t="s">
        <v>334</v>
      </c>
      <c r="K1512" t="s">
        <v>3386</v>
      </c>
      <c r="L1512">
        <v>61.38</v>
      </c>
      <c r="M1512">
        <v>6</v>
      </c>
      <c r="N1512" t="str">
        <f>IF(Walmart[[#This Row],[Quantity]]&gt;=7,"Bulk",IF(Walmart[[#This Row],[Quantity]]&gt;=2,"Multi","Single"))</f>
        <v>Multi</v>
      </c>
      <c r="O1512">
        <v>15.96</v>
      </c>
      <c r="P1512" t="str">
        <f>IF(Walmart[[#This Row],[Sales]]&gt;=1000,"High Value", IF(Walmart[[#This Row],[Sales]]&gt;=500,"Medium Value","Low Value"))</f>
        <v>Low Value</v>
      </c>
    </row>
    <row r="1513" spans="1:16" hidden="1" x14ac:dyDescent="0.3">
      <c r="A1513" t="s">
        <v>3387</v>
      </c>
      <c r="B1513" s="1">
        <v>41257</v>
      </c>
      <c r="C1513" s="1" t="str">
        <f>TEXT(Walmart[[#This Row],[Order Date]],"mmmm")</f>
        <v>December</v>
      </c>
      <c r="D1513" s="1">
        <v>41262</v>
      </c>
      <c r="E1513" s="1" t="str">
        <f>IF(DATEDIF(Walmart[[#This Row],[Order Date]],Walmart[[#This Row],[Ship Date]],"D")&lt;7,"On time","Delayed")</f>
        <v>On time</v>
      </c>
      <c r="F1513" t="s">
        <v>3370</v>
      </c>
      <c r="G1513" t="s">
        <v>14</v>
      </c>
      <c r="H1513" t="s">
        <v>15</v>
      </c>
      <c r="I1513" t="s">
        <v>16</v>
      </c>
      <c r="J1513" t="s">
        <v>53</v>
      </c>
      <c r="K1513" t="s">
        <v>2282</v>
      </c>
      <c r="L1513">
        <v>50</v>
      </c>
      <c r="M1513">
        <v>2</v>
      </c>
      <c r="N1513" t="str">
        <f>IF(Walmart[[#This Row],[Quantity]]&gt;=7,"Bulk",IF(Walmart[[#This Row],[Quantity]]&gt;=2,"Multi","Single"))</f>
        <v>Multi</v>
      </c>
      <c r="O1513">
        <v>10.5</v>
      </c>
      <c r="P1513" t="str">
        <f>IF(Walmart[[#This Row],[Sales]]&gt;=1000,"High Value", IF(Walmart[[#This Row],[Sales]]&gt;=500,"Medium Value","Low Value"))</f>
        <v>Low Value</v>
      </c>
    </row>
    <row r="1514" spans="1:16" x14ac:dyDescent="0.3">
      <c r="A1514" t="s">
        <v>759</v>
      </c>
      <c r="B1514" s="1">
        <v>41681</v>
      </c>
      <c r="C1514" s="1" t="str">
        <f>TEXT(Walmart[[#This Row],[Order Date]],"mmmm")</f>
        <v>February</v>
      </c>
      <c r="D1514" s="1">
        <v>41685</v>
      </c>
      <c r="E1514" s="1" t="str">
        <f>IF(DATEDIF(Walmart[[#This Row],[Order Date]],Walmart[[#This Row],[Ship Date]],"D")&lt;7,"On time","Delayed")</f>
        <v>On time</v>
      </c>
      <c r="F1514" t="s">
        <v>760</v>
      </c>
      <c r="G1514" t="s">
        <v>14</v>
      </c>
      <c r="H1514" t="s">
        <v>761</v>
      </c>
      <c r="I1514" t="s">
        <v>16</v>
      </c>
      <c r="J1514" t="s">
        <v>671</v>
      </c>
      <c r="K1514" t="s">
        <v>762</v>
      </c>
      <c r="L1514">
        <v>203.98</v>
      </c>
      <c r="M1514">
        <v>2</v>
      </c>
      <c r="N1514" t="str">
        <f>IF(Walmart[[#This Row],[Quantity]]&gt;=7,"Bulk",IF(Walmart[[#This Row],[Quantity]]&gt;=2,"Multi","Single"))</f>
        <v>Multi</v>
      </c>
      <c r="O1514">
        <v>16.8</v>
      </c>
      <c r="P1514" t="str">
        <f>IF(Walmart[[#This Row],[Sales]]&gt;=1000,"High Value", IF(Walmart[[#This Row],[Sales]]&gt;=500,"Medium Value","Low Value"))</f>
        <v>Low Value</v>
      </c>
    </row>
    <row r="1515" spans="1:16" hidden="1" x14ac:dyDescent="0.3">
      <c r="A1515" t="s">
        <v>3389</v>
      </c>
      <c r="B1515" s="1">
        <v>41207</v>
      </c>
      <c r="C1515" s="1" t="str">
        <f>TEXT(Walmart[[#This Row],[Order Date]],"mmmm")</f>
        <v>October</v>
      </c>
      <c r="D1515" s="1">
        <v>41207</v>
      </c>
      <c r="E1515" s="1" t="str">
        <f>IF(DATEDIF(Walmart[[#This Row],[Order Date]],Walmart[[#This Row],[Ship Date]],"D")&lt;7,"On time","Delayed")</f>
        <v>On time</v>
      </c>
      <c r="F1515" t="s">
        <v>2946</v>
      </c>
      <c r="G1515" t="s">
        <v>14</v>
      </c>
      <c r="H1515" t="s">
        <v>141</v>
      </c>
      <c r="I1515" t="s">
        <v>77</v>
      </c>
      <c r="J1515" t="s">
        <v>88</v>
      </c>
      <c r="K1515" t="s">
        <v>3390</v>
      </c>
      <c r="L1515">
        <v>582.34</v>
      </c>
      <c r="M1515">
        <v>8</v>
      </c>
      <c r="N1515" t="str">
        <f>IF(Walmart[[#This Row],[Quantity]]&gt;=7,"Bulk",IF(Walmart[[#This Row],[Quantity]]&gt;=2,"Multi","Single"))</f>
        <v>Bulk</v>
      </c>
      <c r="O1515">
        <v>-29.12</v>
      </c>
      <c r="P1515" t="str">
        <f>IF(Walmart[[#This Row],[Sales]]&gt;=1000,"High Value", IF(Walmart[[#This Row],[Sales]]&gt;=500,"Medium Value","Low Value"))</f>
        <v>Medium Value</v>
      </c>
    </row>
    <row r="1516" spans="1:16" hidden="1" x14ac:dyDescent="0.3">
      <c r="A1516" t="s">
        <v>3391</v>
      </c>
      <c r="B1516" s="1">
        <v>40718</v>
      </c>
      <c r="C1516" s="1" t="str">
        <f>TEXT(Walmart[[#This Row],[Order Date]],"mmmm")</f>
        <v>June</v>
      </c>
      <c r="D1516" s="1">
        <v>40722</v>
      </c>
      <c r="E1516" s="1" t="str">
        <f>IF(DATEDIF(Walmart[[#This Row],[Order Date]],Walmart[[#This Row],[Ship Date]],"D")&lt;7,"On time","Delayed")</f>
        <v>On time</v>
      </c>
      <c r="F1516" t="s">
        <v>315</v>
      </c>
      <c r="G1516" t="s">
        <v>14</v>
      </c>
      <c r="H1516" t="s">
        <v>215</v>
      </c>
      <c r="I1516" t="s">
        <v>58</v>
      </c>
      <c r="J1516" t="s">
        <v>21</v>
      </c>
      <c r="K1516" t="s">
        <v>2100</v>
      </c>
      <c r="L1516">
        <v>4.2699999999999996</v>
      </c>
      <c r="M1516">
        <v>2</v>
      </c>
      <c r="N1516" t="str">
        <f>IF(Walmart[[#This Row],[Quantity]]&gt;=7,"Bulk",IF(Walmart[[#This Row],[Quantity]]&gt;=2,"Multi","Single"))</f>
        <v>Multi</v>
      </c>
      <c r="O1516">
        <v>0.96</v>
      </c>
      <c r="P1516" t="str">
        <f>IF(Walmart[[#This Row],[Sales]]&gt;=1000,"High Value", IF(Walmart[[#This Row],[Sales]]&gt;=500,"Medium Value","Low Value"))</f>
        <v>Low Value</v>
      </c>
    </row>
    <row r="1517" spans="1:16" hidden="1" x14ac:dyDescent="0.3">
      <c r="A1517" t="s">
        <v>3392</v>
      </c>
      <c r="B1517" s="1">
        <v>41344</v>
      </c>
      <c r="C1517" s="1" t="str">
        <f>TEXT(Walmart[[#This Row],[Order Date]],"mmmm")</f>
        <v>March</v>
      </c>
      <c r="D1517" s="1">
        <v>41348</v>
      </c>
      <c r="E1517" s="1" t="str">
        <f>IF(DATEDIF(Walmart[[#This Row],[Order Date]],Walmart[[#This Row],[Ship Date]],"D")&lt;7,"On time","Delayed")</f>
        <v>On time</v>
      </c>
      <c r="F1517" t="s">
        <v>396</v>
      </c>
      <c r="G1517" t="s">
        <v>14</v>
      </c>
      <c r="H1517" t="s">
        <v>712</v>
      </c>
      <c r="I1517" t="s">
        <v>58</v>
      </c>
      <c r="J1517" t="s">
        <v>33</v>
      </c>
      <c r="K1517" t="s">
        <v>3393</v>
      </c>
      <c r="L1517">
        <v>104.7</v>
      </c>
      <c r="M1517">
        <v>1</v>
      </c>
      <c r="N1517" t="str">
        <f>IF(Walmart[[#This Row],[Quantity]]&gt;=7,"Bulk",IF(Walmart[[#This Row],[Quantity]]&gt;=2,"Multi","Single"))</f>
        <v>Single</v>
      </c>
      <c r="O1517">
        <v>6.54</v>
      </c>
      <c r="P1517" t="str">
        <f>IF(Walmart[[#This Row],[Sales]]&gt;=1000,"High Value", IF(Walmart[[#This Row],[Sales]]&gt;=500,"Medium Value","Low Value"))</f>
        <v>Low Value</v>
      </c>
    </row>
    <row r="1518" spans="1:16" hidden="1" x14ac:dyDescent="0.3">
      <c r="A1518" t="s">
        <v>3394</v>
      </c>
      <c r="B1518" s="1">
        <v>40935</v>
      </c>
      <c r="C1518" s="1" t="str">
        <f>TEXT(Walmart[[#This Row],[Order Date]],"mmmm")</f>
        <v>January</v>
      </c>
      <c r="D1518" s="1">
        <v>40937</v>
      </c>
      <c r="E1518" s="1" t="str">
        <f>IF(DATEDIF(Walmart[[#This Row],[Order Date]],Walmart[[#This Row],[Ship Date]],"D")&lt;7,"On time","Delayed")</f>
        <v>On time</v>
      </c>
      <c r="F1518" t="s">
        <v>2791</v>
      </c>
      <c r="G1518" t="s">
        <v>14</v>
      </c>
      <c r="H1518" t="s">
        <v>15</v>
      </c>
      <c r="I1518" t="s">
        <v>16</v>
      </c>
      <c r="J1518" t="s">
        <v>88</v>
      </c>
      <c r="K1518" t="s">
        <v>306</v>
      </c>
      <c r="L1518">
        <v>2803.92</v>
      </c>
      <c r="M1518">
        <v>5</v>
      </c>
      <c r="N1518" t="str">
        <f>IF(Walmart[[#This Row],[Quantity]]&gt;=7,"Bulk",IF(Walmart[[#This Row],[Quantity]]&gt;=2,"Multi","Single"))</f>
        <v>Multi</v>
      </c>
      <c r="O1518">
        <v>0</v>
      </c>
      <c r="P1518" t="str">
        <f>IF(Walmart[[#This Row],[Sales]]&gt;=1000,"High Value", IF(Walmart[[#This Row],[Sales]]&gt;=500,"Medium Value","Low Value"))</f>
        <v>High Value</v>
      </c>
    </row>
    <row r="1519" spans="1:16" hidden="1" x14ac:dyDescent="0.3">
      <c r="A1519" t="s">
        <v>3395</v>
      </c>
      <c r="B1519" s="1">
        <v>41200</v>
      </c>
      <c r="C1519" s="1" t="str">
        <f>TEXT(Walmart[[#This Row],[Order Date]],"mmmm")</f>
        <v>October</v>
      </c>
      <c r="D1519" s="1">
        <v>41204</v>
      </c>
      <c r="E1519" s="1" t="str">
        <f>IF(DATEDIF(Walmart[[#This Row],[Order Date]],Walmart[[#This Row],[Ship Date]],"D")&lt;7,"On time","Delayed")</f>
        <v>On time</v>
      </c>
      <c r="F1519" t="s">
        <v>3019</v>
      </c>
      <c r="G1519" t="s">
        <v>14</v>
      </c>
      <c r="H1519" t="s">
        <v>25</v>
      </c>
      <c r="I1519" t="s">
        <v>26</v>
      </c>
      <c r="J1519" t="s">
        <v>146</v>
      </c>
      <c r="K1519" t="s">
        <v>2703</v>
      </c>
      <c r="L1519">
        <v>249.58</v>
      </c>
      <c r="M1519">
        <v>2</v>
      </c>
      <c r="N1519" t="str">
        <f>IF(Walmart[[#This Row],[Quantity]]&gt;=7,"Bulk",IF(Walmart[[#This Row],[Quantity]]&gt;=2,"Multi","Single"))</f>
        <v>Multi</v>
      </c>
      <c r="O1519">
        <v>15.6</v>
      </c>
      <c r="P1519" t="str">
        <f>IF(Walmart[[#This Row],[Sales]]&gt;=1000,"High Value", IF(Walmart[[#This Row],[Sales]]&gt;=500,"Medium Value","Low Value"))</f>
        <v>Low Value</v>
      </c>
    </row>
    <row r="1520" spans="1:16" hidden="1" x14ac:dyDescent="0.3">
      <c r="A1520" t="s">
        <v>3396</v>
      </c>
      <c r="B1520" s="1">
        <v>40747</v>
      </c>
      <c r="C1520" s="1" t="str">
        <f>TEXT(Walmart[[#This Row],[Order Date]],"mmmm")</f>
        <v>July</v>
      </c>
      <c r="D1520" s="1">
        <v>40751</v>
      </c>
      <c r="E1520" s="1" t="str">
        <f>IF(DATEDIF(Walmart[[#This Row],[Order Date]],Walmart[[#This Row],[Ship Date]],"D")&lt;7,"On time","Delayed")</f>
        <v>On time</v>
      </c>
      <c r="F1520" t="s">
        <v>1770</v>
      </c>
      <c r="G1520" t="s">
        <v>14</v>
      </c>
      <c r="H1520" t="s">
        <v>37</v>
      </c>
      <c r="I1520" t="s">
        <v>16</v>
      </c>
      <c r="J1520" t="s">
        <v>146</v>
      </c>
      <c r="K1520" t="s">
        <v>1942</v>
      </c>
      <c r="L1520">
        <v>604.75</v>
      </c>
      <c r="M1520">
        <v>6</v>
      </c>
      <c r="N1520" t="str">
        <f>IF(Walmart[[#This Row],[Quantity]]&gt;=7,"Bulk",IF(Walmart[[#This Row],[Quantity]]&gt;=2,"Multi","Single"))</f>
        <v>Multi</v>
      </c>
      <c r="O1520">
        <v>60.48</v>
      </c>
      <c r="P1520" t="str">
        <f>IF(Walmart[[#This Row],[Sales]]&gt;=1000,"High Value", IF(Walmart[[#This Row],[Sales]]&gt;=500,"Medium Value","Low Value"))</f>
        <v>Medium Value</v>
      </c>
    </row>
    <row r="1521" spans="1:16" hidden="1" x14ac:dyDescent="0.3">
      <c r="A1521" t="s">
        <v>3397</v>
      </c>
      <c r="B1521" s="1">
        <v>41533</v>
      </c>
      <c r="C1521" s="1" t="str">
        <f>TEXT(Walmart[[#This Row],[Order Date]],"mmmm")</f>
        <v>September</v>
      </c>
      <c r="D1521" s="1">
        <v>41538</v>
      </c>
      <c r="E1521" s="1" t="str">
        <f>IF(DATEDIF(Walmart[[#This Row],[Order Date]],Walmart[[#This Row],[Ship Date]],"D")&lt;7,"On time","Delayed")</f>
        <v>On time</v>
      </c>
      <c r="F1521" t="s">
        <v>1804</v>
      </c>
      <c r="G1521" t="s">
        <v>14</v>
      </c>
      <c r="H1521" t="s">
        <v>25</v>
      </c>
      <c r="I1521" t="s">
        <v>26</v>
      </c>
      <c r="J1521" t="s">
        <v>38</v>
      </c>
      <c r="K1521" t="s">
        <v>1839</v>
      </c>
      <c r="L1521">
        <v>35.4</v>
      </c>
      <c r="M1521">
        <v>5</v>
      </c>
      <c r="N1521" t="str">
        <f>IF(Walmart[[#This Row],[Quantity]]&gt;=7,"Bulk",IF(Walmart[[#This Row],[Quantity]]&gt;=2,"Multi","Single"))</f>
        <v>Multi</v>
      </c>
      <c r="O1521">
        <v>13.45</v>
      </c>
      <c r="P1521" t="str">
        <f>IF(Walmart[[#This Row],[Sales]]&gt;=1000,"High Value", IF(Walmart[[#This Row],[Sales]]&gt;=500,"Medium Value","Low Value"))</f>
        <v>Low Value</v>
      </c>
    </row>
    <row r="1522" spans="1:16" hidden="1" x14ac:dyDescent="0.3">
      <c r="A1522" t="s">
        <v>3398</v>
      </c>
      <c r="B1522" s="1">
        <v>41138</v>
      </c>
      <c r="C1522" s="1" t="str">
        <f>TEXT(Walmart[[#This Row],[Order Date]],"mmmm")</f>
        <v>August</v>
      </c>
      <c r="D1522" s="1">
        <v>41144</v>
      </c>
      <c r="E1522" s="1" t="str">
        <f>IF(DATEDIF(Walmart[[#This Row],[Order Date]],Walmart[[#This Row],[Ship Date]],"D")&lt;7,"On time","Delayed")</f>
        <v>On time</v>
      </c>
      <c r="F1522" t="s">
        <v>843</v>
      </c>
      <c r="G1522" t="s">
        <v>14</v>
      </c>
      <c r="H1522" t="s">
        <v>985</v>
      </c>
      <c r="I1522" t="s">
        <v>58</v>
      </c>
      <c r="J1522" t="s">
        <v>53</v>
      </c>
      <c r="K1522" t="s">
        <v>3146</v>
      </c>
      <c r="L1522">
        <v>30.08</v>
      </c>
      <c r="M1522">
        <v>2</v>
      </c>
      <c r="N1522" t="str">
        <f>IF(Walmart[[#This Row],[Quantity]]&gt;=7,"Bulk",IF(Walmart[[#This Row],[Quantity]]&gt;=2,"Multi","Single"))</f>
        <v>Multi</v>
      </c>
      <c r="O1522">
        <v>-5.26</v>
      </c>
      <c r="P1522" t="str">
        <f>IF(Walmart[[#This Row],[Sales]]&gt;=1000,"High Value", IF(Walmart[[#This Row],[Sales]]&gt;=500,"Medium Value","Low Value"))</f>
        <v>Low Value</v>
      </c>
    </row>
    <row r="1523" spans="1:16" x14ac:dyDescent="0.3">
      <c r="A1523" t="s">
        <v>2404</v>
      </c>
      <c r="B1523" s="1">
        <v>41680</v>
      </c>
      <c r="C1523" s="1" t="str">
        <f>TEXT(Walmart[[#This Row],[Order Date]],"mmmm")</f>
        <v>February</v>
      </c>
      <c r="D1523" s="1">
        <v>41685</v>
      </c>
      <c r="E1523" s="1" t="str">
        <f>IF(DATEDIF(Walmart[[#This Row],[Order Date]],Walmart[[#This Row],[Ship Date]],"D")&lt;7,"On time","Delayed")</f>
        <v>On time</v>
      </c>
      <c r="F1523" t="s">
        <v>798</v>
      </c>
      <c r="G1523" t="s">
        <v>14</v>
      </c>
      <c r="H1523" t="s">
        <v>15</v>
      </c>
      <c r="I1523" t="s">
        <v>16</v>
      </c>
      <c r="J1523" t="s">
        <v>21</v>
      </c>
      <c r="K1523" t="s">
        <v>1887</v>
      </c>
      <c r="L1523">
        <v>21.12</v>
      </c>
      <c r="M1523">
        <v>4</v>
      </c>
      <c r="N1523" t="str">
        <f>IF(Walmart[[#This Row],[Quantity]]&gt;=7,"Bulk",IF(Walmart[[#This Row],[Quantity]]&gt;=2,"Multi","Single"))</f>
        <v>Multi</v>
      </c>
      <c r="O1523">
        <v>6.55</v>
      </c>
      <c r="P1523" t="str">
        <f>IF(Walmart[[#This Row],[Sales]]&gt;=1000,"High Value", IF(Walmart[[#This Row],[Sales]]&gt;=500,"Medium Value","Low Value"))</f>
        <v>Low Value</v>
      </c>
    </row>
    <row r="1524" spans="1:16" hidden="1" x14ac:dyDescent="0.3">
      <c r="A1524" t="s">
        <v>3401</v>
      </c>
      <c r="B1524" s="1">
        <v>41535</v>
      </c>
      <c r="C1524" s="1" t="str">
        <f>TEXT(Walmart[[#This Row],[Order Date]],"mmmm")</f>
        <v>September</v>
      </c>
      <c r="D1524" s="1">
        <v>41541</v>
      </c>
      <c r="E1524" s="1" t="str">
        <f>IF(DATEDIF(Walmart[[#This Row],[Order Date]],Walmart[[#This Row],[Ship Date]],"D")&lt;7,"On time","Delayed")</f>
        <v>On time</v>
      </c>
      <c r="F1524" t="s">
        <v>625</v>
      </c>
      <c r="G1524" t="s">
        <v>14</v>
      </c>
      <c r="H1524" t="s">
        <v>885</v>
      </c>
      <c r="I1524" t="s">
        <v>26</v>
      </c>
      <c r="J1524" t="s">
        <v>17</v>
      </c>
      <c r="K1524" t="s">
        <v>3402</v>
      </c>
      <c r="L1524">
        <v>12.32</v>
      </c>
      <c r="M1524">
        <v>4</v>
      </c>
      <c r="N1524" t="str">
        <f>IF(Walmart[[#This Row],[Quantity]]&gt;=7,"Bulk",IF(Walmart[[#This Row],[Quantity]]&gt;=2,"Multi","Single"))</f>
        <v>Multi</v>
      </c>
      <c r="O1524">
        <v>5.91</v>
      </c>
      <c r="P1524" t="str">
        <f>IF(Walmart[[#This Row],[Sales]]&gt;=1000,"High Value", IF(Walmart[[#This Row],[Sales]]&gt;=500,"Medium Value","Low Value"))</f>
        <v>Low Value</v>
      </c>
    </row>
    <row r="1525" spans="1:16" hidden="1" x14ac:dyDescent="0.3">
      <c r="A1525" t="s">
        <v>3403</v>
      </c>
      <c r="B1525" s="1">
        <v>40794</v>
      </c>
      <c r="C1525" s="1" t="str">
        <f>TEXT(Walmart[[#This Row],[Order Date]],"mmmm")</f>
        <v>September</v>
      </c>
      <c r="D1525" s="1">
        <v>40799</v>
      </c>
      <c r="E1525" s="1" t="str">
        <f>IF(DATEDIF(Walmart[[#This Row],[Order Date]],Walmart[[#This Row],[Ship Date]],"D")&lt;7,"On time","Delayed")</f>
        <v>On time</v>
      </c>
      <c r="F1525" t="s">
        <v>1738</v>
      </c>
      <c r="G1525" t="s">
        <v>14</v>
      </c>
      <c r="H1525" t="s">
        <v>37</v>
      </c>
      <c r="I1525" t="s">
        <v>16</v>
      </c>
      <c r="J1525" t="s">
        <v>27</v>
      </c>
      <c r="K1525" t="s">
        <v>1538</v>
      </c>
      <c r="L1525">
        <v>8.61</v>
      </c>
      <c r="M1525">
        <v>2</v>
      </c>
      <c r="N1525" t="str">
        <f>IF(Walmart[[#This Row],[Quantity]]&gt;=7,"Bulk",IF(Walmart[[#This Row],[Quantity]]&gt;=2,"Multi","Single"))</f>
        <v>Multi</v>
      </c>
      <c r="O1525">
        <v>3.01</v>
      </c>
      <c r="P1525" t="str">
        <f>IF(Walmart[[#This Row],[Sales]]&gt;=1000,"High Value", IF(Walmart[[#This Row],[Sales]]&gt;=500,"Medium Value","Low Value"))</f>
        <v>Low Value</v>
      </c>
    </row>
    <row r="1526" spans="1:16" x14ac:dyDescent="0.3">
      <c r="A1526" t="s">
        <v>2796</v>
      </c>
      <c r="B1526" s="1">
        <v>41680</v>
      </c>
      <c r="C1526" s="1" t="str">
        <f>TEXT(Walmart[[#This Row],[Order Date]],"mmmm")</f>
        <v>February</v>
      </c>
      <c r="D1526" s="1">
        <v>41684</v>
      </c>
      <c r="E1526" s="1" t="str">
        <f>IF(DATEDIF(Walmart[[#This Row],[Order Date]],Walmart[[#This Row],[Ship Date]],"D")&lt;7,"On time","Delayed")</f>
        <v>On time</v>
      </c>
      <c r="F1526" t="s">
        <v>2797</v>
      </c>
      <c r="G1526" t="s">
        <v>14</v>
      </c>
      <c r="H1526" t="s">
        <v>15</v>
      </c>
      <c r="I1526" t="s">
        <v>16</v>
      </c>
      <c r="J1526" t="s">
        <v>33</v>
      </c>
      <c r="K1526" t="s">
        <v>2798</v>
      </c>
      <c r="L1526">
        <v>354.9</v>
      </c>
      <c r="M1526">
        <v>5</v>
      </c>
      <c r="N1526" t="str">
        <f>IF(Walmart[[#This Row],[Quantity]]&gt;=7,"Bulk",IF(Walmart[[#This Row],[Quantity]]&gt;=2,"Multi","Single"))</f>
        <v>Multi</v>
      </c>
      <c r="O1526">
        <v>17.75</v>
      </c>
      <c r="P1526" t="str">
        <f>IF(Walmart[[#This Row],[Sales]]&gt;=1000,"High Value", IF(Walmart[[#This Row],[Sales]]&gt;=500,"Medium Value","Low Value"))</f>
        <v>Low Value</v>
      </c>
    </row>
    <row r="1527" spans="1:16" hidden="1" x14ac:dyDescent="0.3">
      <c r="A1527" t="s">
        <v>3405</v>
      </c>
      <c r="B1527" s="1">
        <v>41180</v>
      </c>
      <c r="C1527" s="1" t="str">
        <f>TEXT(Walmart[[#This Row],[Order Date]],"mmmm")</f>
        <v>September</v>
      </c>
      <c r="D1527" s="1">
        <v>41187</v>
      </c>
      <c r="E1527" s="1" t="str">
        <f>IF(DATEDIF(Walmart[[#This Row],[Order Date]],Walmart[[#This Row],[Ship Date]],"D")&lt;7,"On time","Delayed")</f>
        <v>Delayed</v>
      </c>
      <c r="F1527" t="s">
        <v>2183</v>
      </c>
      <c r="G1527" t="s">
        <v>14</v>
      </c>
      <c r="H1527" t="s">
        <v>15</v>
      </c>
      <c r="I1527" t="s">
        <v>16</v>
      </c>
      <c r="J1527" t="s">
        <v>105</v>
      </c>
      <c r="K1527" t="s">
        <v>3406</v>
      </c>
      <c r="L1527">
        <v>186.15</v>
      </c>
      <c r="M1527">
        <v>3</v>
      </c>
      <c r="N1527" t="str">
        <f>IF(Walmart[[#This Row],[Quantity]]&gt;=7,"Bulk",IF(Walmart[[#This Row],[Quantity]]&gt;=2,"Multi","Single"))</f>
        <v>Multi</v>
      </c>
      <c r="O1527">
        <v>55.85</v>
      </c>
      <c r="P1527" t="str">
        <f>IF(Walmart[[#This Row],[Sales]]&gt;=1000,"High Value", IF(Walmart[[#This Row],[Sales]]&gt;=500,"Medium Value","Low Value"))</f>
        <v>Low Value</v>
      </c>
    </row>
    <row r="1528" spans="1:16" hidden="1" x14ac:dyDescent="0.3">
      <c r="A1528" t="s">
        <v>3407</v>
      </c>
      <c r="B1528" s="1">
        <v>40825</v>
      </c>
      <c r="C1528" s="1" t="str">
        <f>TEXT(Walmart[[#This Row],[Order Date]],"mmmm")</f>
        <v>October</v>
      </c>
      <c r="D1528" s="1">
        <v>40830</v>
      </c>
      <c r="E1528" s="1" t="str">
        <f>IF(DATEDIF(Walmart[[#This Row],[Order Date]],Walmart[[#This Row],[Ship Date]],"D")&lt;7,"On time","Delayed")</f>
        <v>On time</v>
      </c>
      <c r="F1528" t="s">
        <v>1567</v>
      </c>
      <c r="G1528" t="s">
        <v>14</v>
      </c>
      <c r="H1528" t="s">
        <v>37</v>
      </c>
      <c r="I1528" t="s">
        <v>16</v>
      </c>
      <c r="J1528" t="s">
        <v>38</v>
      </c>
      <c r="K1528" t="s">
        <v>744</v>
      </c>
      <c r="L1528">
        <v>144.6</v>
      </c>
      <c r="M1528">
        <v>3</v>
      </c>
      <c r="N1528" t="str">
        <f>IF(Walmart[[#This Row],[Quantity]]&gt;=7,"Bulk",IF(Walmart[[#This Row],[Quantity]]&gt;=2,"Multi","Single"))</f>
        <v>Multi</v>
      </c>
      <c r="O1528">
        <v>41.93</v>
      </c>
      <c r="P1528" t="str">
        <f>IF(Walmart[[#This Row],[Sales]]&gt;=1000,"High Value", IF(Walmart[[#This Row],[Sales]]&gt;=500,"Medium Value","Low Value"))</f>
        <v>Low Value</v>
      </c>
    </row>
    <row r="1529" spans="1:16" hidden="1" x14ac:dyDescent="0.3">
      <c r="A1529" t="s">
        <v>3408</v>
      </c>
      <c r="B1529" s="1">
        <v>40835</v>
      </c>
      <c r="C1529" s="1" t="str">
        <f>TEXT(Walmart[[#This Row],[Order Date]],"mmmm")</f>
        <v>October</v>
      </c>
      <c r="D1529" s="1">
        <v>40840</v>
      </c>
      <c r="E1529" s="1" t="str">
        <f>IF(DATEDIF(Walmart[[#This Row],[Order Date]],Walmart[[#This Row],[Ship Date]],"D")&lt;7,"On time","Delayed")</f>
        <v>On time</v>
      </c>
      <c r="F1529" t="s">
        <v>1691</v>
      </c>
      <c r="G1529" t="s">
        <v>14</v>
      </c>
      <c r="H1529" t="s">
        <v>1702</v>
      </c>
      <c r="I1529" t="s">
        <v>16</v>
      </c>
      <c r="J1529" t="s">
        <v>146</v>
      </c>
      <c r="K1529" t="s">
        <v>824</v>
      </c>
      <c r="L1529">
        <v>321.55</v>
      </c>
      <c r="M1529">
        <v>6</v>
      </c>
      <c r="N1529" t="str">
        <f>IF(Walmart[[#This Row],[Quantity]]&gt;=7,"Bulk",IF(Walmart[[#This Row],[Quantity]]&gt;=2,"Multi","Single"))</f>
        <v>Multi</v>
      </c>
      <c r="O1529">
        <v>20.100000000000001</v>
      </c>
      <c r="P1529" t="str">
        <f>IF(Walmart[[#This Row],[Sales]]&gt;=1000,"High Value", IF(Walmart[[#This Row],[Sales]]&gt;=500,"Medium Value","Low Value"))</f>
        <v>Low Value</v>
      </c>
    </row>
    <row r="1530" spans="1:16" hidden="1" x14ac:dyDescent="0.3">
      <c r="A1530" t="s">
        <v>3409</v>
      </c>
      <c r="B1530" s="1">
        <v>41598</v>
      </c>
      <c r="C1530" s="1" t="str">
        <f>TEXT(Walmart[[#This Row],[Order Date]],"mmmm")</f>
        <v>November</v>
      </c>
      <c r="D1530" s="1">
        <v>41602</v>
      </c>
      <c r="E1530" s="1" t="str">
        <f>IF(DATEDIF(Walmart[[#This Row],[Order Date]],Walmart[[#This Row],[Ship Date]],"D")&lt;7,"On time","Delayed")</f>
        <v>On time</v>
      </c>
      <c r="F1530" t="s">
        <v>2401</v>
      </c>
      <c r="G1530" t="s">
        <v>14</v>
      </c>
      <c r="H1530" t="s">
        <v>25</v>
      </c>
      <c r="I1530" t="s">
        <v>26</v>
      </c>
      <c r="J1530" t="s">
        <v>21</v>
      </c>
      <c r="K1530" t="s">
        <v>296</v>
      </c>
      <c r="L1530">
        <v>31.96</v>
      </c>
      <c r="M1530">
        <v>2</v>
      </c>
      <c r="N1530" t="str">
        <f>IF(Walmart[[#This Row],[Quantity]]&gt;=7,"Bulk",IF(Walmart[[#This Row],[Quantity]]&gt;=2,"Multi","Single"))</f>
        <v>Multi</v>
      </c>
      <c r="O1530">
        <v>1.6</v>
      </c>
      <c r="P1530" t="str">
        <f>IF(Walmart[[#This Row],[Sales]]&gt;=1000,"High Value", IF(Walmart[[#This Row],[Sales]]&gt;=500,"Medium Value","Low Value"))</f>
        <v>Low Value</v>
      </c>
    </row>
    <row r="1531" spans="1:16" hidden="1" x14ac:dyDescent="0.3">
      <c r="A1531" t="s">
        <v>3410</v>
      </c>
      <c r="B1531" s="1">
        <v>40746</v>
      </c>
      <c r="C1531" s="1" t="str">
        <f>TEXT(Walmart[[#This Row],[Order Date]],"mmmm")</f>
        <v>July</v>
      </c>
      <c r="D1531" s="1">
        <v>40752</v>
      </c>
      <c r="E1531" s="1" t="str">
        <f>IF(DATEDIF(Walmart[[#This Row],[Order Date]],Walmart[[#This Row],[Ship Date]],"D")&lt;7,"On time","Delayed")</f>
        <v>On time</v>
      </c>
      <c r="F1531" t="s">
        <v>1283</v>
      </c>
      <c r="G1531" t="s">
        <v>14</v>
      </c>
      <c r="H1531" t="s">
        <v>15</v>
      </c>
      <c r="I1531" t="s">
        <v>16</v>
      </c>
      <c r="J1531" t="s">
        <v>38</v>
      </c>
      <c r="K1531" t="s">
        <v>1617</v>
      </c>
      <c r="L1531">
        <v>19.68</v>
      </c>
      <c r="M1531">
        <v>6</v>
      </c>
      <c r="N1531" t="str">
        <f>IF(Walmart[[#This Row],[Quantity]]&gt;=7,"Bulk",IF(Walmart[[#This Row],[Quantity]]&gt;=2,"Multi","Single"))</f>
        <v>Multi</v>
      </c>
      <c r="O1531">
        <v>6.49</v>
      </c>
      <c r="P1531" t="str">
        <f>IF(Walmart[[#This Row],[Sales]]&gt;=1000,"High Value", IF(Walmart[[#This Row],[Sales]]&gt;=500,"Medium Value","Low Value"))</f>
        <v>Low Value</v>
      </c>
    </row>
    <row r="1532" spans="1:16" hidden="1" x14ac:dyDescent="0.3">
      <c r="A1532" t="s">
        <v>3411</v>
      </c>
      <c r="B1532" s="1">
        <v>41183</v>
      </c>
      <c r="C1532" s="1" t="str">
        <f>TEXT(Walmart[[#This Row],[Order Date]],"mmmm")</f>
        <v>October</v>
      </c>
      <c r="D1532" s="1">
        <v>41186</v>
      </c>
      <c r="E1532" s="1" t="str">
        <f>IF(DATEDIF(Walmart[[#This Row],[Order Date]],Walmart[[#This Row],[Ship Date]],"D")&lt;7,"On time","Delayed")</f>
        <v>On time</v>
      </c>
      <c r="F1532" t="s">
        <v>2682</v>
      </c>
      <c r="G1532" t="s">
        <v>14</v>
      </c>
      <c r="H1532" t="s">
        <v>68</v>
      </c>
      <c r="I1532" t="s">
        <v>69</v>
      </c>
      <c r="J1532" t="s">
        <v>146</v>
      </c>
      <c r="K1532" t="s">
        <v>2437</v>
      </c>
      <c r="L1532">
        <v>572.79999999999995</v>
      </c>
      <c r="M1532">
        <v>2</v>
      </c>
      <c r="N1532" t="str">
        <f>IF(Walmart[[#This Row],[Quantity]]&gt;=7,"Bulk",IF(Walmart[[#This Row],[Quantity]]&gt;=2,"Multi","Single"))</f>
        <v>Multi</v>
      </c>
      <c r="O1532">
        <v>50.12</v>
      </c>
      <c r="P1532" t="str">
        <f>IF(Walmart[[#This Row],[Sales]]&gt;=1000,"High Value", IF(Walmart[[#This Row],[Sales]]&gt;=500,"Medium Value","Low Value"))</f>
        <v>Medium Value</v>
      </c>
    </row>
    <row r="1533" spans="1:16" x14ac:dyDescent="0.3">
      <c r="A1533" t="s">
        <v>2834</v>
      </c>
      <c r="B1533" s="1">
        <v>41677</v>
      </c>
      <c r="C1533" s="1" t="str">
        <f>TEXT(Walmart[[#This Row],[Order Date]],"mmmm")</f>
        <v>February</v>
      </c>
      <c r="D1533" s="1">
        <v>41684</v>
      </c>
      <c r="E1533" s="1" t="str">
        <f>IF(DATEDIF(Walmart[[#This Row],[Order Date]],Walmart[[#This Row],[Ship Date]],"D")&lt;7,"On time","Delayed")</f>
        <v>Delayed</v>
      </c>
      <c r="F1533" t="s">
        <v>543</v>
      </c>
      <c r="G1533" t="s">
        <v>14</v>
      </c>
      <c r="H1533" t="s">
        <v>37</v>
      </c>
      <c r="I1533" t="s">
        <v>16</v>
      </c>
      <c r="J1533" t="s">
        <v>93</v>
      </c>
      <c r="K1533" t="s">
        <v>2763</v>
      </c>
      <c r="L1533">
        <v>29.9</v>
      </c>
      <c r="M1533">
        <v>5</v>
      </c>
      <c r="N1533" t="str">
        <f>IF(Walmart[[#This Row],[Quantity]]&gt;=7,"Bulk",IF(Walmart[[#This Row],[Quantity]]&gt;=2,"Multi","Single"))</f>
        <v>Multi</v>
      </c>
      <c r="O1533">
        <v>13.46</v>
      </c>
      <c r="P1533" t="str">
        <f>IF(Walmart[[#This Row],[Sales]]&gt;=1000,"High Value", IF(Walmart[[#This Row],[Sales]]&gt;=500,"Medium Value","Low Value"))</f>
        <v>Low Value</v>
      </c>
    </row>
    <row r="1534" spans="1:16" hidden="1" x14ac:dyDescent="0.3">
      <c r="A1534" t="s">
        <v>3415</v>
      </c>
      <c r="B1534" s="1">
        <v>41407</v>
      </c>
      <c r="C1534" s="1" t="str">
        <f>TEXT(Walmart[[#This Row],[Order Date]],"mmmm")</f>
        <v>May</v>
      </c>
      <c r="D1534" s="1">
        <v>41411</v>
      </c>
      <c r="E1534" s="1" t="str">
        <f>IF(DATEDIF(Walmart[[#This Row],[Order Date]],Walmart[[#This Row],[Ship Date]],"D")&lt;7,"On time","Delayed")</f>
        <v>On time</v>
      </c>
      <c r="F1534" t="s">
        <v>3416</v>
      </c>
      <c r="G1534" t="s">
        <v>14</v>
      </c>
      <c r="H1534" t="s">
        <v>364</v>
      </c>
      <c r="I1534" t="s">
        <v>16</v>
      </c>
      <c r="J1534" t="s">
        <v>53</v>
      </c>
      <c r="K1534" t="s">
        <v>3417</v>
      </c>
      <c r="L1534">
        <v>120</v>
      </c>
      <c r="M1534">
        <v>6</v>
      </c>
      <c r="N1534" t="str">
        <f>IF(Walmart[[#This Row],[Quantity]]&gt;=7,"Bulk",IF(Walmart[[#This Row],[Quantity]]&gt;=2,"Multi","Single"))</f>
        <v>Multi</v>
      </c>
      <c r="O1534">
        <v>46.8</v>
      </c>
      <c r="P1534" t="str">
        <f>IF(Walmart[[#This Row],[Sales]]&gt;=1000,"High Value", IF(Walmart[[#This Row],[Sales]]&gt;=500,"Medium Value","Low Value"))</f>
        <v>Low Value</v>
      </c>
    </row>
    <row r="1535" spans="1:16" hidden="1" x14ac:dyDescent="0.3">
      <c r="A1535" t="s">
        <v>3418</v>
      </c>
      <c r="B1535" s="1">
        <v>41233</v>
      </c>
      <c r="C1535" s="1" t="str">
        <f>TEXT(Walmart[[#This Row],[Order Date]],"mmmm")</f>
        <v>November</v>
      </c>
      <c r="D1535" s="1">
        <v>41237</v>
      </c>
      <c r="E1535" s="1" t="str">
        <f>IF(DATEDIF(Walmart[[#This Row],[Order Date]],Walmart[[#This Row],[Ship Date]],"D")&lt;7,"On time","Delayed")</f>
        <v>On time</v>
      </c>
      <c r="F1535" t="s">
        <v>3419</v>
      </c>
      <c r="G1535" t="s">
        <v>14</v>
      </c>
      <c r="H1535" t="s">
        <v>37</v>
      </c>
      <c r="I1535" t="s">
        <v>16</v>
      </c>
      <c r="J1535" t="s">
        <v>21</v>
      </c>
      <c r="K1535" t="s">
        <v>3420</v>
      </c>
      <c r="L1535">
        <v>32.04</v>
      </c>
      <c r="M1535">
        <v>3</v>
      </c>
      <c r="N1535" t="str">
        <f>IF(Walmart[[#This Row],[Quantity]]&gt;=7,"Bulk",IF(Walmart[[#This Row],[Quantity]]&gt;=2,"Multi","Single"))</f>
        <v>Multi</v>
      </c>
      <c r="O1535">
        <v>8.01</v>
      </c>
      <c r="P1535" t="str">
        <f>IF(Walmart[[#This Row],[Sales]]&gt;=1000,"High Value", IF(Walmart[[#This Row],[Sales]]&gt;=500,"Medium Value","Low Value"))</f>
        <v>Low Value</v>
      </c>
    </row>
    <row r="1536" spans="1:16" x14ac:dyDescent="0.3">
      <c r="A1536" t="s">
        <v>2654</v>
      </c>
      <c r="B1536" s="1">
        <v>41676</v>
      </c>
      <c r="C1536" s="1" t="str">
        <f>TEXT(Walmart[[#This Row],[Order Date]],"mmmm")</f>
        <v>February</v>
      </c>
      <c r="D1536" s="1">
        <v>41680</v>
      </c>
      <c r="E1536" s="1" t="str">
        <f>IF(DATEDIF(Walmart[[#This Row],[Order Date]],Walmart[[#This Row],[Ship Date]],"D")&lt;7,"On time","Delayed")</f>
        <v>On time</v>
      </c>
      <c r="F1536" t="s">
        <v>2111</v>
      </c>
      <c r="G1536" t="s">
        <v>14</v>
      </c>
      <c r="H1536" t="s">
        <v>478</v>
      </c>
      <c r="I1536" t="s">
        <v>16</v>
      </c>
      <c r="J1536" t="s">
        <v>105</v>
      </c>
      <c r="K1536" t="s">
        <v>2219</v>
      </c>
      <c r="L1536">
        <v>1640.7</v>
      </c>
      <c r="M1536">
        <v>5</v>
      </c>
      <c r="N1536" t="str">
        <f>IF(Walmart[[#This Row],[Quantity]]&gt;=7,"Bulk",IF(Walmart[[#This Row],[Quantity]]&gt;=2,"Multi","Single"))</f>
        <v>Multi</v>
      </c>
      <c r="O1536">
        <v>459.4</v>
      </c>
      <c r="P1536" t="str">
        <f>IF(Walmart[[#This Row],[Sales]]&gt;=1000,"High Value", IF(Walmart[[#This Row],[Sales]]&gt;=500,"Medium Value","Low Value"))</f>
        <v>High Value</v>
      </c>
    </row>
    <row r="1537" spans="1:16" hidden="1" x14ac:dyDescent="0.3">
      <c r="A1537" t="s">
        <v>3422</v>
      </c>
      <c r="B1537" s="1">
        <v>41309</v>
      </c>
      <c r="C1537" s="1" t="str">
        <f>TEXT(Walmart[[#This Row],[Order Date]],"mmmm")</f>
        <v>February</v>
      </c>
      <c r="D1537" s="1">
        <v>41314</v>
      </c>
      <c r="E1537" s="1" t="str">
        <f>IF(DATEDIF(Walmart[[#This Row],[Order Date]],Walmart[[#This Row],[Ship Date]],"D")&lt;7,"On time","Delayed")</f>
        <v>On time</v>
      </c>
      <c r="F1537" t="s">
        <v>703</v>
      </c>
      <c r="G1537" t="s">
        <v>14</v>
      </c>
      <c r="H1537" t="s">
        <v>15</v>
      </c>
      <c r="I1537" t="s">
        <v>16</v>
      </c>
      <c r="J1537" t="s">
        <v>33</v>
      </c>
      <c r="K1537" t="s">
        <v>3423</v>
      </c>
      <c r="L1537">
        <v>93.02</v>
      </c>
      <c r="M1537">
        <v>2</v>
      </c>
      <c r="N1537" t="str">
        <f>IF(Walmart[[#This Row],[Quantity]]&gt;=7,"Bulk",IF(Walmart[[#This Row],[Quantity]]&gt;=2,"Multi","Single"))</f>
        <v>Multi</v>
      </c>
      <c r="O1537">
        <v>3.72</v>
      </c>
      <c r="P1537" t="str">
        <f>IF(Walmart[[#This Row],[Sales]]&gt;=1000,"High Value", IF(Walmart[[#This Row],[Sales]]&gt;=500,"Medium Value","Low Value"))</f>
        <v>Low Value</v>
      </c>
    </row>
    <row r="1538" spans="1:16" x14ac:dyDescent="0.3">
      <c r="A1538" t="s">
        <v>2096</v>
      </c>
      <c r="B1538" s="1">
        <v>41673</v>
      </c>
      <c r="C1538" s="1" t="str">
        <f>TEXT(Walmart[[#This Row],[Order Date]],"mmmm")</f>
        <v>February</v>
      </c>
      <c r="D1538" s="1">
        <v>41678</v>
      </c>
      <c r="E1538" s="1" t="str">
        <f>IF(DATEDIF(Walmart[[#This Row],[Order Date]],Walmart[[#This Row],[Ship Date]],"D")&lt;7,"On time","Delayed")</f>
        <v>On time</v>
      </c>
      <c r="F1538" t="s">
        <v>363</v>
      </c>
      <c r="G1538" t="s">
        <v>14</v>
      </c>
      <c r="H1538" t="s">
        <v>15</v>
      </c>
      <c r="I1538" t="s">
        <v>16</v>
      </c>
      <c r="J1538" t="s">
        <v>21</v>
      </c>
      <c r="K1538" t="s">
        <v>869</v>
      </c>
      <c r="L1538">
        <v>86.26</v>
      </c>
      <c r="M1538">
        <v>2</v>
      </c>
      <c r="N1538" t="str">
        <f>IF(Walmart[[#This Row],[Quantity]]&gt;=7,"Bulk",IF(Walmart[[#This Row],[Quantity]]&gt;=2,"Multi","Single"))</f>
        <v>Multi</v>
      </c>
      <c r="O1538">
        <v>29.33</v>
      </c>
      <c r="P1538" t="str">
        <f>IF(Walmart[[#This Row],[Sales]]&gt;=1000,"High Value", IF(Walmart[[#This Row],[Sales]]&gt;=500,"Medium Value","Low Value"))</f>
        <v>Low Value</v>
      </c>
    </row>
    <row r="1539" spans="1:16" x14ac:dyDescent="0.3">
      <c r="A1539" t="s">
        <v>3211</v>
      </c>
      <c r="B1539" s="1">
        <v>41673</v>
      </c>
      <c r="C1539" s="1" t="str">
        <f>TEXT(Walmart[[#This Row],[Order Date]],"mmmm")</f>
        <v>February</v>
      </c>
      <c r="D1539" s="1">
        <v>41678</v>
      </c>
      <c r="E1539" s="1" t="str">
        <f>IF(DATEDIF(Walmart[[#This Row],[Order Date]],Walmart[[#This Row],[Ship Date]],"D")&lt;7,"On time","Delayed")</f>
        <v>On time</v>
      </c>
      <c r="F1539" t="s">
        <v>1238</v>
      </c>
      <c r="G1539" t="s">
        <v>14</v>
      </c>
      <c r="H1539" t="s">
        <v>160</v>
      </c>
      <c r="I1539" t="s">
        <v>16</v>
      </c>
      <c r="J1539" t="s">
        <v>21</v>
      </c>
      <c r="K1539" t="s">
        <v>3212</v>
      </c>
      <c r="L1539">
        <v>210.58</v>
      </c>
      <c r="M1539">
        <v>2</v>
      </c>
      <c r="N1539" t="str">
        <f>IF(Walmart[[#This Row],[Quantity]]&gt;=7,"Bulk",IF(Walmart[[#This Row],[Quantity]]&gt;=2,"Multi","Single"))</f>
        <v>Multi</v>
      </c>
      <c r="O1539">
        <v>12.63</v>
      </c>
      <c r="P1539" t="str">
        <f>IF(Walmart[[#This Row],[Sales]]&gt;=1000,"High Value", IF(Walmart[[#This Row],[Sales]]&gt;=500,"Medium Value","Low Value"))</f>
        <v>Low Value</v>
      </c>
    </row>
    <row r="1540" spans="1:16" hidden="1" x14ac:dyDescent="0.3">
      <c r="A1540" t="s">
        <v>3428</v>
      </c>
      <c r="B1540" s="1">
        <v>41543</v>
      </c>
      <c r="C1540" s="1" t="str">
        <f>TEXT(Walmart[[#This Row],[Order Date]],"mmmm")</f>
        <v>September</v>
      </c>
      <c r="D1540" s="1">
        <v>41545</v>
      </c>
      <c r="E1540" s="1" t="str">
        <f>IF(DATEDIF(Walmart[[#This Row],[Order Date]],Walmart[[#This Row],[Ship Date]],"D")&lt;7,"On time","Delayed")</f>
        <v>On time</v>
      </c>
      <c r="F1540" t="s">
        <v>1430</v>
      </c>
      <c r="G1540" t="s">
        <v>14</v>
      </c>
      <c r="H1540" t="s">
        <v>37</v>
      </c>
      <c r="I1540" t="s">
        <v>16</v>
      </c>
      <c r="J1540" t="s">
        <v>671</v>
      </c>
      <c r="K1540" t="s">
        <v>672</v>
      </c>
      <c r="L1540">
        <v>477.67</v>
      </c>
      <c r="M1540">
        <v>2</v>
      </c>
      <c r="N1540" t="str">
        <f>IF(Walmart[[#This Row],[Quantity]]&gt;=7,"Bulk",IF(Walmart[[#This Row],[Quantity]]&gt;=2,"Multi","Single"))</f>
        <v>Multi</v>
      </c>
      <c r="O1540">
        <v>84.29</v>
      </c>
      <c r="P1540" t="str">
        <f>IF(Walmart[[#This Row],[Sales]]&gt;=1000,"High Value", IF(Walmart[[#This Row],[Sales]]&gt;=500,"Medium Value","Low Value"))</f>
        <v>Low Value</v>
      </c>
    </row>
    <row r="1541" spans="1:16" hidden="1" x14ac:dyDescent="0.3">
      <c r="A1541" t="s">
        <v>3429</v>
      </c>
      <c r="B1541" s="1">
        <v>41040</v>
      </c>
      <c r="C1541" s="1" t="str">
        <f>TEXT(Walmart[[#This Row],[Order Date]],"mmmm")</f>
        <v>May</v>
      </c>
      <c r="D1541" s="1">
        <v>41045</v>
      </c>
      <c r="E1541" s="1" t="str">
        <f>IF(DATEDIF(Walmart[[#This Row],[Order Date]],Walmart[[#This Row],[Ship Date]],"D")&lt;7,"On time","Delayed")</f>
        <v>On time</v>
      </c>
      <c r="F1541" t="s">
        <v>2919</v>
      </c>
      <c r="G1541" t="s">
        <v>14</v>
      </c>
      <c r="H1541" t="s">
        <v>84</v>
      </c>
      <c r="I1541" t="s">
        <v>58</v>
      </c>
      <c r="J1541" t="s">
        <v>88</v>
      </c>
      <c r="K1541" t="s">
        <v>3430</v>
      </c>
      <c r="L1541">
        <v>191.97</v>
      </c>
      <c r="M1541">
        <v>7</v>
      </c>
      <c r="N1541" t="str">
        <f>IF(Walmart[[#This Row],[Quantity]]&gt;=7,"Bulk",IF(Walmart[[#This Row],[Quantity]]&gt;=2,"Multi","Single"))</f>
        <v>Bulk</v>
      </c>
      <c r="O1541">
        <v>16.8</v>
      </c>
      <c r="P1541" t="str">
        <f>IF(Walmart[[#This Row],[Sales]]&gt;=1000,"High Value", IF(Walmart[[#This Row],[Sales]]&gt;=500,"Medium Value","Low Value"))</f>
        <v>Low Value</v>
      </c>
    </row>
    <row r="1542" spans="1:16" hidden="1" x14ac:dyDescent="0.3">
      <c r="A1542" t="s">
        <v>3431</v>
      </c>
      <c r="B1542" s="1">
        <v>41032</v>
      </c>
      <c r="C1542" s="1" t="str">
        <f>TEXT(Walmart[[#This Row],[Order Date]],"mmmm")</f>
        <v>May</v>
      </c>
      <c r="D1542" s="1">
        <v>41035</v>
      </c>
      <c r="E1542" s="1" t="str">
        <f>IF(DATEDIF(Walmart[[#This Row],[Order Date]],Walmart[[#This Row],[Ship Date]],"D")&lt;7,"On time","Delayed")</f>
        <v>On time</v>
      </c>
      <c r="F1542" t="s">
        <v>1793</v>
      </c>
      <c r="G1542" t="s">
        <v>14</v>
      </c>
      <c r="H1542" t="s">
        <v>109</v>
      </c>
      <c r="I1542" t="s">
        <v>16</v>
      </c>
      <c r="J1542" t="s">
        <v>27</v>
      </c>
      <c r="K1542" t="s">
        <v>3432</v>
      </c>
      <c r="L1542">
        <v>13.85</v>
      </c>
      <c r="M1542">
        <v>3</v>
      </c>
      <c r="N1542" t="str">
        <f>IF(Walmart[[#This Row],[Quantity]]&gt;=7,"Bulk",IF(Walmart[[#This Row],[Quantity]]&gt;=2,"Multi","Single"))</f>
        <v>Multi</v>
      </c>
      <c r="O1542">
        <v>5.19</v>
      </c>
      <c r="P1542" t="str">
        <f>IF(Walmart[[#This Row],[Sales]]&gt;=1000,"High Value", IF(Walmart[[#This Row],[Sales]]&gt;=500,"Medium Value","Low Value"))</f>
        <v>Low Value</v>
      </c>
    </row>
    <row r="1543" spans="1:16" hidden="1" x14ac:dyDescent="0.3">
      <c r="A1543" t="s">
        <v>3433</v>
      </c>
      <c r="B1543" s="1">
        <v>41540</v>
      </c>
      <c r="C1543" s="1" t="str">
        <f>TEXT(Walmart[[#This Row],[Order Date]],"mmmm")</f>
        <v>September</v>
      </c>
      <c r="D1543" s="1">
        <v>41545</v>
      </c>
      <c r="E1543" s="1" t="str">
        <f>IF(DATEDIF(Walmart[[#This Row],[Order Date]],Walmart[[#This Row],[Ship Date]],"D")&lt;7,"On time","Delayed")</f>
        <v>On time</v>
      </c>
      <c r="F1543" t="s">
        <v>3104</v>
      </c>
      <c r="G1543" t="s">
        <v>14</v>
      </c>
      <c r="H1543" t="s">
        <v>955</v>
      </c>
      <c r="I1543" t="s">
        <v>77</v>
      </c>
      <c r="J1543" t="s">
        <v>21</v>
      </c>
      <c r="K1543" t="s">
        <v>623</v>
      </c>
      <c r="L1543">
        <v>68.430000000000007</v>
      </c>
      <c r="M1543">
        <v>7</v>
      </c>
      <c r="N1543" t="str">
        <f>IF(Walmart[[#This Row],[Quantity]]&gt;=7,"Bulk",IF(Walmart[[#This Row],[Quantity]]&gt;=2,"Multi","Single"))</f>
        <v>Bulk</v>
      </c>
      <c r="O1543">
        <v>8.5500000000000007</v>
      </c>
      <c r="P1543" t="str">
        <f>IF(Walmart[[#This Row],[Sales]]&gt;=1000,"High Value", IF(Walmart[[#This Row],[Sales]]&gt;=500,"Medium Value","Low Value"))</f>
        <v>Low Value</v>
      </c>
    </row>
    <row r="1544" spans="1:16" hidden="1" x14ac:dyDescent="0.3">
      <c r="A1544" t="s">
        <v>3434</v>
      </c>
      <c r="B1544" s="1">
        <v>41061</v>
      </c>
      <c r="C1544" s="1" t="str">
        <f>TEXT(Walmart[[#This Row],[Order Date]],"mmmm")</f>
        <v>June</v>
      </c>
      <c r="D1544" s="1">
        <v>41068</v>
      </c>
      <c r="E1544" s="1" t="str">
        <f>IF(DATEDIF(Walmart[[#This Row],[Order Date]],Walmart[[#This Row],[Ship Date]],"D")&lt;7,"On time","Delayed")</f>
        <v>Delayed</v>
      </c>
      <c r="F1544" t="s">
        <v>3435</v>
      </c>
      <c r="G1544" t="s">
        <v>14</v>
      </c>
      <c r="H1544" t="s">
        <v>15</v>
      </c>
      <c r="I1544" t="s">
        <v>16</v>
      </c>
      <c r="J1544" t="s">
        <v>93</v>
      </c>
      <c r="K1544" t="s">
        <v>1487</v>
      </c>
      <c r="L1544">
        <v>11.76</v>
      </c>
      <c r="M1544">
        <v>2</v>
      </c>
      <c r="N1544" t="str">
        <f>IF(Walmart[[#This Row],[Quantity]]&gt;=7,"Bulk",IF(Walmart[[#This Row],[Quantity]]&gt;=2,"Multi","Single"))</f>
        <v>Multi</v>
      </c>
      <c r="O1544">
        <v>5.76</v>
      </c>
      <c r="P1544" t="str">
        <f>IF(Walmart[[#This Row],[Sales]]&gt;=1000,"High Value", IF(Walmart[[#This Row],[Sales]]&gt;=500,"Medium Value","Low Value"))</f>
        <v>Low Value</v>
      </c>
    </row>
    <row r="1545" spans="1:16" hidden="1" x14ac:dyDescent="0.3">
      <c r="A1545" t="s">
        <v>3436</v>
      </c>
      <c r="B1545" s="1">
        <v>41134</v>
      </c>
      <c r="C1545" s="1" t="str">
        <f>TEXT(Walmart[[#This Row],[Order Date]],"mmmm")</f>
        <v>August</v>
      </c>
      <c r="D1545" s="1">
        <v>41134</v>
      </c>
      <c r="E1545" s="1" t="str">
        <f>IF(DATEDIF(Walmart[[#This Row],[Order Date]],Walmart[[#This Row],[Ship Date]],"D")&lt;7,"On time","Delayed")</f>
        <v>On time</v>
      </c>
      <c r="F1545" t="s">
        <v>3437</v>
      </c>
      <c r="G1545" t="s">
        <v>14</v>
      </c>
      <c r="H1545" t="s">
        <v>743</v>
      </c>
      <c r="I1545" t="s">
        <v>16</v>
      </c>
      <c r="J1545" t="s">
        <v>21</v>
      </c>
      <c r="K1545" t="s">
        <v>915</v>
      </c>
      <c r="L1545">
        <v>31.56</v>
      </c>
      <c r="M1545">
        <v>3</v>
      </c>
      <c r="N1545" t="str">
        <f>IF(Walmart[[#This Row],[Quantity]]&gt;=7,"Bulk",IF(Walmart[[#This Row],[Quantity]]&gt;=2,"Multi","Single"))</f>
        <v>Multi</v>
      </c>
      <c r="O1545">
        <v>10.41</v>
      </c>
      <c r="P1545" t="str">
        <f>IF(Walmart[[#This Row],[Sales]]&gt;=1000,"High Value", IF(Walmart[[#This Row],[Sales]]&gt;=500,"Medium Value","Low Value"))</f>
        <v>Low Value</v>
      </c>
    </row>
    <row r="1546" spans="1:16" hidden="1" x14ac:dyDescent="0.3">
      <c r="A1546" t="s">
        <v>3438</v>
      </c>
      <c r="B1546" s="1">
        <v>41597</v>
      </c>
      <c r="C1546" s="1" t="str">
        <f>TEXT(Walmart[[#This Row],[Order Date]],"mmmm")</f>
        <v>November</v>
      </c>
      <c r="D1546" s="1">
        <v>41597</v>
      </c>
      <c r="E1546" s="1" t="str">
        <f>IF(DATEDIF(Walmart[[#This Row],[Order Date]],Walmart[[#This Row],[Ship Date]],"D")&lt;7,"On time","Delayed")</f>
        <v>On time</v>
      </c>
      <c r="F1546" t="s">
        <v>3439</v>
      </c>
      <c r="G1546" t="s">
        <v>14</v>
      </c>
      <c r="H1546" t="s">
        <v>251</v>
      </c>
      <c r="I1546" t="s">
        <v>16</v>
      </c>
      <c r="J1546" t="s">
        <v>27</v>
      </c>
      <c r="K1546" t="s">
        <v>3440</v>
      </c>
      <c r="L1546">
        <v>61.12</v>
      </c>
      <c r="M1546">
        <v>5</v>
      </c>
      <c r="N1546" t="str">
        <f>IF(Walmart[[#This Row],[Quantity]]&gt;=7,"Bulk",IF(Walmart[[#This Row],[Quantity]]&gt;=2,"Multi","Single"))</f>
        <v>Multi</v>
      </c>
      <c r="O1546">
        <v>22.16</v>
      </c>
      <c r="P1546" t="str">
        <f>IF(Walmart[[#This Row],[Sales]]&gt;=1000,"High Value", IF(Walmart[[#This Row],[Sales]]&gt;=500,"Medium Value","Low Value"))</f>
        <v>Low Value</v>
      </c>
    </row>
    <row r="1547" spans="1:16" x14ac:dyDescent="0.3">
      <c r="A1547" t="s">
        <v>1380</v>
      </c>
      <c r="B1547" s="1">
        <v>41670</v>
      </c>
      <c r="C1547" s="1" t="str">
        <f>TEXT(Walmart[[#This Row],[Order Date]],"mmmm")</f>
        <v>January</v>
      </c>
      <c r="D1547" s="1">
        <v>41670</v>
      </c>
      <c r="E1547" s="1" t="str">
        <f>IF(DATEDIF(Walmart[[#This Row],[Order Date]],Walmart[[#This Row],[Ship Date]],"D")&lt;7,"On time","Delayed")</f>
        <v>On time</v>
      </c>
      <c r="F1547" t="s">
        <v>697</v>
      </c>
      <c r="G1547" t="s">
        <v>14</v>
      </c>
      <c r="H1547" t="s">
        <v>37</v>
      </c>
      <c r="I1547" t="s">
        <v>16</v>
      </c>
      <c r="J1547" t="s">
        <v>33</v>
      </c>
      <c r="K1547" t="s">
        <v>1381</v>
      </c>
      <c r="L1547">
        <v>129.30000000000001</v>
      </c>
      <c r="M1547">
        <v>2</v>
      </c>
      <c r="N1547" t="str">
        <f>IF(Walmart[[#This Row],[Quantity]]&gt;=7,"Bulk",IF(Walmart[[#This Row],[Quantity]]&gt;=2,"Multi","Single"))</f>
        <v>Multi</v>
      </c>
      <c r="O1547">
        <v>6.47</v>
      </c>
      <c r="P1547" t="str">
        <f>IF(Walmart[[#This Row],[Sales]]&gt;=1000,"High Value", IF(Walmart[[#This Row],[Sales]]&gt;=500,"Medium Value","Low Value"))</f>
        <v>Low Value</v>
      </c>
    </row>
    <row r="1548" spans="1:16" hidden="1" x14ac:dyDescent="0.3">
      <c r="A1548" t="s">
        <v>3443</v>
      </c>
      <c r="B1548" s="1">
        <v>41171</v>
      </c>
      <c r="C1548" s="1" t="str">
        <f>TEXT(Walmart[[#This Row],[Order Date]],"mmmm")</f>
        <v>September</v>
      </c>
      <c r="D1548" s="1">
        <v>41175</v>
      </c>
      <c r="E1548" s="1" t="str">
        <f>IF(DATEDIF(Walmart[[#This Row],[Order Date]],Walmart[[#This Row],[Ship Date]],"D")&lt;7,"On time","Delayed")</f>
        <v>On time</v>
      </c>
      <c r="F1548" t="s">
        <v>2538</v>
      </c>
      <c r="G1548" t="s">
        <v>14</v>
      </c>
      <c r="H1548" t="s">
        <v>1136</v>
      </c>
      <c r="I1548" t="s">
        <v>16</v>
      </c>
      <c r="J1548" t="s">
        <v>21</v>
      </c>
      <c r="K1548" t="s">
        <v>3444</v>
      </c>
      <c r="L1548">
        <v>60.84</v>
      </c>
      <c r="M1548">
        <v>3</v>
      </c>
      <c r="N1548" t="str">
        <f>IF(Walmart[[#This Row],[Quantity]]&gt;=7,"Bulk",IF(Walmart[[#This Row],[Quantity]]&gt;=2,"Multi","Single"))</f>
        <v>Multi</v>
      </c>
      <c r="O1548">
        <v>19.47</v>
      </c>
      <c r="P1548" t="str">
        <f>IF(Walmart[[#This Row],[Sales]]&gt;=1000,"High Value", IF(Walmart[[#This Row],[Sales]]&gt;=500,"Medium Value","Low Value"))</f>
        <v>Low Value</v>
      </c>
    </row>
    <row r="1549" spans="1:16" hidden="1" x14ac:dyDescent="0.3">
      <c r="A1549" t="s">
        <v>3445</v>
      </c>
      <c r="B1549" s="1">
        <v>41013</v>
      </c>
      <c r="C1549" s="1" t="str">
        <f>TEXT(Walmart[[#This Row],[Order Date]],"mmmm")</f>
        <v>April</v>
      </c>
      <c r="D1549" s="1">
        <v>41017</v>
      </c>
      <c r="E1549" s="1" t="str">
        <f>IF(DATEDIF(Walmart[[#This Row],[Order Date]],Walmart[[#This Row],[Ship Date]],"D")&lt;7,"On time","Delayed")</f>
        <v>On time</v>
      </c>
      <c r="F1549" t="s">
        <v>3446</v>
      </c>
      <c r="G1549" t="s">
        <v>14</v>
      </c>
      <c r="H1549" t="s">
        <v>926</v>
      </c>
      <c r="I1549" t="s">
        <v>69</v>
      </c>
      <c r="J1549" t="s">
        <v>105</v>
      </c>
      <c r="K1549" t="s">
        <v>1144</v>
      </c>
      <c r="L1549">
        <v>35.21</v>
      </c>
      <c r="M1549">
        <v>1</v>
      </c>
      <c r="N1549" t="str">
        <f>IF(Walmart[[#This Row],[Quantity]]&gt;=7,"Bulk",IF(Walmart[[#This Row],[Quantity]]&gt;=2,"Multi","Single"))</f>
        <v>Single</v>
      </c>
      <c r="O1549">
        <v>2.64</v>
      </c>
      <c r="P1549" t="str">
        <f>IF(Walmart[[#This Row],[Sales]]&gt;=1000,"High Value", IF(Walmart[[#This Row],[Sales]]&gt;=500,"Medium Value","Low Value"))</f>
        <v>Low Value</v>
      </c>
    </row>
    <row r="1550" spans="1:16" hidden="1" x14ac:dyDescent="0.3">
      <c r="A1550" t="s">
        <v>3447</v>
      </c>
      <c r="B1550" s="1">
        <v>41411</v>
      </c>
      <c r="C1550" s="1" t="str">
        <f>TEXT(Walmart[[#This Row],[Order Date]],"mmmm")</f>
        <v>May</v>
      </c>
      <c r="D1550" s="1">
        <v>41414</v>
      </c>
      <c r="E1550" s="1" t="str">
        <f>IF(DATEDIF(Walmart[[#This Row],[Order Date]],Walmart[[#This Row],[Ship Date]],"D")&lt;7,"On time","Delayed")</f>
        <v>On time</v>
      </c>
      <c r="F1550" t="s">
        <v>250</v>
      </c>
      <c r="G1550" t="s">
        <v>14</v>
      </c>
      <c r="H1550" t="s">
        <v>15</v>
      </c>
      <c r="I1550" t="s">
        <v>16</v>
      </c>
      <c r="J1550" t="s">
        <v>21</v>
      </c>
      <c r="K1550" t="s">
        <v>3448</v>
      </c>
      <c r="L1550">
        <v>282.83999999999997</v>
      </c>
      <c r="M1550">
        <v>4</v>
      </c>
      <c r="N1550" t="str">
        <f>IF(Walmart[[#This Row],[Quantity]]&gt;=7,"Bulk",IF(Walmart[[#This Row],[Quantity]]&gt;=2,"Multi","Single"))</f>
        <v>Multi</v>
      </c>
      <c r="O1550">
        <v>19.8</v>
      </c>
      <c r="P1550" t="str">
        <f>IF(Walmart[[#This Row],[Sales]]&gt;=1000,"High Value", IF(Walmart[[#This Row],[Sales]]&gt;=500,"Medium Value","Low Value"))</f>
        <v>Low Value</v>
      </c>
    </row>
    <row r="1551" spans="1:16" hidden="1" x14ac:dyDescent="0.3">
      <c r="A1551" t="s">
        <v>3449</v>
      </c>
      <c r="B1551" s="1">
        <v>41536</v>
      </c>
      <c r="C1551" s="1" t="str">
        <f>TEXT(Walmart[[#This Row],[Order Date]],"mmmm")</f>
        <v>September</v>
      </c>
      <c r="D1551" s="1">
        <v>41540</v>
      </c>
      <c r="E1551" s="1" t="str">
        <f>IF(DATEDIF(Walmart[[#This Row],[Order Date]],Walmart[[#This Row],[Ship Date]],"D")&lt;7,"On time","Delayed")</f>
        <v>On time</v>
      </c>
      <c r="F1551" t="s">
        <v>305</v>
      </c>
      <c r="G1551" t="s">
        <v>14</v>
      </c>
      <c r="H1551" t="s">
        <v>1474</v>
      </c>
      <c r="I1551" t="s">
        <v>16</v>
      </c>
      <c r="J1551" t="s">
        <v>146</v>
      </c>
      <c r="K1551" t="s">
        <v>3450</v>
      </c>
      <c r="L1551">
        <v>239.98</v>
      </c>
      <c r="M1551">
        <v>2</v>
      </c>
      <c r="N1551" t="str">
        <f>IF(Walmart[[#This Row],[Quantity]]&gt;=7,"Bulk",IF(Walmart[[#This Row],[Quantity]]&gt;=2,"Multi","Single"))</f>
        <v>Multi</v>
      </c>
      <c r="O1551">
        <v>24</v>
      </c>
      <c r="P1551" t="str">
        <f>IF(Walmart[[#This Row],[Sales]]&gt;=1000,"High Value", IF(Walmart[[#This Row],[Sales]]&gt;=500,"Medium Value","Low Value"))</f>
        <v>Low Value</v>
      </c>
    </row>
    <row r="1552" spans="1:16" hidden="1" x14ac:dyDescent="0.3">
      <c r="A1552" t="s">
        <v>3451</v>
      </c>
      <c r="B1552" s="1">
        <v>40858</v>
      </c>
      <c r="C1552" s="1" t="str">
        <f>TEXT(Walmart[[#This Row],[Order Date]],"mmmm")</f>
        <v>November</v>
      </c>
      <c r="D1552" s="1">
        <v>40860</v>
      </c>
      <c r="E1552" s="1" t="str">
        <f>IF(DATEDIF(Walmart[[#This Row],[Order Date]],Walmart[[#This Row],[Ship Date]],"D")&lt;7,"On time","Delayed")</f>
        <v>On time</v>
      </c>
      <c r="F1552" t="s">
        <v>136</v>
      </c>
      <c r="G1552" t="s">
        <v>14</v>
      </c>
      <c r="H1552" t="s">
        <v>25</v>
      </c>
      <c r="I1552" t="s">
        <v>26</v>
      </c>
      <c r="J1552" t="s">
        <v>105</v>
      </c>
      <c r="K1552" t="s">
        <v>3452</v>
      </c>
      <c r="L1552">
        <v>22.98</v>
      </c>
      <c r="M1552">
        <v>1</v>
      </c>
      <c r="N1552" t="str">
        <f>IF(Walmart[[#This Row],[Quantity]]&gt;=7,"Bulk",IF(Walmart[[#This Row],[Quantity]]&gt;=2,"Multi","Single"))</f>
        <v>Single</v>
      </c>
      <c r="O1552">
        <v>6.89</v>
      </c>
      <c r="P1552" t="str">
        <f>IF(Walmart[[#This Row],[Sales]]&gt;=1000,"High Value", IF(Walmart[[#This Row],[Sales]]&gt;=500,"Medium Value","Low Value"))</f>
        <v>Low Value</v>
      </c>
    </row>
    <row r="1553" spans="1:16" hidden="1" x14ac:dyDescent="0.3">
      <c r="A1553" t="s">
        <v>3453</v>
      </c>
      <c r="B1553" s="1">
        <v>41509</v>
      </c>
      <c r="C1553" s="1" t="str">
        <f>TEXT(Walmart[[#This Row],[Order Date]],"mmmm")</f>
        <v>August</v>
      </c>
      <c r="D1553" s="1">
        <v>41516</v>
      </c>
      <c r="E1553" s="1" t="str">
        <f>IF(DATEDIF(Walmart[[#This Row],[Order Date]],Walmart[[#This Row],[Ship Date]],"D")&lt;7,"On time","Delayed")</f>
        <v>Delayed</v>
      </c>
      <c r="F1553" t="s">
        <v>2971</v>
      </c>
      <c r="G1553" t="s">
        <v>14</v>
      </c>
      <c r="H1553" t="s">
        <v>15</v>
      </c>
      <c r="I1553" t="s">
        <v>16</v>
      </c>
      <c r="J1553" t="s">
        <v>38</v>
      </c>
      <c r="K1553" t="s">
        <v>1226</v>
      </c>
      <c r="L1553">
        <v>5.76</v>
      </c>
      <c r="M1553">
        <v>2</v>
      </c>
      <c r="N1553" t="str">
        <f>IF(Walmart[[#This Row],[Quantity]]&gt;=7,"Bulk",IF(Walmart[[#This Row],[Quantity]]&gt;=2,"Multi","Single"))</f>
        <v>Multi</v>
      </c>
      <c r="O1553">
        <v>1.67</v>
      </c>
      <c r="P1553" t="str">
        <f>IF(Walmart[[#This Row],[Sales]]&gt;=1000,"High Value", IF(Walmart[[#This Row],[Sales]]&gt;=500,"Medium Value","Low Value"))</f>
        <v>Low Value</v>
      </c>
    </row>
    <row r="1554" spans="1:16" hidden="1" x14ac:dyDescent="0.3">
      <c r="A1554" t="s">
        <v>3454</v>
      </c>
      <c r="B1554" s="1">
        <v>40865</v>
      </c>
      <c r="C1554" s="1" t="str">
        <f>TEXT(Walmart[[#This Row],[Order Date]],"mmmm")</f>
        <v>November</v>
      </c>
      <c r="D1554" s="1">
        <v>40872</v>
      </c>
      <c r="E1554" s="1" t="str">
        <f>IF(DATEDIF(Walmart[[#This Row],[Order Date]],Walmart[[#This Row],[Ship Date]],"D")&lt;7,"On time","Delayed")</f>
        <v>Delayed</v>
      </c>
      <c r="F1554" t="s">
        <v>396</v>
      </c>
      <c r="G1554" t="s">
        <v>14</v>
      </c>
      <c r="H1554" t="s">
        <v>25</v>
      </c>
      <c r="I1554" t="s">
        <v>26</v>
      </c>
      <c r="J1554" t="s">
        <v>21</v>
      </c>
      <c r="K1554" t="s">
        <v>3455</v>
      </c>
      <c r="L1554">
        <v>137.54</v>
      </c>
      <c r="M1554">
        <v>2</v>
      </c>
      <c r="N1554" t="str">
        <f>IF(Walmart[[#This Row],[Quantity]]&gt;=7,"Bulk",IF(Walmart[[#This Row],[Quantity]]&gt;=2,"Multi","Single"))</f>
        <v>Multi</v>
      </c>
      <c r="O1554">
        <v>55.02</v>
      </c>
      <c r="P1554" t="str">
        <f>IF(Walmart[[#This Row],[Sales]]&gt;=1000,"High Value", IF(Walmart[[#This Row],[Sales]]&gt;=500,"Medium Value","Low Value"))</f>
        <v>Low Value</v>
      </c>
    </row>
    <row r="1555" spans="1:16" x14ac:dyDescent="0.3">
      <c r="A1555" t="s">
        <v>1745</v>
      </c>
      <c r="B1555" s="1">
        <v>41670</v>
      </c>
      <c r="C1555" s="1" t="str">
        <f>TEXT(Walmart[[#This Row],[Order Date]],"mmmm")</f>
        <v>January</v>
      </c>
      <c r="D1555" s="1">
        <v>41677</v>
      </c>
      <c r="E1555" s="1" t="str">
        <f>IF(DATEDIF(Walmart[[#This Row],[Order Date]],Walmart[[#This Row],[Ship Date]],"D")&lt;7,"On time","Delayed")</f>
        <v>Delayed</v>
      </c>
      <c r="F1555" t="s">
        <v>1691</v>
      </c>
      <c r="G1555" t="s">
        <v>14</v>
      </c>
      <c r="H1555" t="s">
        <v>37</v>
      </c>
      <c r="I1555" t="s">
        <v>16</v>
      </c>
      <c r="J1555" t="s">
        <v>38</v>
      </c>
      <c r="K1555" t="s">
        <v>583</v>
      </c>
      <c r="L1555">
        <v>12.74</v>
      </c>
      <c r="M1555">
        <v>7</v>
      </c>
      <c r="N1555" t="str">
        <f>IF(Walmart[[#This Row],[Quantity]]&gt;=7,"Bulk",IF(Walmart[[#This Row],[Quantity]]&gt;=2,"Multi","Single"))</f>
        <v>Bulk</v>
      </c>
      <c r="O1555">
        <v>5.73</v>
      </c>
      <c r="P1555" t="str">
        <f>IF(Walmart[[#This Row],[Sales]]&gt;=1000,"High Value", IF(Walmart[[#This Row],[Sales]]&gt;=500,"Medium Value","Low Value"))</f>
        <v>Low Value</v>
      </c>
    </row>
    <row r="1556" spans="1:16" hidden="1" x14ac:dyDescent="0.3">
      <c r="A1556" t="s">
        <v>3458</v>
      </c>
      <c r="B1556" s="1">
        <v>40609</v>
      </c>
      <c r="C1556" s="1" t="str">
        <f>TEXT(Walmart[[#This Row],[Order Date]],"mmmm")</f>
        <v>March</v>
      </c>
      <c r="D1556" s="1">
        <v>40614</v>
      </c>
      <c r="E1556" s="1" t="str">
        <f>IF(DATEDIF(Walmart[[#This Row],[Order Date]],Walmart[[#This Row],[Ship Date]],"D")&lt;7,"On time","Delayed")</f>
        <v>On time</v>
      </c>
      <c r="F1556" t="s">
        <v>3459</v>
      </c>
      <c r="G1556" t="s">
        <v>14</v>
      </c>
      <c r="H1556" t="s">
        <v>25</v>
      </c>
      <c r="I1556" t="s">
        <v>26</v>
      </c>
      <c r="J1556" t="s">
        <v>38</v>
      </c>
      <c r="K1556" t="s">
        <v>1905</v>
      </c>
      <c r="L1556">
        <v>20.65</v>
      </c>
      <c r="M1556">
        <v>5</v>
      </c>
      <c r="N1556" t="str">
        <f>IF(Walmart[[#This Row],[Quantity]]&gt;=7,"Bulk",IF(Walmart[[#This Row],[Quantity]]&gt;=2,"Multi","Single"))</f>
        <v>Multi</v>
      </c>
      <c r="O1556">
        <v>9.5</v>
      </c>
      <c r="P1556" t="str">
        <f>IF(Walmart[[#This Row],[Sales]]&gt;=1000,"High Value", IF(Walmart[[#This Row],[Sales]]&gt;=500,"Medium Value","Low Value"))</f>
        <v>Low Value</v>
      </c>
    </row>
    <row r="1557" spans="1:16" x14ac:dyDescent="0.3">
      <c r="A1557" t="s">
        <v>3088</v>
      </c>
      <c r="B1557" s="1">
        <v>41670</v>
      </c>
      <c r="C1557" s="1" t="str">
        <f>TEXT(Walmart[[#This Row],[Order Date]],"mmmm")</f>
        <v>January</v>
      </c>
      <c r="D1557" s="1">
        <v>41673</v>
      </c>
      <c r="E1557" s="1" t="str">
        <f>IF(DATEDIF(Walmart[[#This Row],[Order Date]],Walmart[[#This Row],[Ship Date]],"D")&lt;7,"On time","Delayed")</f>
        <v>On time</v>
      </c>
      <c r="F1557" t="s">
        <v>666</v>
      </c>
      <c r="G1557" t="s">
        <v>14</v>
      </c>
      <c r="H1557" t="s">
        <v>25</v>
      </c>
      <c r="I1557" t="s">
        <v>26</v>
      </c>
      <c r="J1557" t="s">
        <v>146</v>
      </c>
      <c r="K1557" t="s">
        <v>1732</v>
      </c>
      <c r="L1557">
        <v>604.77</v>
      </c>
      <c r="M1557">
        <v>4</v>
      </c>
      <c r="N1557" t="str">
        <f>IF(Walmart[[#This Row],[Quantity]]&gt;=7,"Bulk",IF(Walmart[[#This Row],[Quantity]]&gt;=2,"Multi","Single"))</f>
        <v>Multi</v>
      </c>
      <c r="O1557">
        <v>60.48</v>
      </c>
      <c r="P1557" t="str">
        <f>IF(Walmart[[#This Row],[Sales]]&gt;=1000,"High Value", IF(Walmart[[#This Row],[Sales]]&gt;=500,"Medium Value","Low Value"))</f>
        <v>Medium Value</v>
      </c>
    </row>
    <row r="1558" spans="1:16" hidden="1" x14ac:dyDescent="0.3">
      <c r="A1558" t="s">
        <v>3461</v>
      </c>
      <c r="B1558" s="1">
        <v>41605</v>
      </c>
      <c r="C1558" s="1" t="str">
        <f>TEXT(Walmart[[#This Row],[Order Date]],"mmmm")</f>
        <v>November</v>
      </c>
      <c r="D1558" s="1">
        <v>41609</v>
      </c>
      <c r="E1558" s="1" t="str">
        <f>IF(DATEDIF(Walmart[[#This Row],[Order Date]],Walmart[[#This Row],[Ship Date]],"D")&lt;7,"On time","Delayed")</f>
        <v>On time</v>
      </c>
      <c r="F1558" t="s">
        <v>1006</v>
      </c>
      <c r="G1558" t="s">
        <v>14</v>
      </c>
      <c r="H1558" t="s">
        <v>15</v>
      </c>
      <c r="I1558" t="s">
        <v>16</v>
      </c>
      <c r="J1558" t="s">
        <v>671</v>
      </c>
      <c r="K1558" t="s">
        <v>3462</v>
      </c>
      <c r="L1558">
        <v>3406.66</v>
      </c>
      <c r="M1558">
        <v>8</v>
      </c>
      <c r="N1558" t="str">
        <f>IF(Walmart[[#This Row],[Quantity]]&gt;=7,"Bulk",IF(Walmart[[#This Row],[Quantity]]&gt;=2,"Multi","Single"))</f>
        <v>Bulk</v>
      </c>
      <c r="O1558">
        <v>160.31</v>
      </c>
      <c r="P1558" t="str">
        <f>IF(Walmart[[#This Row],[Sales]]&gt;=1000,"High Value", IF(Walmart[[#This Row],[Sales]]&gt;=500,"Medium Value","Low Value"))</f>
        <v>High Value</v>
      </c>
    </row>
    <row r="1559" spans="1:16" x14ac:dyDescent="0.3">
      <c r="A1559" t="s">
        <v>2059</v>
      </c>
      <c r="B1559" s="1">
        <v>41669</v>
      </c>
      <c r="C1559" s="1" t="str">
        <f>TEXT(Walmart[[#This Row],[Order Date]],"mmmm")</f>
        <v>January</v>
      </c>
      <c r="D1559" s="1">
        <v>41673</v>
      </c>
      <c r="E1559" s="1" t="str">
        <f>IF(DATEDIF(Walmart[[#This Row],[Order Date]],Walmart[[#This Row],[Ship Date]],"D")&lt;7,"On time","Delayed")</f>
        <v>On time</v>
      </c>
      <c r="F1559" t="s">
        <v>517</v>
      </c>
      <c r="G1559" t="s">
        <v>14</v>
      </c>
      <c r="H1559" t="s">
        <v>37</v>
      </c>
      <c r="I1559" t="s">
        <v>16</v>
      </c>
      <c r="J1559" t="s">
        <v>38</v>
      </c>
      <c r="K1559" t="s">
        <v>2060</v>
      </c>
      <c r="L1559">
        <v>8.34</v>
      </c>
      <c r="M1559">
        <v>3</v>
      </c>
      <c r="N1559" t="str">
        <f>IF(Walmart[[#This Row],[Quantity]]&gt;=7,"Bulk",IF(Walmart[[#This Row],[Quantity]]&gt;=2,"Multi","Single"))</f>
        <v>Multi</v>
      </c>
      <c r="O1559">
        <v>2.17</v>
      </c>
      <c r="P1559" t="str">
        <f>IF(Walmart[[#This Row],[Sales]]&gt;=1000,"High Value", IF(Walmart[[#This Row],[Sales]]&gt;=500,"Medium Value","Low Value"))</f>
        <v>Low Value</v>
      </c>
    </row>
    <row r="1560" spans="1:16" hidden="1" x14ac:dyDescent="0.3">
      <c r="A1560" t="s">
        <v>3464</v>
      </c>
      <c r="B1560" s="1">
        <v>40628</v>
      </c>
      <c r="C1560" s="1" t="str">
        <f>TEXT(Walmart[[#This Row],[Order Date]],"mmmm")</f>
        <v>March</v>
      </c>
      <c r="D1560" s="1">
        <v>40632</v>
      </c>
      <c r="E1560" s="1" t="str">
        <f>IF(DATEDIF(Walmart[[#This Row],[Order Date]],Walmart[[#This Row],[Ship Date]],"D")&lt;7,"On time","Delayed")</f>
        <v>On time</v>
      </c>
      <c r="F1560" t="s">
        <v>1338</v>
      </c>
      <c r="G1560" t="s">
        <v>14</v>
      </c>
      <c r="H1560" t="s">
        <v>743</v>
      </c>
      <c r="I1560" t="s">
        <v>16</v>
      </c>
      <c r="J1560" t="s">
        <v>17</v>
      </c>
      <c r="K1560" t="s">
        <v>3465</v>
      </c>
      <c r="L1560">
        <v>18.75</v>
      </c>
      <c r="M1560">
        <v>5</v>
      </c>
      <c r="N1560" t="str">
        <f>IF(Walmart[[#This Row],[Quantity]]&gt;=7,"Bulk",IF(Walmart[[#This Row],[Quantity]]&gt;=2,"Multi","Single"))</f>
        <v>Multi</v>
      </c>
      <c r="O1560">
        <v>9</v>
      </c>
      <c r="P1560" t="str">
        <f>IF(Walmart[[#This Row],[Sales]]&gt;=1000,"High Value", IF(Walmart[[#This Row],[Sales]]&gt;=500,"Medium Value","Low Value"))</f>
        <v>Low Value</v>
      </c>
    </row>
    <row r="1561" spans="1:16" hidden="1" x14ac:dyDescent="0.3">
      <c r="A1561" t="s">
        <v>3466</v>
      </c>
      <c r="B1561" s="1">
        <v>41432</v>
      </c>
      <c r="C1561" s="1" t="str">
        <f>TEXT(Walmart[[#This Row],[Order Date]],"mmmm")</f>
        <v>June</v>
      </c>
      <c r="D1561" s="1">
        <v>41437</v>
      </c>
      <c r="E1561" s="1" t="str">
        <f>IF(DATEDIF(Walmart[[#This Row],[Order Date]],Walmart[[#This Row],[Ship Date]],"D")&lt;7,"On time","Delayed")</f>
        <v>On time</v>
      </c>
      <c r="F1561" t="s">
        <v>3144</v>
      </c>
      <c r="G1561" t="s">
        <v>14</v>
      </c>
      <c r="H1561" t="s">
        <v>2254</v>
      </c>
      <c r="I1561" t="s">
        <v>16</v>
      </c>
      <c r="J1561" t="s">
        <v>146</v>
      </c>
      <c r="K1561" t="s">
        <v>3116</v>
      </c>
      <c r="L1561">
        <v>3023.93</v>
      </c>
      <c r="M1561">
        <v>9</v>
      </c>
      <c r="N1561" t="str">
        <f>IF(Walmart[[#This Row],[Quantity]]&gt;=7,"Bulk",IF(Walmart[[#This Row],[Quantity]]&gt;=2,"Multi","Single"))</f>
        <v>Bulk</v>
      </c>
      <c r="O1561">
        <v>226.79</v>
      </c>
      <c r="P1561" t="str">
        <f>IF(Walmart[[#This Row],[Sales]]&gt;=1000,"High Value", IF(Walmart[[#This Row],[Sales]]&gt;=500,"Medium Value","Low Value"))</f>
        <v>High Value</v>
      </c>
    </row>
    <row r="1562" spans="1:16" x14ac:dyDescent="0.3">
      <c r="A1562" t="s">
        <v>685</v>
      </c>
      <c r="B1562" s="1">
        <v>41668</v>
      </c>
      <c r="C1562" s="1" t="str">
        <f>TEXT(Walmart[[#This Row],[Order Date]],"mmmm")</f>
        <v>January</v>
      </c>
      <c r="D1562" s="1">
        <v>41671</v>
      </c>
      <c r="E1562" s="1" t="str">
        <f>IF(DATEDIF(Walmart[[#This Row],[Order Date]],Walmart[[#This Row],[Ship Date]],"D")&lt;7,"On time","Delayed")</f>
        <v>On time</v>
      </c>
      <c r="F1562" t="s">
        <v>686</v>
      </c>
      <c r="G1562" t="s">
        <v>14</v>
      </c>
      <c r="H1562" t="s">
        <v>274</v>
      </c>
      <c r="I1562" t="s">
        <v>16</v>
      </c>
      <c r="J1562" t="s">
        <v>53</v>
      </c>
      <c r="K1562" t="s">
        <v>687</v>
      </c>
      <c r="L1562">
        <v>239.97</v>
      </c>
      <c r="M1562">
        <v>3</v>
      </c>
      <c r="N1562" t="str">
        <f>IF(Walmart[[#This Row],[Quantity]]&gt;=7,"Bulk",IF(Walmart[[#This Row],[Quantity]]&gt;=2,"Multi","Single"))</f>
        <v>Multi</v>
      </c>
      <c r="O1562">
        <v>26.4</v>
      </c>
      <c r="P1562" t="str">
        <f>IF(Walmart[[#This Row],[Sales]]&gt;=1000,"High Value", IF(Walmart[[#This Row],[Sales]]&gt;=500,"Medium Value","Low Value"))</f>
        <v>Low Value</v>
      </c>
    </row>
    <row r="1563" spans="1:16" hidden="1" x14ac:dyDescent="0.3">
      <c r="A1563" t="s">
        <v>3468</v>
      </c>
      <c r="B1563" s="1">
        <v>41250</v>
      </c>
      <c r="C1563" s="1" t="str">
        <f>TEXT(Walmart[[#This Row],[Order Date]],"mmmm")</f>
        <v>December</v>
      </c>
      <c r="D1563" s="1">
        <v>41250</v>
      </c>
      <c r="E1563" s="1" t="str">
        <f>IF(DATEDIF(Walmart[[#This Row],[Order Date]],Walmart[[#This Row],[Ship Date]],"D")&lt;7,"On time","Delayed")</f>
        <v>On time</v>
      </c>
      <c r="F1563" t="s">
        <v>167</v>
      </c>
      <c r="G1563" t="s">
        <v>14</v>
      </c>
      <c r="H1563" t="s">
        <v>471</v>
      </c>
      <c r="I1563" t="s">
        <v>16</v>
      </c>
      <c r="J1563" t="s">
        <v>93</v>
      </c>
      <c r="K1563" t="s">
        <v>927</v>
      </c>
      <c r="L1563">
        <v>12.96</v>
      </c>
      <c r="M1563">
        <v>2</v>
      </c>
      <c r="N1563" t="str">
        <f>IF(Walmart[[#This Row],[Quantity]]&gt;=7,"Bulk",IF(Walmart[[#This Row],[Quantity]]&gt;=2,"Multi","Single"))</f>
        <v>Multi</v>
      </c>
      <c r="O1563">
        <v>6.22</v>
      </c>
      <c r="P1563" t="str">
        <f>IF(Walmart[[#This Row],[Sales]]&gt;=1000,"High Value", IF(Walmart[[#This Row],[Sales]]&gt;=500,"Medium Value","Low Value"))</f>
        <v>Low Value</v>
      </c>
    </row>
    <row r="1564" spans="1:16" x14ac:dyDescent="0.3">
      <c r="A1564" t="s">
        <v>2969</v>
      </c>
      <c r="B1564" s="1">
        <v>41666</v>
      </c>
      <c r="C1564" s="1" t="str">
        <f>TEXT(Walmart[[#This Row],[Order Date]],"mmmm")</f>
        <v>January</v>
      </c>
      <c r="D1564" s="1">
        <v>41670</v>
      </c>
      <c r="E1564" s="1" t="str">
        <f>IF(DATEDIF(Walmart[[#This Row],[Order Date]],Walmart[[#This Row],[Ship Date]],"D")&lt;7,"On time","Delayed")</f>
        <v>On time</v>
      </c>
      <c r="F1564" t="s">
        <v>236</v>
      </c>
      <c r="G1564" t="s">
        <v>14</v>
      </c>
      <c r="H1564" t="s">
        <v>37</v>
      </c>
      <c r="I1564" t="s">
        <v>16</v>
      </c>
      <c r="J1564" t="s">
        <v>191</v>
      </c>
      <c r="K1564" t="s">
        <v>1652</v>
      </c>
      <c r="L1564">
        <v>11.84</v>
      </c>
      <c r="M1564">
        <v>8</v>
      </c>
      <c r="N1564" t="str">
        <f>IF(Walmart[[#This Row],[Quantity]]&gt;=7,"Bulk",IF(Walmart[[#This Row],[Quantity]]&gt;=2,"Multi","Single"))</f>
        <v>Bulk</v>
      </c>
      <c r="O1564">
        <v>5.68</v>
      </c>
      <c r="P1564" t="str">
        <f>IF(Walmart[[#This Row],[Sales]]&gt;=1000,"High Value", IF(Walmart[[#This Row],[Sales]]&gt;=500,"Medium Value","Low Value"))</f>
        <v>Low Value</v>
      </c>
    </row>
    <row r="1565" spans="1:16" hidden="1" x14ac:dyDescent="0.3">
      <c r="A1565" t="s">
        <v>3471</v>
      </c>
      <c r="B1565" s="1">
        <v>41388</v>
      </c>
      <c r="C1565" s="1" t="str">
        <f>TEXT(Walmart[[#This Row],[Order Date]],"mmmm")</f>
        <v>April</v>
      </c>
      <c r="D1565" s="1">
        <v>41392</v>
      </c>
      <c r="E1565" s="1" t="str">
        <f>IF(DATEDIF(Walmart[[#This Row],[Order Date]],Walmart[[#This Row],[Ship Date]],"D")&lt;7,"On time","Delayed")</f>
        <v>On time</v>
      </c>
      <c r="F1565" t="s">
        <v>2276</v>
      </c>
      <c r="G1565" t="s">
        <v>14</v>
      </c>
      <c r="H1565" t="s">
        <v>3472</v>
      </c>
      <c r="I1565" t="s">
        <v>16</v>
      </c>
      <c r="J1565" t="s">
        <v>27</v>
      </c>
      <c r="K1565" t="s">
        <v>1807</v>
      </c>
      <c r="L1565">
        <v>18.09</v>
      </c>
      <c r="M1565">
        <v>7</v>
      </c>
      <c r="N1565" t="str">
        <f>IF(Walmart[[#This Row],[Quantity]]&gt;=7,"Bulk",IF(Walmart[[#This Row],[Quantity]]&gt;=2,"Multi","Single"))</f>
        <v>Bulk</v>
      </c>
      <c r="O1565">
        <v>6.56</v>
      </c>
      <c r="P1565" t="str">
        <f>IF(Walmart[[#This Row],[Sales]]&gt;=1000,"High Value", IF(Walmart[[#This Row],[Sales]]&gt;=500,"Medium Value","Low Value"))</f>
        <v>Low Value</v>
      </c>
    </row>
    <row r="1566" spans="1:16" x14ac:dyDescent="0.3">
      <c r="A1566" t="s">
        <v>3441</v>
      </c>
      <c r="B1566" s="1">
        <v>41664</v>
      </c>
      <c r="C1566" s="1" t="str">
        <f>TEXT(Walmart[[#This Row],[Order Date]],"mmmm")</f>
        <v>January</v>
      </c>
      <c r="D1566" s="1">
        <v>41669</v>
      </c>
      <c r="E1566" s="1" t="str">
        <f>IF(DATEDIF(Walmart[[#This Row],[Order Date]],Walmart[[#This Row],[Ship Date]],"D")&lt;7,"On time","Delayed")</f>
        <v>On time</v>
      </c>
      <c r="F1566" t="s">
        <v>2383</v>
      </c>
      <c r="G1566" t="s">
        <v>14</v>
      </c>
      <c r="H1566" t="s">
        <v>109</v>
      </c>
      <c r="I1566" t="s">
        <v>16</v>
      </c>
      <c r="J1566" t="s">
        <v>105</v>
      </c>
      <c r="K1566" t="s">
        <v>3442</v>
      </c>
      <c r="L1566">
        <v>25.86</v>
      </c>
      <c r="M1566">
        <v>3</v>
      </c>
      <c r="N1566" t="str">
        <f>IF(Walmart[[#This Row],[Quantity]]&gt;=7,"Bulk",IF(Walmart[[#This Row],[Quantity]]&gt;=2,"Multi","Single"))</f>
        <v>Multi</v>
      </c>
      <c r="O1566">
        <v>6.72</v>
      </c>
      <c r="P1566" t="str">
        <f>IF(Walmart[[#This Row],[Sales]]&gt;=1000,"High Value", IF(Walmart[[#This Row],[Sales]]&gt;=500,"Medium Value","Low Value"))</f>
        <v>Low Value</v>
      </c>
    </row>
    <row r="1567" spans="1:16" hidden="1" x14ac:dyDescent="0.3">
      <c r="A1567" t="s">
        <v>3476</v>
      </c>
      <c r="B1567" s="1">
        <v>41401</v>
      </c>
      <c r="C1567" s="1" t="str">
        <f>TEXT(Walmart[[#This Row],[Order Date]],"mmmm")</f>
        <v>May</v>
      </c>
      <c r="D1567" s="1">
        <v>41405</v>
      </c>
      <c r="E1567" s="1" t="str">
        <f>IF(DATEDIF(Walmart[[#This Row],[Order Date]],Walmart[[#This Row],[Ship Date]],"D")&lt;7,"On time","Delayed")</f>
        <v>On time</v>
      </c>
      <c r="F1567" t="s">
        <v>973</v>
      </c>
      <c r="G1567" t="s">
        <v>14</v>
      </c>
      <c r="H1567" t="s">
        <v>1323</v>
      </c>
      <c r="I1567" t="s">
        <v>16</v>
      </c>
      <c r="J1567" t="s">
        <v>21</v>
      </c>
      <c r="K1567" t="s">
        <v>3477</v>
      </c>
      <c r="L1567">
        <v>41.6</v>
      </c>
      <c r="M1567">
        <v>4</v>
      </c>
      <c r="N1567" t="str">
        <f>IF(Walmart[[#This Row],[Quantity]]&gt;=7,"Bulk",IF(Walmart[[#This Row],[Quantity]]&gt;=2,"Multi","Single"))</f>
        <v>Multi</v>
      </c>
      <c r="O1567">
        <v>14.14</v>
      </c>
      <c r="P1567" t="str">
        <f>IF(Walmart[[#This Row],[Sales]]&gt;=1000,"High Value", IF(Walmart[[#This Row],[Sales]]&gt;=500,"Medium Value","Low Value"))</f>
        <v>Low Value</v>
      </c>
    </row>
    <row r="1568" spans="1:16" hidden="1" x14ac:dyDescent="0.3">
      <c r="A1568" t="s">
        <v>3478</v>
      </c>
      <c r="B1568" s="1">
        <v>41270</v>
      </c>
      <c r="C1568" s="1" t="str">
        <f>TEXT(Walmart[[#This Row],[Order Date]],"mmmm")</f>
        <v>December</v>
      </c>
      <c r="D1568" s="1">
        <v>41274</v>
      </c>
      <c r="E1568" s="1" t="str">
        <f>IF(DATEDIF(Walmart[[#This Row],[Order Date]],Walmart[[#This Row],[Ship Date]],"D")&lt;7,"On time","Delayed")</f>
        <v>On time</v>
      </c>
      <c r="F1568" t="s">
        <v>2175</v>
      </c>
      <c r="G1568" t="s">
        <v>14</v>
      </c>
      <c r="H1568" t="s">
        <v>37</v>
      </c>
      <c r="I1568" t="s">
        <v>16</v>
      </c>
      <c r="J1568" t="s">
        <v>33</v>
      </c>
      <c r="K1568" t="s">
        <v>512</v>
      </c>
      <c r="L1568">
        <v>323.10000000000002</v>
      </c>
      <c r="M1568">
        <v>2</v>
      </c>
      <c r="N1568" t="str">
        <f>IF(Walmart[[#This Row],[Quantity]]&gt;=7,"Bulk",IF(Walmart[[#This Row],[Quantity]]&gt;=2,"Multi","Single"))</f>
        <v>Multi</v>
      </c>
      <c r="O1568">
        <v>61.39</v>
      </c>
      <c r="P1568" t="str">
        <f>IF(Walmart[[#This Row],[Sales]]&gt;=1000,"High Value", IF(Walmart[[#This Row],[Sales]]&gt;=500,"Medium Value","Low Value"))</f>
        <v>Low Value</v>
      </c>
    </row>
    <row r="1569" spans="1:16" x14ac:dyDescent="0.3">
      <c r="A1569" t="s">
        <v>2535</v>
      </c>
      <c r="B1569" s="1">
        <v>41663</v>
      </c>
      <c r="C1569" s="1" t="str">
        <f>TEXT(Walmart[[#This Row],[Order Date]],"mmmm")</f>
        <v>January</v>
      </c>
      <c r="D1569" s="1">
        <v>41668</v>
      </c>
      <c r="E1569" s="1" t="str">
        <f>IF(DATEDIF(Walmart[[#This Row],[Order Date]],Walmart[[#This Row],[Ship Date]],"D")&lt;7,"On time","Delayed")</f>
        <v>On time</v>
      </c>
      <c r="F1569" t="s">
        <v>1806</v>
      </c>
      <c r="G1569" t="s">
        <v>14</v>
      </c>
      <c r="H1569" t="s">
        <v>25</v>
      </c>
      <c r="I1569" t="s">
        <v>26</v>
      </c>
      <c r="J1569" t="s">
        <v>27</v>
      </c>
      <c r="K1569" t="s">
        <v>2536</v>
      </c>
      <c r="L1569">
        <v>19.68</v>
      </c>
      <c r="M1569">
        <v>5</v>
      </c>
      <c r="N1569" t="str">
        <f>IF(Walmart[[#This Row],[Quantity]]&gt;=7,"Bulk",IF(Walmart[[#This Row],[Quantity]]&gt;=2,"Multi","Single"))</f>
        <v>Multi</v>
      </c>
      <c r="O1569">
        <v>6.89</v>
      </c>
      <c r="P1569" t="str">
        <f>IF(Walmart[[#This Row],[Sales]]&gt;=1000,"High Value", IF(Walmart[[#This Row],[Sales]]&gt;=500,"Medium Value","Low Value"))</f>
        <v>Low Value</v>
      </c>
    </row>
    <row r="1570" spans="1:16" x14ac:dyDescent="0.3">
      <c r="A1570" t="s">
        <v>3463</v>
      </c>
      <c r="B1570" s="1">
        <v>41663</v>
      </c>
      <c r="C1570" s="1" t="str">
        <f>TEXT(Walmart[[#This Row],[Order Date]],"mmmm")</f>
        <v>January</v>
      </c>
      <c r="D1570" s="1">
        <v>41667</v>
      </c>
      <c r="E1570" s="1" t="str">
        <f>IF(DATEDIF(Walmart[[#This Row],[Order Date]],Walmart[[#This Row],[Ship Date]],"D")&lt;7,"On time","Delayed")</f>
        <v>On time</v>
      </c>
      <c r="F1570" t="s">
        <v>652</v>
      </c>
      <c r="G1570" t="s">
        <v>14</v>
      </c>
      <c r="H1570" t="s">
        <v>215</v>
      </c>
      <c r="I1570" t="s">
        <v>58</v>
      </c>
      <c r="J1570" t="s">
        <v>53</v>
      </c>
      <c r="K1570" t="s">
        <v>2800</v>
      </c>
      <c r="L1570">
        <v>95.98</v>
      </c>
      <c r="M1570">
        <v>2</v>
      </c>
      <c r="N1570" t="str">
        <f>IF(Walmart[[#This Row],[Quantity]]&gt;=7,"Bulk",IF(Walmart[[#This Row],[Quantity]]&gt;=2,"Multi","Single"))</f>
        <v>Multi</v>
      </c>
      <c r="O1570">
        <v>12</v>
      </c>
      <c r="P1570" t="str">
        <f>IF(Walmart[[#This Row],[Sales]]&gt;=1000,"High Value", IF(Walmart[[#This Row],[Sales]]&gt;=500,"Medium Value","Low Value"))</f>
        <v>Low Value</v>
      </c>
    </row>
    <row r="1571" spans="1:16" x14ac:dyDescent="0.3">
      <c r="A1571" t="s">
        <v>283</v>
      </c>
      <c r="B1571" s="1">
        <v>41662</v>
      </c>
      <c r="C1571" s="1" t="str">
        <f>TEXT(Walmart[[#This Row],[Order Date]],"mmmm")</f>
        <v>January</v>
      </c>
      <c r="D1571" s="1">
        <v>41667</v>
      </c>
      <c r="E1571" s="1" t="str">
        <f>IF(DATEDIF(Walmart[[#This Row],[Order Date]],Walmart[[#This Row],[Ship Date]],"D")&lt;7,"On time","Delayed")</f>
        <v>On time</v>
      </c>
      <c r="F1571" t="s">
        <v>284</v>
      </c>
      <c r="G1571" t="s">
        <v>14</v>
      </c>
      <c r="H1571" t="s">
        <v>285</v>
      </c>
      <c r="I1571" t="s">
        <v>286</v>
      </c>
      <c r="J1571" t="s">
        <v>287</v>
      </c>
      <c r="K1571" t="s">
        <v>288</v>
      </c>
      <c r="L1571">
        <v>2999.95</v>
      </c>
      <c r="M1571">
        <v>5</v>
      </c>
      <c r="N1571" t="str">
        <f>IF(Walmart[[#This Row],[Quantity]]&gt;=7,"Bulk",IF(Walmart[[#This Row],[Quantity]]&gt;=2,"Multi","Single"))</f>
        <v>Multi</v>
      </c>
      <c r="O1571">
        <v>1379.98</v>
      </c>
      <c r="P1571" t="str">
        <f>IF(Walmart[[#This Row],[Sales]]&gt;=1000,"High Value", IF(Walmart[[#This Row],[Sales]]&gt;=500,"Medium Value","Low Value"))</f>
        <v>High Value</v>
      </c>
    </row>
    <row r="1572" spans="1:16" x14ac:dyDescent="0.3">
      <c r="A1572" t="s">
        <v>389</v>
      </c>
      <c r="B1572" s="1">
        <v>41661</v>
      </c>
      <c r="C1572" s="1" t="str">
        <f>TEXT(Walmart[[#This Row],[Order Date]],"mmmm")</f>
        <v>January</v>
      </c>
      <c r="D1572" s="1">
        <v>41665</v>
      </c>
      <c r="E1572" s="1" t="str">
        <f>IF(DATEDIF(Walmart[[#This Row],[Order Date]],Walmart[[#This Row],[Ship Date]],"D")&lt;7,"On time","Delayed")</f>
        <v>On time</v>
      </c>
      <c r="F1572" t="s">
        <v>390</v>
      </c>
      <c r="G1572" t="s">
        <v>14</v>
      </c>
      <c r="H1572" t="s">
        <v>25</v>
      </c>
      <c r="I1572" t="s">
        <v>26</v>
      </c>
      <c r="J1572" t="s">
        <v>33</v>
      </c>
      <c r="K1572" t="s">
        <v>391</v>
      </c>
      <c r="L1572">
        <v>242.94</v>
      </c>
      <c r="M1572">
        <v>3</v>
      </c>
      <c r="N1572" t="str">
        <f>IF(Walmart[[#This Row],[Quantity]]&gt;=7,"Bulk",IF(Walmart[[#This Row],[Quantity]]&gt;=2,"Multi","Single"))</f>
        <v>Multi</v>
      </c>
      <c r="O1572">
        <v>9.7200000000000006</v>
      </c>
      <c r="P1572" t="str">
        <f>IF(Walmart[[#This Row],[Sales]]&gt;=1000,"High Value", IF(Walmart[[#This Row],[Sales]]&gt;=500,"Medium Value","Low Value"))</f>
        <v>Low Value</v>
      </c>
    </row>
    <row r="1573" spans="1:16" x14ac:dyDescent="0.3">
      <c r="A1573" t="s">
        <v>822</v>
      </c>
      <c r="B1573" s="1">
        <v>41660</v>
      </c>
      <c r="C1573" s="1" t="str">
        <f>TEXT(Walmart[[#This Row],[Order Date]],"mmmm")</f>
        <v>January</v>
      </c>
      <c r="D1573" s="1">
        <v>41666</v>
      </c>
      <c r="E1573" s="1" t="str">
        <f>IF(DATEDIF(Walmart[[#This Row],[Order Date]],Walmart[[#This Row],[Ship Date]],"D")&lt;7,"On time","Delayed")</f>
        <v>On time</v>
      </c>
      <c r="F1573" t="s">
        <v>823</v>
      </c>
      <c r="G1573" t="s">
        <v>14</v>
      </c>
      <c r="H1573" t="s">
        <v>15</v>
      </c>
      <c r="I1573" t="s">
        <v>16</v>
      </c>
      <c r="J1573" t="s">
        <v>146</v>
      </c>
      <c r="K1573" t="s">
        <v>824</v>
      </c>
      <c r="L1573">
        <v>160.78</v>
      </c>
      <c r="M1573">
        <v>3</v>
      </c>
      <c r="N1573" t="str">
        <f>IF(Walmart[[#This Row],[Quantity]]&gt;=7,"Bulk",IF(Walmart[[#This Row],[Quantity]]&gt;=2,"Multi","Single"))</f>
        <v>Multi</v>
      </c>
      <c r="O1573">
        <v>10.050000000000001</v>
      </c>
      <c r="P1573" t="str">
        <f>IF(Walmart[[#This Row],[Sales]]&gt;=1000,"High Value", IF(Walmart[[#This Row],[Sales]]&gt;=500,"Medium Value","Low Value"))</f>
        <v>Low Value</v>
      </c>
    </row>
    <row r="1574" spans="1:16" hidden="1" x14ac:dyDescent="0.3">
      <c r="A1574" t="s">
        <v>3486</v>
      </c>
      <c r="B1574" s="1">
        <v>41578</v>
      </c>
      <c r="C1574" s="1" t="str">
        <f>TEXT(Walmart[[#This Row],[Order Date]],"mmmm")</f>
        <v>October</v>
      </c>
      <c r="D1574" s="1">
        <v>41583</v>
      </c>
      <c r="E1574" s="1" t="str">
        <f>IF(DATEDIF(Walmart[[#This Row],[Order Date]],Walmart[[#This Row],[Ship Date]],"D")&lt;7,"On time","Delayed")</f>
        <v>On time</v>
      </c>
      <c r="F1574" t="s">
        <v>1694</v>
      </c>
      <c r="G1574" t="s">
        <v>14</v>
      </c>
      <c r="H1574" t="s">
        <v>3487</v>
      </c>
      <c r="I1574" t="s">
        <v>16</v>
      </c>
      <c r="J1574" t="s">
        <v>191</v>
      </c>
      <c r="K1574" t="s">
        <v>3488</v>
      </c>
      <c r="L1574">
        <v>3.62</v>
      </c>
      <c r="M1574">
        <v>2</v>
      </c>
      <c r="N1574" t="str">
        <f>IF(Walmart[[#This Row],[Quantity]]&gt;=7,"Bulk",IF(Walmart[[#This Row],[Quantity]]&gt;=2,"Multi","Single"))</f>
        <v>Multi</v>
      </c>
      <c r="O1574">
        <v>1.19</v>
      </c>
      <c r="P1574" t="str">
        <f>IF(Walmart[[#This Row],[Sales]]&gt;=1000,"High Value", IF(Walmart[[#This Row],[Sales]]&gt;=500,"Medium Value","Low Value"))</f>
        <v>Low Value</v>
      </c>
    </row>
    <row r="1575" spans="1:16" x14ac:dyDescent="0.3">
      <c r="A1575" t="s">
        <v>1152</v>
      </c>
      <c r="B1575" s="1">
        <v>41660</v>
      </c>
      <c r="C1575" s="1" t="str">
        <f>TEXT(Walmart[[#This Row],[Order Date]],"mmmm")</f>
        <v>January</v>
      </c>
      <c r="D1575" s="1">
        <v>41665</v>
      </c>
      <c r="E1575" s="1" t="str">
        <f>IF(DATEDIF(Walmart[[#This Row],[Order Date]],Walmart[[#This Row],[Ship Date]],"D")&lt;7,"On time","Delayed")</f>
        <v>On time</v>
      </c>
      <c r="F1575" t="s">
        <v>1153</v>
      </c>
      <c r="G1575" t="s">
        <v>14</v>
      </c>
      <c r="H1575" t="s">
        <v>37</v>
      </c>
      <c r="I1575" t="s">
        <v>16</v>
      </c>
      <c r="J1575" t="s">
        <v>38</v>
      </c>
      <c r="K1575" t="s">
        <v>125</v>
      </c>
      <c r="L1575">
        <v>24.2</v>
      </c>
      <c r="M1575">
        <v>5</v>
      </c>
      <c r="N1575" t="str">
        <f>IF(Walmart[[#This Row],[Quantity]]&gt;=7,"Bulk",IF(Walmart[[#This Row],[Quantity]]&gt;=2,"Multi","Single"))</f>
        <v>Multi</v>
      </c>
      <c r="O1575">
        <v>7.99</v>
      </c>
      <c r="P1575" t="str">
        <f>IF(Walmart[[#This Row],[Sales]]&gt;=1000,"High Value", IF(Walmart[[#This Row],[Sales]]&gt;=500,"Medium Value","Low Value"))</f>
        <v>Low Value</v>
      </c>
    </row>
    <row r="1576" spans="1:16" hidden="1" x14ac:dyDescent="0.3">
      <c r="A1576" t="s">
        <v>3492</v>
      </c>
      <c r="B1576" s="1">
        <v>41569</v>
      </c>
      <c r="C1576" s="1" t="str">
        <f>TEXT(Walmart[[#This Row],[Order Date]],"mmmm")</f>
        <v>October</v>
      </c>
      <c r="D1576" s="1">
        <v>41575</v>
      </c>
      <c r="E1576" s="1" t="str">
        <f>IF(DATEDIF(Walmart[[#This Row],[Order Date]],Walmart[[#This Row],[Ship Date]],"D")&lt;7,"On time","Delayed")</f>
        <v>On time</v>
      </c>
      <c r="F1576" t="s">
        <v>1303</v>
      </c>
      <c r="G1576" t="s">
        <v>14</v>
      </c>
      <c r="H1576" t="s">
        <v>15</v>
      </c>
      <c r="I1576" t="s">
        <v>16</v>
      </c>
      <c r="J1576" t="s">
        <v>88</v>
      </c>
      <c r="K1576" t="s">
        <v>3493</v>
      </c>
      <c r="L1576">
        <v>242.14</v>
      </c>
      <c r="M1576">
        <v>3</v>
      </c>
      <c r="N1576" t="str">
        <f>IF(Walmart[[#This Row],[Quantity]]&gt;=7,"Bulk",IF(Walmart[[#This Row],[Quantity]]&gt;=2,"Multi","Single"))</f>
        <v>Multi</v>
      </c>
      <c r="O1576">
        <v>12.11</v>
      </c>
      <c r="P1576" t="str">
        <f>IF(Walmart[[#This Row],[Sales]]&gt;=1000,"High Value", IF(Walmart[[#This Row],[Sales]]&gt;=500,"Medium Value","Low Value"))</f>
        <v>Low Value</v>
      </c>
    </row>
    <row r="1577" spans="1:16" hidden="1" x14ac:dyDescent="0.3">
      <c r="A1577" t="s">
        <v>3494</v>
      </c>
      <c r="B1577" s="1">
        <v>41586</v>
      </c>
      <c r="C1577" s="1" t="str">
        <f>TEXT(Walmart[[#This Row],[Order Date]],"mmmm")</f>
        <v>November</v>
      </c>
      <c r="D1577" s="1">
        <v>41591</v>
      </c>
      <c r="E1577" s="1" t="str">
        <f>IF(DATEDIF(Walmart[[#This Row],[Order Date]],Walmart[[#This Row],[Ship Date]],"D")&lt;7,"On time","Delayed")</f>
        <v>On time</v>
      </c>
      <c r="F1577" t="s">
        <v>650</v>
      </c>
      <c r="G1577" t="s">
        <v>14</v>
      </c>
      <c r="H1577" t="s">
        <v>37</v>
      </c>
      <c r="I1577" t="s">
        <v>16</v>
      </c>
      <c r="J1577" t="s">
        <v>27</v>
      </c>
      <c r="K1577" t="s">
        <v>3495</v>
      </c>
      <c r="L1577">
        <v>57.58</v>
      </c>
      <c r="M1577">
        <v>2</v>
      </c>
      <c r="N1577" t="str">
        <f>IF(Walmart[[#This Row],[Quantity]]&gt;=7,"Bulk",IF(Walmart[[#This Row],[Quantity]]&gt;=2,"Multi","Single"))</f>
        <v>Multi</v>
      </c>
      <c r="O1577">
        <v>20.149999999999999</v>
      </c>
      <c r="P1577" t="str">
        <f>IF(Walmart[[#This Row],[Sales]]&gt;=1000,"High Value", IF(Walmart[[#This Row],[Sales]]&gt;=500,"Medium Value","Low Value"))</f>
        <v>Low Value</v>
      </c>
    </row>
    <row r="1578" spans="1:16" x14ac:dyDescent="0.3">
      <c r="A1578" t="s">
        <v>2155</v>
      </c>
      <c r="B1578" s="1">
        <v>41656</v>
      </c>
      <c r="C1578" s="1" t="str">
        <f>TEXT(Walmart[[#This Row],[Order Date]],"mmmm")</f>
        <v>January</v>
      </c>
      <c r="D1578" s="1">
        <v>41656</v>
      </c>
      <c r="E1578" s="1" t="str">
        <f>IF(DATEDIF(Walmart[[#This Row],[Order Date]],Walmart[[#This Row],[Ship Date]],"D")&lt;7,"On time","Delayed")</f>
        <v>On time</v>
      </c>
      <c r="F1578" t="s">
        <v>1711</v>
      </c>
      <c r="G1578" t="s">
        <v>14</v>
      </c>
      <c r="H1578" t="s">
        <v>15</v>
      </c>
      <c r="I1578" t="s">
        <v>16</v>
      </c>
      <c r="J1578" t="s">
        <v>21</v>
      </c>
      <c r="K1578" t="s">
        <v>22</v>
      </c>
      <c r="L1578">
        <v>27.92</v>
      </c>
      <c r="M1578">
        <v>4</v>
      </c>
      <c r="N1578" t="str">
        <f>IF(Walmart[[#This Row],[Quantity]]&gt;=7,"Bulk",IF(Walmart[[#This Row],[Quantity]]&gt;=2,"Multi","Single"))</f>
        <v>Multi</v>
      </c>
      <c r="O1578">
        <v>8.1</v>
      </c>
      <c r="P1578" t="str">
        <f>IF(Walmart[[#This Row],[Sales]]&gt;=1000,"High Value", IF(Walmart[[#This Row],[Sales]]&gt;=500,"Medium Value","Low Value"))</f>
        <v>Low Value</v>
      </c>
    </row>
    <row r="1579" spans="1:16" hidden="1" x14ac:dyDescent="0.3">
      <c r="A1579" t="s">
        <v>3498</v>
      </c>
      <c r="B1579" s="1">
        <v>40815</v>
      </c>
      <c r="C1579" s="1" t="str">
        <f>TEXT(Walmart[[#This Row],[Order Date]],"mmmm")</f>
        <v>September</v>
      </c>
      <c r="D1579" s="1">
        <v>40820</v>
      </c>
      <c r="E1579" s="1" t="str">
        <f>IF(DATEDIF(Walmart[[#This Row],[Order Date]],Walmart[[#This Row],[Ship Date]],"D")&lt;7,"On time","Delayed")</f>
        <v>On time</v>
      </c>
      <c r="F1579" t="s">
        <v>3499</v>
      </c>
      <c r="G1579" t="s">
        <v>14</v>
      </c>
      <c r="H1579" t="s">
        <v>25</v>
      </c>
      <c r="I1579" t="s">
        <v>26</v>
      </c>
      <c r="J1579" t="s">
        <v>27</v>
      </c>
      <c r="K1579" t="s">
        <v>1231</v>
      </c>
      <c r="L1579">
        <v>10.050000000000001</v>
      </c>
      <c r="M1579">
        <v>2</v>
      </c>
      <c r="N1579" t="str">
        <f>IF(Walmart[[#This Row],[Quantity]]&gt;=7,"Bulk",IF(Walmart[[#This Row],[Quantity]]&gt;=2,"Multi","Single"))</f>
        <v>Multi</v>
      </c>
      <c r="O1579">
        <v>3.14</v>
      </c>
      <c r="P1579" t="str">
        <f>IF(Walmart[[#This Row],[Sales]]&gt;=1000,"High Value", IF(Walmart[[#This Row],[Sales]]&gt;=500,"Medium Value","Low Value"))</f>
        <v>Low Value</v>
      </c>
    </row>
    <row r="1580" spans="1:16" x14ac:dyDescent="0.3">
      <c r="A1580" t="s">
        <v>2069</v>
      </c>
      <c r="B1580" s="1">
        <v>41655</v>
      </c>
      <c r="C1580" s="1" t="str">
        <f>TEXT(Walmart[[#This Row],[Order Date]],"mmmm")</f>
        <v>January</v>
      </c>
      <c r="D1580" s="1">
        <v>41659</v>
      </c>
      <c r="E1580" s="1" t="str">
        <f>IF(DATEDIF(Walmart[[#This Row],[Order Date]],Walmart[[#This Row],[Ship Date]],"D")&lt;7,"On time","Delayed")</f>
        <v>On time</v>
      </c>
      <c r="F1580" t="s">
        <v>2070</v>
      </c>
      <c r="G1580" t="s">
        <v>14</v>
      </c>
      <c r="H1580" t="s">
        <v>15</v>
      </c>
      <c r="I1580" t="s">
        <v>16</v>
      </c>
      <c r="J1580" t="s">
        <v>38</v>
      </c>
      <c r="K1580" t="s">
        <v>2071</v>
      </c>
      <c r="L1580">
        <v>21.4</v>
      </c>
      <c r="M1580">
        <v>5</v>
      </c>
      <c r="N1580" t="str">
        <f>IF(Walmart[[#This Row],[Quantity]]&gt;=7,"Bulk",IF(Walmart[[#This Row],[Quantity]]&gt;=2,"Multi","Single"))</f>
        <v>Multi</v>
      </c>
      <c r="O1580">
        <v>6.21</v>
      </c>
      <c r="P1580" t="str">
        <f>IF(Walmart[[#This Row],[Sales]]&gt;=1000,"High Value", IF(Walmart[[#This Row],[Sales]]&gt;=500,"Medium Value","Low Value"))</f>
        <v>Low Value</v>
      </c>
    </row>
    <row r="1581" spans="1:16" x14ac:dyDescent="0.3">
      <c r="A1581" t="s">
        <v>1746</v>
      </c>
      <c r="B1581" s="1">
        <v>41654</v>
      </c>
      <c r="C1581" s="1" t="str">
        <f>TEXT(Walmart[[#This Row],[Order Date]],"mmmm")</f>
        <v>January</v>
      </c>
      <c r="D1581" s="1">
        <v>41656</v>
      </c>
      <c r="E1581" s="1" t="str">
        <f>IF(DATEDIF(Walmart[[#This Row],[Order Date]],Walmart[[#This Row],[Ship Date]],"D")&lt;7,"On time","Delayed")</f>
        <v>On time</v>
      </c>
      <c r="F1581" t="s">
        <v>1747</v>
      </c>
      <c r="G1581" t="s">
        <v>14</v>
      </c>
      <c r="H1581" t="s">
        <v>76</v>
      </c>
      <c r="I1581" t="s">
        <v>77</v>
      </c>
      <c r="J1581" t="s">
        <v>53</v>
      </c>
      <c r="K1581" t="s">
        <v>889</v>
      </c>
      <c r="L1581">
        <v>169.06</v>
      </c>
      <c r="M1581">
        <v>7</v>
      </c>
      <c r="N1581" t="str">
        <f>IF(Walmart[[#This Row],[Quantity]]&gt;=7,"Bulk",IF(Walmart[[#This Row],[Quantity]]&gt;=2,"Multi","Single"))</f>
        <v>Bulk</v>
      </c>
      <c r="O1581">
        <v>-14.79</v>
      </c>
      <c r="P1581" t="str">
        <f>IF(Walmart[[#This Row],[Sales]]&gt;=1000,"High Value", IF(Walmart[[#This Row],[Sales]]&gt;=500,"Medium Value","Low Value"))</f>
        <v>Low Value</v>
      </c>
    </row>
    <row r="1582" spans="1:16" x14ac:dyDescent="0.3">
      <c r="A1582" t="s">
        <v>2717</v>
      </c>
      <c r="B1582" s="1">
        <v>41654</v>
      </c>
      <c r="C1582" s="1" t="str">
        <f>TEXT(Walmart[[#This Row],[Order Date]],"mmmm")</f>
        <v>January</v>
      </c>
      <c r="D1582" s="1">
        <v>41659</v>
      </c>
      <c r="E1582" s="1" t="str">
        <f>IF(DATEDIF(Walmart[[#This Row],[Order Date]],Walmart[[#This Row],[Ship Date]],"D")&lt;7,"On time","Delayed")</f>
        <v>On time</v>
      </c>
      <c r="F1582" t="s">
        <v>2718</v>
      </c>
      <c r="G1582" t="s">
        <v>14</v>
      </c>
      <c r="H1582" t="s">
        <v>15</v>
      </c>
      <c r="I1582" t="s">
        <v>16</v>
      </c>
      <c r="J1582" t="s">
        <v>93</v>
      </c>
      <c r="K1582" t="s">
        <v>2719</v>
      </c>
      <c r="L1582">
        <v>154.9</v>
      </c>
      <c r="M1582">
        <v>5</v>
      </c>
      <c r="N1582" t="str">
        <f>IF(Walmart[[#This Row],[Quantity]]&gt;=7,"Bulk",IF(Walmart[[#This Row],[Quantity]]&gt;=2,"Multi","Single"))</f>
        <v>Multi</v>
      </c>
      <c r="O1582">
        <v>69.709999999999994</v>
      </c>
      <c r="P1582" t="str">
        <f>IF(Walmart[[#This Row],[Sales]]&gt;=1000,"High Value", IF(Walmart[[#This Row],[Sales]]&gt;=500,"Medium Value","Low Value"))</f>
        <v>Low Value</v>
      </c>
    </row>
    <row r="1583" spans="1:16" x14ac:dyDescent="0.3">
      <c r="A1583" t="s">
        <v>2385</v>
      </c>
      <c r="B1583" s="1">
        <v>41652</v>
      </c>
      <c r="C1583" s="1" t="str">
        <f>TEXT(Walmart[[#This Row],[Order Date]],"mmmm")</f>
        <v>January</v>
      </c>
      <c r="D1583" s="1">
        <v>41656</v>
      </c>
      <c r="E1583" s="1" t="str">
        <f>IF(DATEDIF(Walmart[[#This Row],[Order Date]],Walmart[[#This Row],[Ship Date]],"D")&lt;7,"On time","Delayed")</f>
        <v>On time</v>
      </c>
      <c r="F1583" t="s">
        <v>603</v>
      </c>
      <c r="G1583" t="s">
        <v>14</v>
      </c>
      <c r="H1583" t="s">
        <v>37</v>
      </c>
      <c r="I1583" t="s">
        <v>16</v>
      </c>
      <c r="J1583" t="s">
        <v>124</v>
      </c>
      <c r="K1583" t="s">
        <v>125</v>
      </c>
      <c r="L1583">
        <v>9.7799999999999994</v>
      </c>
      <c r="M1583">
        <v>1</v>
      </c>
      <c r="N1583" t="str">
        <f>IF(Walmart[[#This Row],[Quantity]]&gt;=7,"Bulk",IF(Walmart[[#This Row],[Quantity]]&gt;=2,"Multi","Single"))</f>
        <v>Single</v>
      </c>
      <c r="O1583">
        <v>4.8899999999999997</v>
      </c>
      <c r="P1583" t="str">
        <f>IF(Walmart[[#This Row],[Sales]]&gt;=1000,"High Value", IF(Walmart[[#This Row],[Sales]]&gt;=500,"Medium Value","Low Value"))</f>
        <v>Low Value</v>
      </c>
    </row>
    <row r="1584" spans="1:16" hidden="1" x14ac:dyDescent="0.3">
      <c r="A1584" t="s">
        <v>3506</v>
      </c>
      <c r="B1584" s="1">
        <v>41457</v>
      </c>
      <c r="C1584" s="1" t="str">
        <f>TEXT(Walmart[[#This Row],[Order Date]],"mmmm")</f>
        <v>July</v>
      </c>
      <c r="D1584" s="1">
        <v>41458</v>
      </c>
      <c r="E1584" s="1" t="str">
        <f>IF(DATEDIF(Walmart[[#This Row],[Order Date]],Walmart[[#This Row],[Ship Date]],"D")&lt;7,"On time","Delayed")</f>
        <v>On time</v>
      </c>
      <c r="F1584" t="s">
        <v>408</v>
      </c>
      <c r="G1584" t="s">
        <v>14</v>
      </c>
      <c r="H1584" t="s">
        <v>25</v>
      </c>
      <c r="I1584" t="s">
        <v>26</v>
      </c>
      <c r="J1584" t="s">
        <v>27</v>
      </c>
      <c r="K1584" t="s">
        <v>1067</v>
      </c>
      <c r="L1584">
        <v>2.5</v>
      </c>
      <c r="M1584">
        <v>1</v>
      </c>
      <c r="N1584" t="str">
        <f>IF(Walmart[[#This Row],[Quantity]]&gt;=7,"Bulk",IF(Walmart[[#This Row],[Quantity]]&gt;=2,"Multi","Single"))</f>
        <v>Single</v>
      </c>
      <c r="O1584">
        <v>0.9</v>
      </c>
      <c r="P1584" t="str">
        <f>IF(Walmart[[#This Row],[Sales]]&gt;=1000,"High Value", IF(Walmart[[#This Row],[Sales]]&gt;=500,"Medium Value","Low Value"))</f>
        <v>Low Value</v>
      </c>
    </row>
    <row r="1585" spans="1:16" hidden="1" x14ac:dyDescent="0.3">
      <c r="A1585" t="s">
        <v>3507</v>
      </c>
      <c r="B1585" s="1">
        <v>41579</v>
      </c>
      <c r="C1585" s="1" t="str">
        <f>TEXT(Walmart[[#This Row],[Order Date]],"mmmm")</f>
        <v>November</v>
      </c>
      <c r="D1585" s="1">
        <v>41584</v>
      </c>
      <c r="E1585" s="1" t="str">
        <f>IF(DATEDIF(Walmart[[#This Row],[Order Date]],Walmart[[#This Row],[Ship Date]],"D")&lt;7,"On time","Delayed")</f>
        <v>On time</v>
      </c>
      <c r="F1585" t="s">
        <v>2516</v>
      </c>
      <c r="G1585" t="s">
        <v>14</v>
      </c>
      <c r="H1585" t="s">
        <v>37</v>
      </c>
      <c r="I1585" t="s">
        <v>16</v>
      </c>
      <c r="J1585" t="s">
        <v>88</v>
      </c>
      <c r="K1585" t="s">
        <v>2688</v>
      </c>
      <c r="L1585">
        <v>1403.92</v>
      </c>
      <c r="M1585">
        <v>5</v>
      </c>
      <c r="N1585" t="str">
        <f>IF(Walmart[[#This Row],[Quantity]]&gt;=7,"Bulk",IF(Walmart[[#This Row],[Quantity]]&gt;=2,"Multi","Single"))</f>
        <v>Multi</v>
      </c>
      <c r="O1585">
        <v>70.2</v>
      </c>
      <c r="P1585" t="str">
        <f>IF(Walmart[[#This Row],[Sales]]&gt;=1000,"High Value", IF(Walmart[[#This Row],[Sales]]&gt;=500,"Medium Value","Low Value"))</f>
        <v>High Value</v>
      </c>
    </row>
    <row r="1586" spans="1:16" hidden="1" x14ac:dyDescent="0.3">
      <c r="A1586" t="s">
        <v>3508</v>
      </c>
      <c r="B1586" s="1">
        <v>40589</v>
      </c>
      <c r="C1586" s="1" t="str">
        <f>TEXT(Walmart[[#This Row],[Order Date]],"mmmm")</f>
        <v>February</v>
      </c>
      <c r="D1586" s="1">
        <v>40593</v>
      </c>
      <c r="E1586" s="1" t="str">
        <f>IF(DATEDIF(Walmart[[#This Row],[Order Date]],Walmart[[#This Row],[Ship Date]],"D")&lt;7,"On time","Delayed")</f>
        <v>On time</v>
      </c>
      <c r="F1586" t="s">
        <v>798</v>
      </c>
      <c r="G1586" t="s">
        <v>14</v>
      </c>
      <c r="H1586" t="s">
        <v>25</v>
      </c>
      <c r="I1586" t="s">
        <v>26</v>
      </c>
      <c r="J1586" t="s">
        <v>53</v>
      </c>
      <c r="K1586" t="s">
        <v>2049</v>
      </c>
      <c r="L1586">
        <v>239.97</v>
      </c>
      <c r="M1586">
        <v>3</v>
      </c>
      <c r="N1586" t="str">
        <f>IF(Walmart[[#This Row],[Quantity]]&gt;=7,"Bulk",IF(Walmart[[#This Row],[Quantity]]&gt;=2,"Multi","Single"))</f>
        <v>Multi</v>
      </c>
      <c r="O1586">
        <v>86.39</v>
      </c>
      <c r="P1586" t="str">
        <f>IF(Walmart[[#This Row],[Sales]]&gt;=1000,"High Value", IF(Walmart[[#This Row],[Sales]]&gt;=500,"Medium Value","Low Value"))</f>
        <v>Low Value</v>
      </c>
    </row>
    <row r="1587" spans="1:16" hidden="1" x14ac:dyDescent="0.3">
      <c r="A1587" t="s">
        <v>3509</v>
      </c>
      <c r="B1587" s="1">
        <v>40712</v>
      </c>
      <c r="C1587" s="1" t="str">
        <f>TEXT(Walmart[[#This Row],[Order Date]],"mmmm")</f>
        <v>June</v>
      </c>
      <c r="D1587" s="1">
        <v>40717</v>
      </c>
      <c r="E1587" s="1" t="str">
        <f>IF(DATEDIF(Walmart[[#This Row],[Order Date]],Walmart[[#This Row],[Ship Date]],"D")&lt;7,"On time","Delayed")</f>
        <v>On time</v>
      </c>
      <c r="F1587" t="s">
        <v>1388</v>
      </c>
      <c r="G1587" t="s">
        <v>14</v>
      </c>
      <c r="H1587" t="s">
        <v>15</v>
      </c>
      <c r="I1587" t="s">
        <v>16</v>
      </c>
      <c r="J1587" t="s">
        <v>146</v>
      </c>
      <c r="K1587" t="s">
        <v>3510</v>
      </c>
      <c r="L1587">
        <v>139.80000000000001</v>
      </c>
      <c r="M1587">
        <v>5</v>
      </c>
      <c r="N1587" t="str">
        <f>IF(Walmart[[#This Row],[Quantity]]&gt;=7,"Bulk",IF(Walmart[[#This Row],[Quantity]]&gt;=2,"Multi","Single"))</f>
        <v>Multi</v>
      </c>
      <c r="O1587">
        <v>12.23</v>
      </c>
      <c r="P1587" t="str">
        <f>IF(Walmart[[#This Row],[Sales]]&gt;=1000,"High Value", IF(Walmart[[#This Row],[Sales]]&gt;=500,"Medium Value","Low Value"))</f>
        <v>Low Value</v>
      </c>
    </row>
    <row r="1588" spans="1:16" x14ac:dyDescent="0.3">
      <c r="A1588" t="s">
        <v>1114</v>
      </c>
      <c r="B1588" s="1">
        <v>41648</v>
      </c>
      <c r="C1588" s="1" t="str">
        <f>TEXT(Walmart[[#This Row],[Order Date]],"mmmm")</f>
        <v>January</v>
      </c>
      <c r="D1588" s="1">
        <v>41651</v>
      </c>
      <c r="E1588" s="1" t="str">
        <f>IF(DATEDIF(Walmart[[#This Row],[Order Date]],Walmart[[#This Row],[Ship Date]],"D")&lt;7,"On time","Delayed")</f>
        <v>On time</v>
      </c>
      <c r="F1588" t="s">
        <v>1115</v>
      </c>
      <c r="G1588" t="s">
        <v>14</v>
      </c>
      <c r="H1588" t="s">
        <v>25</v>
      </c>
      <c r="I1588" t="s">
        <v>26</v>
      </c>
      <c r="J1588" t="s">
        <v>43</v>
      </c>
      <c r="K1588" t="s">
        <v>1116</v>
      </c>
      <c r="L1588">
        <v>892.98</v>
      </c>
      <c r="M1588">
        <v>2</v>
      </c>
      <c r="N1588" t="str">
        <f>IF(Walmart[[#This Row],[Quantity]]&gt;=7,"Bulk",IF(Walmart[[#This Row],[Quantity]]&gt;=2,"Multi","Single"))</f>
        <v>Multi</v>
      </c>
      <c r="O1588">
        <v>80.37</v>
      </c>
      <c r="P1588" t="str">
        <f>IF(Walmart[[#This Row],[Sales]]&gt;=1000,"High Value", IF(Walmart[[#This Row],[Sales]]&gt;=500,"Medium Value","Low Value"))</f>
        <v>Medium Value</v>
      </c>
    </row>
    <row r="1589" spans="1:16" x14ac:dyDescent="0.3">
      <c r="A1589" t="s">
        <v>2838</v>
      </c>
      <c r="B1589" s="1">
        <v>41647</v>
      </c>
      <c r="C1589" s="1" t="str">
        <f>TEXT(Walmart[[#This Row],[Order Date]],"mmmm")</f>
        <v>January</v>
      </c>
      <c r="D1589" s="1">
        <v>41649</v>
      </c>
      <c r="E1589" s="1" t="str">
        <f>IF(DATEDIF(Walmart[[#This Row],[Order Date]],Walmart[[#This Row],[Ship Date]],"D")&lt;7,"On time","Delayed")</f>
        <v>On time</v>
      </c>
      <c r="F1589" t="s">
        <v>655</v>
      </c>
      <c r="G1589" t="s">
        <v>14</v>
      </c>
      <c r="H1589" t="s">
        <v>190</v>
      </c>
      <c r="I1589" t="s">
        <v>16</v>
      </c>
      <c r="J1589" t="s">
        <v>33</v>
      </c>
      <c r="K1589" t="s">
        <v>1413</v>
      </c>
      <c r="L1589">
        <v>153.78</v>
      </c>
      <c r="M1589">
        <v>11</v>
      </c>
      <c r="N1589" t="str">
        <f>IF(Walmart[[#This Row],[Quantity]]&gt;=7,"Bulk",IF(Walmart[[#This Row],[Quantity]]&gt;=2,"Multi","Single"))</f>
        <v>Bulk</v>
      </c>
      <c r="O1589">
        <v>44.6</v>
      </c>
      <c r="P1589" t="str">
        <f>IF(Walmart[[#This Row],[Sales]]&gt;=1000,"High Value", IF(Walmart[[#This Row],[Sales]]&gt;=500,"Medium Value","Low Value"))</f>
        <v>Low Value</v>
      </c>
    </row>
    <row r="1590" spans="1:16" hidden="1" x14ac:dyDescent="0.3">
      <c r="A1590" t="s">
        <v>3515</v>
      </c>
      <c r="B1590" s="1">
        <v>40854</v>
      </c>
      <c r="C1590" s="1" t="str">
        <f>TEXT(Walmart[[#This Row],[Order Date]],"mmmm")</f>
        <v>November</v>
      </c>
      <c r="D1590" s="1">
        <v>40858</v>
      </c>
      <c r="E1590" s="1" t="str">
        <f>IF(DATEDIF(Walmart[[#This Row],[Order Date]],Walmart[[#This Row],[Ship Date]],"D")&lt;7,"On time","Delayed")</f>
        <v>On time</v>
      </c>
      <c r="F1590" t="s">
        <v>3516</v>
      </c>
      <c r="G1590" t="s">
        <v>14</v>
      </c>
      <c r="H1590" t="s">
        <v>68</v>
      </c>
      <c r="I1590" t="s">
        <v>69</v>
      </c>
      <c r="J1590" t="s">
        <v>93</v>
      </c>
      <c r="K1590" t="s">
        <v>3517</v>
      </c>
      <c r="L1590">
        <v>25.92</v>
      </c>
      <c r="M1590">
        <v>5</v>
      </c>
      <c r="N1590" t="str">
        <f>IF(Walmart[[#This Row],[Quantity]]&gt;=7,"Bulk",IF(Walmart[[#This Row],[Quantity]]&gt;=2,"Multi","Single"))</f>
        <v>Multi</v>
      </c>
      <c r="O1590">
        <v>9.07</v>
      </c>
      <c r="P1590" t="str">
        <f>IF(Walmart[[#This Row],[Sales]]&gt;=1000,"High Value", IF(Walmart[[#This Row],[Sales]]&gt;=500,"Medium Value","Low Value"))</f>
        <v>Low Value</v>
      </c>
    </row>
    <row r="1591" spans="1:16" hidden="1" x14ac:dyDescent="0.3">
      <c r="A1591" t="s">
        <v>3518</v>
      </c>
      <c r="B1591" s="1">
        <v>40770</v>
      </c>
      <c r="C1591" s="1" t="str">
        <f>TEXT(Walmart[[#This Row],[Order Date]],"mmmm")</f>
        <v>August</v>
      </c>
      <c r="D1591" s="1">
        <v>40774</v>
      </c>
      <c r="E1591" s="1" t="str">
        <f>IF(DATEDIF(Walmart[[#This Row],[Order Date]],Walmart[[#This Row],[Ship Date]],"D")&lt;7,"On time","Delayed")</f>
        <v>On time</v>
      </c>
      <c r="F1591" t="s">
        <v>2019</v>
      </c>
      <c r="G1591" t="s">
        <v>14</v>
      </c>
      <c r="H1591" t="s">
        <v>37</v>
      </c>
      <c r="I1591" t="s">
        <v>16</v>
      </c>
      <c r="J1591" t="s">
        <v>105</v>
      </c>
      <c r="K1591" t="s">
        <v>2694</v>
      </c>
      <c r="L1591">
        <v>152.91</v>
      </c>
      <c r="M1591">
        <v>3</v>
      </c>
      <c r="N1591" t="str">
        <f>IF(Walmart[[#This Row],[Quantity]]&gt;=7,"Bulk",IF(Walmart[[#This Row],[Quantity]]&gt;=2,"Multi","Single"))</f>
        <v>Multi</v>
      </c>
      <c r="O1591">
        <v>42.81</v>
      </c>
      <c r="P1591" t="str">
        <f>IF(Walmart[[#This Row],[Sales]]&gt;=1000,"High Value", IF(Walmart[[#This Row],[Sales]]&gt;=500,"Medium Value","Low Value"))</f>
        <v>Low Value</v>
      </c>
    </row>
    <row r="1592" spans="1:16" hidden="1" x14ac:dyDescent="0.3">
      <c r="A1592" t="s">
        <v>3519</v>
      </c>
      <c r="B1592" s="1">
        <v>41543</v>
      </c>
      <c r="C1592" s="1" t="str">
        <f>TEXT(Walmart[[#This Row],[Order Date]],"mmmm")</f>
        <v>September</v>
      </c>
      <c r="D1592" s="1">
        <v>41549</v>
      </c>
      <c r="E1592" s="1" t="str">
        <f>IF(DATEDIF(Walmart[[#This Row],[Order Date]],Walmart[[#This Row],[Ship Date]],"D")&lt;7,"On time","Delayed")</f>
        <v>On time</v>
      </c>
      <c r="F1592" t="s">
        <v>3520</v>
      </c>
      <c r="G1592" t="s">
        <v>14</v>
      </c>
      <c r="H1592" t="s">
        <v>190</v>
      </c>
      <c r="I1592" t="s">
        <v>16</v>
      </c>
      <c r="J1592" t="s">
        <v>93</v>
      </c>
      <c r="K1592" t="s">
        <v>3521</v>
      </c>
      <c r="L1592">
        <v>10.9</v>
      </c>
      <c r="M1592">
        <v>5</v>
      </c>
      <c r="N1592" t="str">
        <f>IF(Walmart[[#This Row],[Quantity]]&gt;=7,"Bulk",IF(Walmart[[#This Row],[Quantity]]&gt;=2,"Multi","Single"))</f>
        <v>Multi</v>
      </c>
      <c r="O1592">
        <v>5.12</v>
      </c>
      <c r="P1592" t="str">
        <f>IF(Walmart[[#This Row],[Sales]]&gt;=1000,"High Value", IF(Walmart[[#This Row],[Sales]]&gt;=500,"Medium Value","Low Value"))</f>
        <v>Low Value</v>
      </c>
    </row>
    <row r="1593" spans="1:16" x14ac:dyDescent="0.3">
      <c r="A1593" t="s">
        <v>2147</v>
      </c>
      <c r="B1593" s="1">
        <v>41643</v>
      </c>
      <c r="C1593" s="1" t="str">
        <f>TEXT(Walmart[[#This Row],[Order Date]],"mmmm")</f>
        <v>January</v>
      </c>
      <c r="D1593" s="1">
        <v>41648</v>
      </c>
      <c r="E1593" s="1" t="str">
        <f>IF(DATEDIF(Walmart[[#This Row],[Order Date]],Walmart[[#This Row],[Ship Date]],"D")&lt;7,"On time","Delayed")</f>
        <v>On time</v>
      </c>
      <c r="F1593" t="s">
        <v>2148</v>
      </c>
      <c r="G1593" t="s">
        <v>14</v>
      </c>
      <c r="H1593" t="s">
        <v>1012</v>
      </c>
      <c r="I1593" t="s">
        <v>16</v>
      </c>
      <c r="J1593" t="s">
        <v>93</v>
      </c>
      <c r="K1593" t="s">
        <v>1585</v>
      </c>
      <c r="L1593">
        <v>38.880000000000003</v>
      </c>
      <c r="M1593">
        <v>6</v>
      </c>
      <c r="N1593" t="str">
        <f>IF(Walmart[[#This Row],[Quantity]]&gt;=7,"Bulk",IF(Walmart[[#This Row],[Quantity]]&gt;=2,"Multi","Single"))</f>
        <v>Multi</v>
      </c>
      <c r="O1593">
        <v>18.66</v>
      </c>
      <c r="P1593" t="str">
        <f>IF(Walmart[[#This Row],[Sales]]&gt;=1000,"High Value", IF(Walmart[[#This Row],[Sales]]&gt;=500,"Medium Value","Low Value"))</f>
        <v>Low Value</v>
      </c>
    </row>
    <row r="1594" spans="1:16" hidden="1" x14ac:dyDescent="0.3">
      <c r="A1594" t="s">
        <v>3523</v>
      </c>
      <c r="B1594" s="1">
        <v>40645</v>
      </c>
      <c r="C1594" s="1" t="str">
        <f>TEXT(Walmart[[#This Row],[Order Date]],"mmmm")</f>
        <v>April</v>
      </c>
      <c r="D1594" s="1">
        <v>40651</v>
      </c>
      <c r="E1594" s="1" t="str">
        <f>IF(DATEDIF(Walmart[[#This Row],[Order Date]],Walmart[[#This Row],[Ship Date]],"D")&lt;7,"On time","Delayed")</f>
        <v>On time</v>
      </c>
      <c r="F1594" t="s">
        <v>2002</v>
      </c>
      <c r="G1594" t="s">
        <v>14</v>
      </c>
      <c r="H1594" t="s">
        <v>3513</v>
      </c>
      <c r="I1594" t="s">
        <v>16</v>
      </c>
      <c r="J1594" t="s">
        <v>38</v>
      </c>
      <c r="K1594" t="s">
        <v>3524</v>
      </c>
      <c r="L1594">
        <v>39.68</v>
      </c>
      <c r="M1594">
        <v>2</v>
      </c>
      <c r="N1594" t="str">
        <f>IF(Walmart[[#This Row],[Quantity]]&gt;=7,"Bulk",IF(Walmart[[#This Row],[Quantity]]&gt;=2,"Multi","Single"))</f>
        <v>Multi</v>
      </c>
      <c r="O1594">
        <v>16.27</v>
      </c>
      <c r="P1594" t="str">
        <f>IF(Walmart[[#This Row],[Sales]]&gt;=1000,"High Value", IF(Walmart[[#This Row],[Sales]]&gt;=500,"Medium Value","Low Value"))</f>
        <v>Low Value</v>
      </c>
    </row>
    <row r="1595" spans="1:16" x14ac:dyDescent="0.3">
      <c r="A1595" t="s">
        <v>3412</v>
      </c>
      <c r="B1595" s="1">
        <v>41643</v>
      </c>
      <c r="C1595" s="1" t="str">
        <f>TEXT(Walmart[[#This Row],[Order Date]],"mmmm")</f>
        <v>January</v>
      </c>
      <c r="D1595" s="1">
        <v>41647</v>
      </c>
      <c r="E1595" s="1" t="str">
        <f>IF(DATEDIF(Walmart[[#This Row],[Order Date]],Walmart[[#This Row],[Ship Date]],"D")&lt;7,"On time","Delayed")</f>
        <v>On time</v>
      </c>
      <c r="F1595" t="s">
        <v>3413</v>
      </c>
      <c r="G1595" t="s">
        <v>14</v>
      </c>
      <c r="H1595" t="s">
        <v>37</v>
      </c>
      <c r="I1595" t="s">
        <v>16</v>
      </c>
      <c r="J1595" t="s">
        <v>27</v>
      </c>
      <c r="K1595" t="s">
        <v>3414</v>
      </c>
      <c r="L1595">
        <v>2022.27</v>
      </c>
      <c r="M1595">
        <v>8</v>
      </c>
      <c r="N1595" t="str">
        <f>IF(Walmart[[#This Row],[Quantity]]&gt;=7,"Bulk",IF(Walmart[[#This Row],[Quantity]]&gt;=2,"Multi","Single"))</f>
        <v>Bulk</v>
      </c>
      <c r="O1595">
        <v>682.52</v>
      </c>
      <c r="P1595" t="str">
        <f>IF(Walmart[[#This Row],[Sales]]&gt;=1000,"High Value", IF(Walmart[[#This Row],[Sales]]&gt;=500,"Medium Value","Low Value"))</f>
        <v>High Value</v>
      </c>
    </row>
    <row r="1596" spans="1:16" hidden="1" x14ac:dyDescent="0.3">
      <c r="A1596" t="s">
        <v>3526</v>
      </c>
      <c r="B1596" s="1">
        <v>40994</v>
      </c>
      <c r="C1596" s="1" t="str">
        <f>TEXT(Walmart[[#This Row],[Order Date]],"mmmm")</f>
        <v>March</v>
      </c>
      <c r="D1596" s="1">
        <v>40998</v>
      </c>
      <c r="E1596" s="1" t="str">
        <f>IF(DATEDIF(Walmart[[#This Row],[Order Date]],Walmart[[#This Row],[Ship Date]],"D")&lt;7,"On time","Delayed")</f>
        <v>On time</v>
      </c>
      <c r="F1596" t="s">
        <v>324</v>
      </c>
      <c r="G1596" t="s">
        <v>14</v>
      </c>
      <c r="H1596" t="s">
        <v>25</v>
      </c>
      <c r="I1596" t="s">
        <v>26</v>
      </c>
      <c r="J1596" t="s">
        <v>43</v>
      </c>
      <c r="K1596" t="s">
        <v>3527</v>
      </c>
      <c r="L1596">
        <v>3393.68</v>
      </c>
      <c r="M1596">
        <v>8</v>
      </c>
      <c r="N1596" t="str">
        <f>IF(Walmart[[#This Row],[Quantity]]&gt;=7,"Bulk",IF(Walmart[[#This Row],[Quantity]]&gt;=2,"Multi","Single"))</f>
        <v>Bulk</v>
      </c>
      <c r="O1596">
        <v>610.86</v>
      </c>
      <c r="P1596" t="str">
        <f>IF(Walmart[[#This Row],[Sales]]&gt;=1000,"High Value", IF(Walmart[[#This Row],[Sales]]&gt;=500,"Medium Value","Low Value"))</f>
        <v>High Value</v>
      </c>
    </row>
    <row r="1597" spans="1:16" hidden="1" x14ac:dyDescent="0.3">
      <c r="A1597" t="s">
        <v>3528</v>
      </c>
      <c r="B1597" s="1">
        <v>40636</v>
      </c>
      <c r="C1597" s="1" t="str">
        <f>TEXT(Walmart[[#This Row],[Order Date]],"mmmm")</f>
        <v>April</v>
      </c>
      <c r="D1597" s="1">
        <v>40641</v>
      </c>
      <c r="E1597" s="1" t="str">
        <f>IF(DATEDIF(Walmart[[#This Row],[Order Date]],Walmart[[#This Row],[Ship Date]],"D")&lt;7,"On time","Delayed")</f>
        <v>On time</v>
      </c>
      <c r="F1597" t="s">
        <v>1727</v>
      </c>
      <c r="G1597" t="s">
        <v>14</v>
      </c>
      <c r="H1597" t="s">
        <v>15</v>
      </c>
      <c r="I1597" t="s">
        <v>16</v>
      </c>
      <c r="J1597" t="s">
        <v>124</v>
      </c>
      <c r="K1597" t="s">
        <v>125</v>
      </c>
      <c r="L1597">
        <v>11.16</v>
      </c>
      <c r="M1597">
        <v>2</v>
      </c>
      <c r="N1597" t="str">
        <f>IF(Walmart[[#This Row],[Quantity]]&gt;=7,"Bulk",IF(Walmart[[#This Row],[Quantity]]&gt;=2,"Multi","Single"))</f>
        <v>Multi</v>
      </c>
      <c r="O1597">
        <v>5.58</v>
      </c>
      <c r="P1597" t="str">
        <f>IF(Walmart[[#This Row],[Sales]]&gt;=1000,"High Value", IF(Walmart[[#This Row],[Sales]]&gt;=500,"Medium Value","Low Value"))</f>
        <v>Low Value</v>
      </c>
    </row>
    <row r="1598" spans="1:16" x14ac:dyDescent="0.3">
      <c r="A1598" t="s">
        <v>3480</v>
      </c>
      <c r="B1598" s="1">
        <v>41642</v>
      </c>
      <c r="C1598" s="1" t="str">
        <f>TEXT(Walmart[[#This Row],[Order Date]],"mmmm")</f>
        <v>January</v>
      </c>
      <c r="D1598" s="1">
        <v>41644</v>
      </c>
      <c r="E1598" s="1" t="str">
        <f>IF(DATEDIF(Walmart[[#This Row],[Order Date]],Walmart[[#This Row],[Ship Date]],"D")&lt;7,"On time","Delayed")</f>
        <v>On time</v>
      </c>
      <c r="F1598" t="s">
        <v>3481</v>
      </c>
      <c r="G1598" t="s">
        <v>14</v>
      </c>
      <c r="H1598" t="s">
        <v>15</v>
      </c>
      <c r="I1598" t="s">
        <v>16</v>
      </c>
      <c r="J1598" t="s">
        <v>53</v>
      </c>
      <c r="K1598" t="s">
        <v>3166</v>
      </c>
      <c r="L1598">
        <v>16.59</v>
      </c>
      <c r="M1598">
        <v>1</v>
      </c>
      <c r="N1598" t="str">
        <f>IF(Walmart[[#This Row],[Quantity]]&gt;=7,"Bulk",IF(Walmart[[#This Row],[Quantity]]&gt;=2,"Multi","Single"))</f>
        <v>Single</v>
      </c>
      <c r="O1598">
        <v>5.81</v>
      </c>
      <c r="P1598" t="str">
        <f>IF(Walmart[[#This Row],[Sales]]&gt;=1000,"High Value", IF(Walmart[[#This Row],[Sales]]&gt;=500,"Medium Value","Low Value"))</f>
        <v>Low Value</v>
      </c>
    </row>
    <row r="1599" spans="1:16" hidden="1" x14ac:dyDescent="0.3">
      <c r="A1599" t="s">
        <v>3532</v>
      </c>
      <c r="B1599" s="1">
        <v>41165</v>
      </c>
      <c r="C1599" s="1" t="str">
        <f>TEXT(Walmart[[#This Row],[Order Date]],"mmmm")</f>
        <v>September</v>
      </c>
      <c r="D1599" s="1">
        <v>41167</v>
      </c>
      <c r="E1599" s="1" t="str">
        <f>IF(DATEDIF(Walmart[[#This Row],[Order Date]],Walmart[[#This Row],[Ship Date]],"D")&lt;7,"On time","Delayed")</f>
        <v>On time</v>
      </c>
      <c r="F1599" t="s">
        <v>1221</v>
      </c>
      <c r="G1599" t="s">
        <v>14</v>
      </c>
      <c r="H1599" t="s">
        <v>309</v>
      </c>
      <c r="I1599" t="s">
        <v>16</v>
      </c>
      <c r="J1599" t="s">
        <v>21</v>
      </c>
      <c r="K1599" t="s">
        <v>2114</v>
      </c>
      <c r="L1599">
        <v>131.88</v>
      </c>
      <c r="M1599">
        <v>7</v>
      </c>
      <c r="N1599" t="str">
        <f>IF(Walmart[[#This Row],[Quantity]]&gt;=7,"Bulk",IF(Walmart[[#This Row],[Quantity]]&gt;=2,"Multi","Single"))</f>
        <v>Bulk</v>
      </c>
      <c r="O1599">
        <v>55.39</v>
      </c>
      <c r="P1599" t="str">
        <f>IF(Walmart[[#This Row],[Sales]]&gt;=1000,"High Value", IF(Walmart[[#This Row],[Sales]]&gt;=500,"Medium Value","Low Value"))</f>
        <v>Low Value</v>
      </c>
    </row>
    <row r="1600" spans="1:16" hidden="1" x14ac:dyDescent="0.3">
      <c r="A1600" t="s">
        <v>3533</v>
      </c>
      <c r="B1600" s="1">
        <v>41192</v>
      </c>
      <c r="C1600" s="1" t="str">
        <f>TEXT(Walmart[[#This Row],[Order Date]],"mmmm")</f>
        <v>October</v>
      </c>
      <c r="D1600" s="1">
        <v>41194</v>
      </c>
      <c r="E1600" s="1" t="str">
        <f>IF(DATEDIF(Walmart[[#This Row],[Order Date]],Walmart[[#This Row],[Ship Date]],"D")&lt;7,"On time","Delayed")</f>
        <v>On time</v>
      </c>
      <c r="F1600" t="s">
        <v>714</v>
      </c>
      <c r="G1600" t="s">
        <v>14</v>
      </c>
      <c r="H1600" t="s">
        <v>2254</v>
      </c>
      <c r="I1600" t="s">
        <v>16</v>
      </c>
      <c r="J1600" t="s">
        <v>88</v>
      </c>
      <c r="K1600" t="s">
        <v>1137</v>
      </c>
      <c r="L1600">
        <v>362.14</v>
      </c>
      <c r="M1600">
        <v>3</v>
      </c>
      <c r="N1600" t="str">
        <f>IF(Walmart[[#This Row],[Quantity]]&gt;=7,"Bulk",IF(Walmart[[#This Row],[Quantity]]&gt;=2,"Multi","Single"))</f>
        <v>Multi</v>
      </c>
      <c r="O1600">
        <v>-54.32</v>
      </c>
      <c r="P1600" t="str">
        <f>IF(Walmart[[#This Row],[Sales]]&gt;=1000,"High Value", IF(Walmart[[#This Row],[Sales]]&gt;=500,"Medium Value","Low Value"))</f>
        <v>Low Value</v>
      </c>
    </row>
    <row r="1601" spans="1:16" hidden="1" x14ac:dyDescent="0.3">
      <c r="A1601" t="s">
        <v>3534</v>
      </c>
      <c r="B1601" s="1">
        <v>41522</v>
      </c>
      <c r="C1601" s="1" t="str">
        <f>TEXT(Walmart[[#This Row],[Order Date]],"mmmm")</f>
        <v>September</v>
      </c>
      <c r="D1601" s="1">
        <v>41522</v>
      </c>
      <c r="E1601" s="1" t="str">
        <f>IF(DATEDIF(Walmart[[#This Row],[Order Date]],Walmart[[#This Row],[Ship Date]],"D")&lt;7,"On time","Delayed")</f>
        <v>On time</v>
      </c>
      <c r="F1601" t="s">
        <v>2637</v>
      </c>
      <c r="G1601" t="s">
        <v>14</v>
      </c>
      <c r="H1601" t="s">
        <v>37</v>
      </c>
      <c r="I1601" t="s">
        <v>16</v>
      </c>
      <c r="J1601" t="s">
        <v>21</v>
      </c>
      <c r="K1601" t="s">
        <v>2154</v>
      </c>
      <c r="L1601">
        <v>24.27</v>
      </c>
      <c r="M1601">
        <v>3</v>
      </c>
      <c r="N1601" t="str">
        <f>IF(Walmart[[#This Row],[Quantity]]&gt;=7,"Bulk",IF(Walmart[[#This Row],[Quantity]]&gt;=2,"Multi","Single"))</f>
        <v>Multi</v>
      </c>
      <c r="O1601">
        <v>8.74</v>
      </c>
      <c r="P1601" t="str">
        <f>IF(Walmart[[#This Row],[Sales]]&gt;=1000,"High Value", IF(Walmart[[#This Row],[Sales]]&gt;=500,"Medium Value","Low Value"))</f>
        <v>Low Value</v>
      </c>
    </row>
    <row r="1602" spans="1:16" hidden="1" x14ac:dyDescent="0.3">
      <c r="A1602" t="s">
        <v>3535</v>
      </c>
      <c r="B1602" s="1">
        <v>41226</v>
      </c>
      <c r="C1602" s="1" t="str">
        <f>TEXT(Walmart[[#This Row],[Order Date]],"mmmm")</f>
        <v>November</v>
      </c>
      <c r="D1602" s="1">
        <v>41230</v>
      </c>
      <c r="E1602" s="1" t="str">
        <f>IF(DATEDIF(Walmart[[#This Row],[Order Date]],Walmart[[#This Row],[Ship Date]],"D")&lt;7,"On time","Delayed")</f>
        <v>On time</v>
      </c>
      <c r="F1602" t="s">
        <v>230</v>
      </c>
      <c r="G1602" t="s">
        <v>14</v>
      </c>
      <c r="H1602" t="s">
        <v>970</v>
      </c>
      <c r="I1602" t="s">
        <v>16</v>
      </c>
      <c r="J1602" t="s">
        <v>27</v>
      </c>
      <c r="K1602" t="s">
        <v>3536</v>
      </c>
      <c r="L1602">
        <v>9.8699999999999992</v>
      </c>
      <c r="M1602">
        <v>2</v>
      </c>
      <c r="N1602" t="str">
        <f>IF(Walmart[[#This Row],[Quantity]]&gt;=7,"Bulk",IF(Walmart[[#This Row],[Quantity]]&gt;=2,"Multi","Single"))</f>
        <v>Multi</v>
      </c>
      <c r="O1602">
        <v>3.46</v>
      </c>
      <c r="P1602" t="str">
        <f>IF(Walmart[[#This Row],[Sales]]&gt;=1000,"High Value", IF(Walmart[[#This Row],[Sales]]&gt;=500,"Medium Value","Low Value"))</f>
        <v>Low Value</v>
      </c>
    </row>
    <row r="1603" spans="1:16" hidden="1" x14ac:dyDescent="0.3">
      <c r="A1603" t="s">
        <v>3537</v>
      </c>
      <c r="B1603" s="1">
        <v>41429</v>
      </c>
      <c r="C1603" s="1" t="str">
        <f>TEXT(Walmart[[#This Row],[Order Date]],"mmmm")</f>
        <v>June</v>
      </c>
      <c r="D1603" s="1">
        <v>41432</v>
      </c>
      <c r="E1603" s="1" t="str">
        <f>IF(DATEDIF(Walmart[[#This Row],[Order Date]],Walmart[[#This Row],[Ship Date]],"D")&lt;7,"On time","Delayed")</f>
        <v>On time</v>
      </c>
      <c r="F1603" t="s">
        <v>723</v>
      </c>
      <c r="G1603" t="s">
        <v>14</v>
      </c>
      <c r="H1603" t="s">
        <v>15</v>
      </c>
      <c r="I1603" t="s">
        <v>16</v>
      </c>
      <c r="J1603" t="s">
        <v>43</v>
      </c>
      <c r="K1603" t="s">
        <v>2310</v>
      </c>
      <c r="L1603">
        <v>71.09</v>
      </c>
      <c r="M1603">
        <v>2</v>
      </c>
      <c r="N1603" t="str">
        <f>IF(Walmart[[#This Row],[Quantity]]&gt;=7,"Bulk",IF(Walmart[[#This Row],[Quantity]]&gt;=2,"Multi","Single"))</f>
        <v>Multi</v>
      </c>
      <c r="O1603">
        <v>-1.78</v>
      </c>
      <c r="P1603" t="str">
        <f>IF(Walmart[[#This Row],[Sales]]&gt;=1000,"High Value", IF(Walmart[[#This Row],[Sales]]&gt;=500,"Medium Value","Low Value"))</f>
        <v>Low Value</v>
      </c>
    </row>
    <row r="1604" spans="1:16" x14ac:dyDescent="0.3">
      <c r="A1604" t="s">
        <v>1708</v>
      </c>
      <c r="B1604" s="1">
        <v>41641</v>
      </c>
      <c r="C1604" s="1" t="str">
        <f>TEXT(Walmart[[#This Row],[Order Date]],"mmmm")</f>
        <v>January</v>
      </c>
      <c r="D1604" s="1">
        <v>41645</v>
      </c>
      <c r="E1604" s="1" t="str">
        <f>IF(DATEDIF(Walmart[[#This Row],[Order Date]],Walmart[[#This Row],[Ship Date]],"D")&lt;7,"On time","Delayed")</f>
        <v>On time</v>
      </c>
      <c r="F1604" t="s">
        <v>843</v>
      </c>
      <c r="G1604" t="s">
        <v>14</v>
      </c>
      <c r="H1604" t="s">
        <v>15</v>
      </c>
      <c r="I1604" t="s">
        <v>16</v>
      </c>
      <c r="J1604" t="s">
        <v>21</v>
      </c>
      <c r="K1604" t="s">
        <v>1709</v>
      </c>
      <c r="L1604">
        <v>474.43</v>
      </c>
      <c r="M1604">
        <v>11</v>
      </c>
      <c r="N1604" t="str">
        <f>IF(Walmart[[#This Row],[Quantity]]&gt;=7,"Bulk",IF(Walmart[[#This Row],[Quantity]]&gt;=2,"Multi","Single"))</f>
        <v>Bulk</v>
      </c>
      <c r="O1604">
        <v>199.26</v>
      </c>
      <c r="P1604" t="str">
        <f>IF(Walmart[[#This Row],[Sales]]&gt;=1000,"High Value", IF(Walmart[[#This Row],[Sales]]&gt;=500,"Medium Value","Low Value"))</f>
        <v>Low Value</v>
      </c>
    </row>
    <row r="1605" spans="1:16" hidden="1" x14ac:dyDescent="0.3">
      <c r="A1605" t="s">
        <v>3539</v>
      </c>
      <c r="B1605" s="1">
        <v>40905</v>
      </c>
      <c r="C1605" s="1" t="str">
        <f>TEXT(Walmart[[#This Row],[Order Date]],"mmmm")</f>
        <v>December</v>
      </c>
      <c r="D1605" s="1">
        <v>40911</v>
      </c>
      <c r="E1605" s="1" t="str">
        <f>IF(DATEDIF(Walmart[[#This Row],[Order Date]],Walmart[[#This Row],[Ship Date]],"D")&lt;7,"On time","Delayed")</f>
        <v>On time</v>
      </c>
      <c r="F1605" t="s">
        <v>3540</v>
      </c>
      <c r="G1605" t="s">
        <v>14</v>
      </c>
      <c r="H1605" t="s">
        <v>309</v>
      </c>
      <c r="I1605" t="s">
        <v>16</v>
      </c>
      <c r="J1605" t="s">
        <v>33</v>
      </c>
      <c r="K1605" t="s">
        <v>1350</v>
      </c>
      <c r="L1605">
        <v>998.82</v>
      </c>
      <c r="M1605">
        <v>9</v>
      </c>
      <c r="N1605" t="str">
        <f>IF(Walmart[[#This Row],[Quantity]]&gt;=7,"Bulk",IF(Walmart[[#This Row],[Quantity]]&gt;=2,"Multi","Single"))</f>
        <v>Bulk</v>
      </c>
      <c r="O1605">
        <v>29.96</v>
      </c>
      <c r="P1605" t="str">
        <f>IF(Walmart[[#This Row],[Sales]]&gt;=1000,"High Value", IF(Walmart[[#This Row],[Sales]]&gt;=500,"Medium Value","Low Value"))</f>
        <v>Medium Value</v>
      </c>
    </row>
    <row r="1606" spans="1:16" hidden="1" x14ac:dyDescent="0.3">
      <c r="A1606" t="s">
        <v>3541</v>
      </c>
      <c r="B1606" s="1">
        <v>41011</v>
      </c>
      <c r="C1606" s="1" t="str">
        <f>TEXT(Walmart[[#This Row],[Order Date]],"mmmm")</f>
        <v>April</v>
      </c>
      <c r="D1606" s="1">
        <v>41016</v>
      </c>
      <c r="E1606" s="1" t="str">
        <f>IF(DATEDIF(Walmart[[#This Row],[Order Date]],Walmart[[#This Row],[Ship Date]],"D")&lt;7,"On time","Delayed")</f>
        <v>On time</v>
      </c>
      <c r="F1606" t="s">
        <v>2555</v>
      </c>
      <c r="G1606" t="s">
        <v>14</v>
      </c>
      <c r="H1606" t="s">
        <v>25</v>
      </c>
      <c r="I1606" t="s">
        <v>26</v>
      </c>
      <c r="J1606" t="s">
        <v>33</v>
      </c>
      <c r="K1606" t="s">
        <v>1802</v>
      </c>
      <c r="L1606">
        <v>40.74</v>
      </c>
      <c r="M1606">
        <v>3</v>
      </c>
      <c r="N1606" t="str">
        <f>IF(Walmart[[#This Row],[Quantity]]&gt;=7,"Bulk",IF(Walmart[[#This Row],[Quantity]]&gt;=2,"Multi","Single"))</f>
        <v>Multi</v>
      </c>
      <c r="O1606">
        <v>0.41</v>
      </c>
      <c r="P1606" t="str">
        <f>IF(Walmart[[#This Row],[Sales]]&gt;=1000,"High Value", IF(Walmart[[#This Row],[Sales]]&gt;=500,"Medium Value","Low Value"))</f>
        <v>Low Value</v>
      </c>
    </row>
    <row r="1607" spans="1:16" hidden="1" x14ac:dyDescent="0.3">
      <c r="A1607" t="s">
        <v>3542</v>
      </c>
      <c r="B1607" s="1">
        <v>41257</v>
      </c>
      <c r="C1607" s="1" t="str">
        <f>TEXT(Walmart[[#This Row],[Order Date]],"mmmm")</f>
        <v>December</v>
      </c>
      <c r="D1607" s="1">
        <v>41259</v>
      </c>
      <c r="E1607" s="1" t="str">
        <f>IF(DATEDIF(Walmart[[#This Row],[Order Date]],Walmart[[#This Row],[Ship Date]],"D")&lt;7,"On time","Delayed")</f>
        <v>On time</v>
      </c>
      <c r="F1607" t="s">
        <v>1605</v>
      </c>
      <c r="G1607" t="s">
        <v>14</v>
      </c>
      <c r="H1607" t="s">
        <v>15</v>
      </c>
      <c r="I1607" t="s">
        <v>16</v>
      </c>
      <c r="J1607" t="s">
        <v>27</v>
      </c>
      <c r="K1607" t="s">
        <v>3543</v>
      </c>
      <c r="L1607">
        <v>55.26</v>
      </c>
      <c r="M1607">
        <v>2</v>
      </c>
      <c r="N1607" t="str">
        <f>IF(Walmart[[#This Row],[Quantity]]&gt;=7,"Bulk",IF(Walmart[[#This Row],[Quantity]]&gt;=2,"Multi","Single"))</f>
        <v>Multi</v>
      </c>
      <c r="O1607">
        <v>20.72</v>
      </c>
      <c r="P1607" t="str">
        <f>IF(Walmart[[#This Row],[Sales]]&gt;=1000,"High Value", IF(Walmart[[#This Row],[Sales]]&gt;=500,"Medium Value","Low Value"))</f>
        <v>Low Value</v>
      </c>
    </row>
    <row r="1608" spans="1:16" x14ac:dyDescent="0.3">
      <c r="A1608" t="s">
        <v>581</v>
      </c>
      <c r="B1608" s="1">
        <v>41640</v>
      </c>
      <c r="C1608" s="1" t="str">
        <f>TEXT(Walmart[[#This Row],[Order Date]],"mmmm")</f>
        <v>January</v>
      </c>
      <c r="D1608" s="1">
        <v>41646</v>
      </c>
      <c r="E1608" s="1" t="str">
        <f>IF(DATEDIF(Walmart[[#This Row],[Order Date]],Walmart[[#This Row],[Ship Date]],"D")&lt;7,"On time","Delayed")</f>
        <v>On time</v>
      </c>
      <c r="F1608" t="s">
        <v>181</v>
      </c>
      <c r="G1608" t="s">
        <v>14</v>
      </c>
      <c r="H1608" t="s">
        <v>582</v>
      </c>
      <c r="I1608" t="s">
        <v>227</v>
      </c>
      <c r="J1608" t="s">
        <v>38</v>
      </c>
      <c r="K1608" t="s">
        <v>583</v>
      </c>
      <c r="L1608">
        <v>3.64</v>
      </c>
      <c r="M1608">
        <v>2</v>
      </c>
      <c r="N1608" t="str">
        <f>IF(Walmart[[#This Row],[Quantity]]&gt;=7,"Bulk",IF(Walmart[[#This Row],[Quantity]]&gt;=2,"Multi","Single"))</f>
        <v>Multi</v>
      </c>
      <c r="O1608">
        <v>1.64</v>
      </c>
      <c r="P1608" t="str">
        <f>IF(Walmart[[#This Row],[Sales]]&gt;=1000,"High Value", IF(Walmart[[#This Row],[Sales]]&gt;=500,"Medium Value","Low Value"))</f>
        <v>Low Value</v>
      </c>
    </row>
    <row r="1609" spans="1:16" hidden="1" x14ac:dyDescent="0.3">
      <c r="A1609" t="s">
        <v>3545</v>
      </c>
      <c r="B1609" s="1">
        <v>41615</v>
      </c>
      <c r="C1609" s="1" t="str">
        <f>TEXT(Walmart[[#This Row],[Order Date]],"mmmm")</f>
        <v>December</v>
      </c>
      <c r="D1609" s="1">
        <v>41619</v>
      </c>
      <c r="E1609" s="1" t="str">
        <f>IF(DATEDIF(Walmart[[#This Row],[Order Date]],Walmart[[#This Row],[Ship Date]],"D")&lt;7,"On time","Delayed")</f>
        <v>On time</v>
      </c>
      <c r="F1609" t="s">
        <v>3546</v>
      </c>
      <c r="G1609" t="s">
        <v>14</v>
      </c>
      <c r="H1609" t="s">
        <v>15</v>
      </c>
      <c r="I1609" t="s">
        <v>16</v>
      </c>
      <c r="J1609" t="s">
        <v>146</v>
      </c>
      <c r="K1609" t="s">
        <v>3547</v>
      </c>
      <c r="L1609">
        <v>271.95999999999998</v>
      </c>
      <c r="M1609">
        <v>5</v>
      </c>
      <c r="N1609" t="str">
        <f>IF(Walmart[[#This Row],[Quantity]]&gt;=7,"Bulk",IF(Walmart[[#This Row],[Quantity]]&gt;=2,"Multi","Single"))</f>
        <v>Multi</v>
      </c>
      <c r="O1609">
        <v>27.2</v>
      </c>
      <c r="P1609" t="str">
        <f>IF(Walmart[[#This Row],[Sales]]&gt;=1000,"High Value", IF(Walmart[[#This Row],[Sales]]&gt;=500,"Medium Value","Low Value"))</f>
        <v>Low Value</v>
      </c>
    </row>
    <row r="1610" spans="1:16" hidden="1" x14ac:dyDescent="0.3">
      <c r="A1610" t="s">
        <v>3548</v>
      </c>
      <c r="B1610" s="1">
        <v>41547</v>
      </c>
      <c r="C1610" s="1" t="str">
        <f>TEXT(Walmart[[#This Row],[Order Date]],"mmmm")</f>
        <v>September</v>
      </c>
      <c r="D1610" s="1">
        <v>41551</v>
      </c>
      <c r="E1610" s="1" t="str">
        <f>IF(DATEDIF(Walmart[[#This Row],[Order Date]],Walmart[[#This Row],[Ship Date]],"D")&lt;7,"On time","Delayed")</f>
        <v>On time</v>
      </c>
      <c r="F1610" t="s">
        <v>1677</v>
      </c>
      <c r="G1610" t="s">
        <v>14</v>
      </c>
      <c r="H1610" t="s">
        <v>15</v>
      </c>
      <c r="I1610" t="s">
        <v>16</v>
      </c>
      <c r="J1610" t="s">
        <v>53</v>
      </c>
      <c r="K1610" t="s">
        <v>3549</v>
      </c>
      <c r="L1610">
        <v>36.24</v>
      </c>
      <c r="M1610">
        <v>1</v>
      </c>
      <c r="N1610" t="str">
        <f>IF(Walmart[[#This Row],[Quantity]]&gt;=7,"Bulk",IF(Walmart[[#This Row],[Quantity]]&gt;=2,"Multi","Single"))</f>
        <v>Single</v>
      </c>
      <c r="O1610">
        <v>15.22</v>
      </c>
      <c r="P1610" t="str">
        <f>IF(Walmart[[#This Row],[Sales]]&gt;=1000,"High Value", IF(Walmart[[#This Row],[Sales]]&gt;=500,"Medium Value","Low Value"))</f>
        <v>Low Value</v>
      </c>
    </row>
    <row r="1611" spans="1:16" x14ac:dyDescent="0.3">
      <c r="A1611" t="s">
        <v>1346</v>
      </c>
      <c r="B1611" s="1">
        <v>41640</v>
      </c>
      <c r="C1611" s="1" t="str">
        <f>TEXT(Walmart[[#This Row],[Order Date]],"mmmm")</f>
        <v>January</v>
      </c>
      <c r="D1611" s="1">
        <v>41645</v>
      </c>
      <c r="E1611" s="1" t="str">
        <f>IF(DATEDIF(Walmart[[#This Row],[Order Date]],Walmart[[#This Row],[Ship Date]],"D")&lt;7,"On time","Delayed")</f>
        <v>On time</v>
      </c>
      <c r="F1611" t="s">
        <v>540</v>
      </c>
      <c r="G1611" t="s">
        <v>14</v>
      </c>
      <c r="H1611" t="s">
        <v>309</v>
      </c>
      <c r="I1611" t="s">
        <v>16</v>
      </c>
      <c r="J1611" t="s">
        <v>146</v>
      </c>
      <c r="K1611" t="s">
        <v>1347</v>
      </c>
      <c r="L1611">
        <v>302.38</v>
      </c>
      <c r="M1611">
        <v>3</v>
      </c>
      <c r="N1611" t="str">
        <f>IF(Walmart[[#This Row],[Quantity]]&gt;=7,"Bulk",IF(Walmart[[#This Row],[Quantity]]&gt;=2,"Multi","Single"))</f>
        <v>Multi</v>
      </c>
      <c r="O1611">
        <v>22.68</v>
      </c>
      <c r="P1611" t="str">
        <f>IF(Walmart[[#This Row],[Sales]]&gt;=1000,"High Value", IF(Walmart[[#This Row],[Sales]]&gt;=500,"Medium Value","Low Value"))</f>
        <v>Low Value</v>
      </c>
    </row>
    <row r="1612" spans="1:16" x14ac:dyDescent="0.3">
      <c r="A1612" t="s">
        <v>2318</v>
      </c>
      <c r="B1612" s="1">
        <v>41640</v>
      </c>
      <c r="C1612" s="1" t="str">
        <f>TEXT(Walmart[[#This Row],[Order Date]],"mmmm")</f>
        <v>January</v>
      </c>
      <c r="D1612" s="1">
        <v>41646</v>
      </c>
      <c r="E1612" s="1" t="str">
        <f>IF(DATEDIF(Walmart[[#This Row],[Order Date]],Walmart[[#This Row],[Ship Date]],"D")&lt;7,"On time","Delayed")</f>
        <v>On time</v>
      </c>
      <c r="F1612" t="s">
        <v>2319</v>
      </c>
      <c r="G1612" t="s">
        <v>14</v>
      </c>
      <c r="H1612" t="s">
        <v>37</v>
      </c>
      <c r="I1612" t="s">
        <v>16</v>
      </c>
      <c r="J1612" t="s">
        <v>27</v>
      </c>
      <c r="K1612" t="s">
        <v>2320</v>
      </c>
      <c r="L1612">
        <v>38.380000000000003</v>
      </c>
      <c r="M1612">
        <v>3</v>
      </c>
      <c r="N1612" t="str">
        <f>IF(Walmart[[#This Row],[Quantity]]&gt;=7,"Bulk",IF(Walmart[[#This Row],[Quantity]]&gt;=2,"Multi","Single"))</f>
        <v>Multi</v>
      </c>
      <c r="O1612">
        <v>13.43</v>
      </c>
      <c r="P1612" t="str">
        <f>IF(Walmart[[#This Row],[Sales]]&gt;=1000,"High Value", IF(Walmart[[#This Row],[Sales]]&gt;=500,"Medium Value","Low Value"))</f>
        <v>Low Value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35B345-52DE-4080-8C14-7237473520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Walmart Sales Report</vt:lpstr>
      <vt:lpstr>Orders vs Sales</vt:lpstr>
      <vt:lpstr>Top 5 States</vt:lpstr>
      <vt:lpstr>Category Sales</vt:lpstr>
      <vt:lpstr>Delivery progress</vt:lpstr>
      <vt:lpstr>Order Value</vt:lpstr>
      <vt:lpstr>Order Type</vt:lpstr>
      <vt:lpstr>Top 10 Customers</vt:lpstr>
      <vt:lpstr>Walmart 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Aliva Roy</dc:creator>
  <cp:lastModifiedBy>Aliva Roy</cp:lastModifiedBy>
  <dcterms:created xsi:type="dcterms:W3CDTF">2026-07-22T12:26:52Z</dcterms:created>
  <dcterms:modified xsi:type="dcterms:W3CDTF">2026-07-22T18:36:28Z</dcterms:modified>
</cp:coreProperties>
</file>